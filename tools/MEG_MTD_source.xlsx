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defaultThemeVersion="124226"/>
  <mc:AlternateContent xmlns:mc="http://schemas.openxmlformats.org/markup-compatibility/2006">
    <mc:Choice Requires="x15">
      <x15ac:absPath xmlns:x15ac="http://schemas.microsoft.com/office/spreadsheetml/2010/11/ac" url="C:\Users\jcjereza\Downloads\"/>
    </mc:Choice>
  </mc:AlternateContent>
  <xr:revisionPtr revIDLastSave="0" documentId="11_FA8A0C908696C083330B7A4C5F8A779F594D20C8" xr6:coauthVersionLast="47" xr6:coauthVersionMax="47" xr10:uidLastSave="{00000000-0000-0000-0000-000000000000}"/>
  <bookViews>
    <workbookView xWindow="-108" yWindow="-108" windowWidth="23256" windowHeight="12456" tabRatio="955" activeTab="5" xr2:uid="{00000000-000D-0000-FFFF-FFFF00000000}"/>
  </bookViews>
  <sheets>
    <sheet name="LS_RPRO" sheetId="1" r:id="rId1"/>
    <sheet name="MSI" sheetId="4" r:id="rId2"/>
    <sheet name="MRet" sheetId="13" r:id="rId3"/>
    <sheet name="MANUAL" sheetId="2" r:id="rId4"/>
    <sheet name="OUTSALE" sheetId="11" r:id="rId5"/>
    <sheet name="Seasonality Template" sheetId="3" r:id="rId6"/>
    <sheet name="SAME DAY COMPARISON" sheetId="17" r:id="rId7"/>
    <sheet name="EOD MONITORING" sheetId="18" r:id="rId8"/>
    <sheet name="Seasonality Template WML V" sheetId="16" state="hidden" r:id="rId9"/>
    <sheet name="YTD-SALES" sheetId="5" r:id="rId10"/>
    <sheet name="YTD RETAIL DRIVERS" sheetId="6" r:id="rId11"/>
    <sheet name="DEPOSIT SUMMARY" sheetId="12" r:id="rId12"/>
    <sheet name="#OF SG RECEIPT COPY" sheetId="10" r:id="rId13"/>
    <sheet name="WML" sheetId="9" state="hidden" r:id="rId14"/>
  </sheets>
  <externalReferences>
    <externalReference r:id="rId15"/>
  </externalReferences>
  <definedNames>
    <definedName name="_xlnm._FilterDatabase" localSheetId="2" hidden="1">MRet!$A$8:$AG$8</definedName>
    <definedName name="_xlnm._FilterDatabase" localSheetId="1" hidden="1">MSI!$A$8:$AG$8</definedName>
    <definedName name="Z_A189EEDB_4C08_4033_8253_44851FC119BC_.wvu.Cols" localSheetId="5" hidden="1">'Seasonality Template'!$B:$C</definedName>
    <definedName name="Z_A189EEDB_4C08_4033_8253_44851FC119BC_.wvu.Cols" localSheetId="8" hidden="1">'Seasonality Template WML V'!$B:$C</definedName>
    <definedName name="Z_A189EEDB_4C08_4033_8253_44851FC119BC_.wvu.Rows" localSheetId="5" hidden="1">'Seasonality Template'!$2:$10,'Seasonality Template'!#REF!</definedName>
    <definedName name="Z_A189EEDB_4C08_4033_8253_44851FC119BC_.wvu.Rows" localSheetId="8" hidden="1">'Seasonality Template WML V'!$2:$10,'Seasonality Template WML V'!#REF!</definedName>
  </definedNames>
  <calcPr calcId="191029"/>
  <customWorkbookViews>
    <customWorkbookView name="rspalomaria - Personal View" guid="{A189EEDB-4C08-4033-8253-44851FC119BC}" personalView="1" maximized="1" xWindow="1" yWindow="1" windowWidth="1280" windowHeight="794"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7" l="1"/>
  <c r="Z17" i="1"/>
  <c r="X17" i="1"/>
  <c r="O17" i="1"/>
  <c r="C17" i="1"/>
  <c r="B17" i="1"/>
  <c r="T16" i="1" l="1"/>
  <c r="Z16" i="1"/>
  <c r="O16" i="1"/>
  <c r="C16" i="1"/>
  <c r="B16" i="1"/>
  <c r="H17" i="1"/>
  <c r="H16" i="1" l="1"/>
  <c r="Z15" i="1" l="1"/>
  <c r="O15" i="1"/>
  <c r="H15" i="1"/>
  <c r="C15" i="1"/>
  <c r="B15" i="1"/>
  <c r="X15" i="1"/>
  <c r="Z14" i="1" l="1"/>
  <c r="O14" i="1"/>
  <c r="H14" i="1"/>
  <c r="C14" i="1"/>
  <c r="B14" i="1"/>
  <c r="Z13" i="1" l="1"/>
  <c r="O13" i="1"/>
  <c r="H13" i="1"/>
  <c r="B13" i="1"/>
  <c r="C13" i="1"/>
  <c r="B12" i="1" l="1"/>
  <c r="O12" i="1"/>
  <c r="Z12" i="1"/>
  <c r="H12" i="1"/>
  <c r="C12" i="1"/>
  <c r="Z11" i="1" l="1"/>
  <c r="O11" i="1"/>
  <c r="H11" i="1"/>
  <c r="C11" i="1"/>
  <c r="B11" i="1"/>
  <c r="Z10" i="1" l="1"/>
  <c r="O10" i="1"/>
  <c r="B10" i="1"/>
  <c r="H10" i="1"/>
  <c r="C10" i="1"/>
  <c r="Z9" i="1" l="1"/>
  <c r="O9" i="1"/>
  <c r="H9" i="1"/>
  <c r="C9" i="1"/>
  <c r="B9" i="1"/>
  <c r="X9" i="1"/>
  <c r="Z8" i="1" l="1"/>
  <c r="O8" i="1"/>
  <c r="C8" i="1"/>
  <c r="B8" i="1"/>
  <c r="O7" i="1" l="1"/>
  <c r="Z7" i="1"/>
  <c r="H7" i="1"/>
  <c r="B7" i="1"/>
  <c r="C7" i="1" l="1"/>
  <c r="H66" i="3" l="1"/>
  <c r="H65" i="3"/>
  <c r="H64" i="3"/>
  <c r="H63" i="3"/>
  <c r="H62" i="3"/>
  <c r="J21" i="3"/>
  <c r="J18" i="3"/>
  <c r="Z6" i="1" l="1"/>
  <c r="O6" i="1"/>
  <c r="B6" i="1"/>
  <c r="X6" i="1"/>
  <c r="A8" i="17" l="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4" i="18" l="1"/>
  <c r="A5" i="18" s="1"/>
  <c r="A6" i="18" s="1"/>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W26" i="3" l="1"/>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25" i="3"/>
  <c r="X56" i="3"/>
  <c r="U33" i="5" l="1"/>
  <c r="V33" i="5"/>
  <c r="W33" i="5"/>
  <c r="T33" i="5"/>
  <c r="G10" i="12" l="1"/>
  <c r="AK3" i="5" l="1"/>
  <c r="AF4" i="5" l="1"/>
  <c r="AF5" i="5" s="1"/>
  <c r="AF6" i="5" s="1"/>
  <c r="AF7" i="5" s="1"/>
  <c r="AF8" i="5" s="1"/>
  <c r="AF9" i="5" s="1"/>
  <c r="AF10" i="5" s="1"/>
  <c r="AF11" i="5" s="1"/>
  <c r="AF12" i="5" s="1"/>
  <c r="AF13" i="5" s="1"/>
  <c r="AF14" i="5" s="1"/>
  <c r="AF15" i="5" s="1"/>
  <c r="AF16" i="5" s="1"/>
  <c r="AF17" i="5" s="1"/>
  <c r="AF18" i="5" s="1"/>
  <c r="AF19" i="5" s="1"/>
  <c r="AF20" i="5" s="1"/>
  <c r="AF21" i="5" s="1"/>
  <c r="AF22" i="5" s="1"/>
  <c r="AF23" i="5" s="1"/>
  <c r="AF24" i="5" s="1"/>
  <c r="AF25" i="5" s="1"/>
  <c r="AF26" i="5" s="1"/>
  <c r="AF27" i="5" s="1"/>
  <c r="AF28" i="5" s="1"/>
  <c r="AF29" i="5" s="1"/>
  <c r="AF30" i="5" s="1"/>
  <c r="AF31" i="5" s="1"/>
  <c r="AF32" i="5" s="1"/>
  <c r="AF33" i="5" s="1"/>
  <c r="AD4" i="5" l="1"/>
  <c r="AD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 i="5"/>
  <c r="AD34" i="5" l="1"/>
  <c r="S1" i="5" s="1"/>
  <c r="AF37" i="1" l="1"/>
  <c r="AF38" i="1"/>
  <c r="AF6" i="1" l="1"/>
  <c r="AC2" i="5" l="1"/>
  <c r="AA2" i="5"/>
  <c r="Y2" i="5"/>
  <c r="W2" i="5"/>
  <c r="U2" i="5"/>
  <c r="G23" i="12" l="1"/>
  <c r="G9" i="12"/>
  <c r="G11" i="12"/>
  <c r="G12" i="12"/>
  <c r="G13" i="12"/>
  <c r="G14" i="12"/>
  <c r="G15" i="12"/>
  <c r="G16" i="12"/>
  <c r="G17" i="12"/>
  <c r="G18" i="12"/>
  <c r="G19" i="12"/>
  <c r="G20" i="12"/>
  <c r="G21" i="12"/>
  <c r="G22" i="12"/>
  <c r="G24" i="12"/>
  <c r="G25" i="12"/>
  <c r="G26" i="12"/>
  <c r="G27" i="12"/>
  <c r="G28" i="12"/>
  <c r="G29" i="12"/>
  <c r="G30" i="12"/>
  <c r="G31" i="12"/>
  <c r="G32" i="12"/>
  <c r="G33" i="12"/>
  <c r="G34" i="12"/>
  <c r="G35" i="12"/>
  <c r="G36" i="12"/>
  <c r="G37" i="12"/>
  <c r="G38" i="12"/>
  <c r="G8" i="12"/>
  <c r="AF24" i="1"/>
  <c r="AF25" i="1"/>
  <c r="AF26" i="1"/>
  <c r="AF27" i="1"/>
  <c r="AF28" i="1"/>
  <c r="AF29" i="1"/>
  <c r="AF30" i="1"/>
  <c r="AF31" i="1"/>
  <c r="AF32" i="1"/>
  <c r="AF33" i="1"/>
  <c r="AF34" i="1"/>
  <c r="AF35" i="1"/>
  <c r="AF36" i="1"/>
  <c r="AF23" i="1"/>
  <c r="AF7" i="1"/>
  <c r="AF8" i="1"/>
  <c r="AF9" i="1"/>
  <c r="AF10" i="1"/>
  <c r="AF11" i="1"/>
  <c r="AF12" i="1"/>
  <c r="AF13" i="1"/>
  <c r="AF14" i="1"/>
  <c r="AF15" i="1"/>
  <c r="AF16" i="1"/>
  <c r="AF17" i="1"/>
  <c r="AF18" i="1"/>
  <c r="AF19" i="1"/>
  <c r="AF20" i="1"/>
  <c r="F37" i="10" l="1"/>
  <c r="E37" i="10"/>
  <c r="C37" i="10"/>
  <c r="I17" i="6" l="1"/>
  <c r="H17" i="6"/>
  <c r="I16" i="6"/>
  <c r="H16" i="6"/>
  <c r="I15" i="6"/>
  <c r="H15" i="6"/>
  <c r="I14" i="6"/>
  <c r="H14" i="6"/>
  <c r="H13" i="6"/>
  <c r="I12" i="6"/>
  <c r="H12" i="6"/>
  <c r="I10" i="6"/>
  <c r="H10" i="6"/>
  <c r="I9" i="6"/>
  <c r="H9" i="6"/>
  <c r="I8" i="6"/>
  <c r="H8" i="6"/>
  <c r="I7" i="6"/>
  <c r="H7" i="6"/>
  <c r="I6" i="6" l="1"/>
  <c r="H6" i="6"/>
  <c r="B38" i="17"/>
  <c r="AC9" i="1" l="1"/>
  <c r="F9" i="1"/>
  <c r="D9" i="1"/>
  <c r="AA9" i="1" s="1"/>
  <c r="AB9" i="1" s="1"/>
  <c r="AC8" i="1"/>
  <c r="F8" i="1"/>
  <c r="D8" i="1"/>
  <c r="AA8" i="1" s="1"/>
  <c r="AB8" i="1" s="1"/>
  <c r="AC7" i="1"/>
  <c r="F7" i="1"/>
  <c r="D7" i="1"/>
  <c r="AA7" i="1" s="1"/>
  <c r="AB7" i="1" s="1"/>
  <c r="AC6" i="1"/>
  <c r="F6" i="1"/>
  <c r="D6" i="1"/>
  <c r="AA6" i="1" s="1"/>
  <c r="AB6" i="1" s="1"/>
  <c r="A6" i="1"/>
  <c r="A7" i="1" s="1"/>
  <c r="A8" i="1" s="1"/>
  <c r="A9" i="1" s="1"/>
  <c r="AD9" i="1" l="1"/>
  <c r="J9" i="1"/>
  <c r="I9" i="1"/>
  <c r="AD8" i="1"/>
  <c r="J8" i="1"/>
  <c r="I8" i="1"/>
  <c r="I6" i="1"/>
  <c r="AD6" i="1"/>
  <c r="J6" i="1"/>
  <c r="AD7" i="1"/>
  <c r="J7" i="1"/>
  <c r="I7" i="1"/>
  <c r="BR56" i="16"/>
  <c r="V18" i="16" s="1"/>
  <c r="BQ56" i="16"/>
  <c r="U18" i="16" s="1"/>
  <c r="BK56" i="16"/>
  <c r="V16" i="16" s="1"/>
  <c r="BJ56" i="16"/>
  <c r="BH56" i="16"/>
  <c r="BG56" i="16"/>
  <c r="BD56" i="16"/>
  <c r="Q20" i="16" s="1"/>
  <c r="BC56" i="16"/>
  <c r="P20" i="16" s="1"/>
  <c r="AV56" i="16"/>
  <c r="AS56" i="16"/>
  <c r="AL56" i="16"/>
  <c r="AI56" i="16"/>
  <c r="AE56" i="16"/>
  <c r="AA56" i="16"/>
  <c r="Y56" i="16"/>
  <c r="X56" i="16"/>
  <c r="W56" i="16"/>
  <c r="U56" i="16"/>
  <c r="T56" i="16"/>
  <c r="P56" i="16"/>
  <c r="O56" i="16"/>
  <c r="G56" i="16"/>
  <c r="H44" i="16" s="1"/>
  <c r="I44" i="16" s="1"/>
  <c r="BS55" i="16"/>
  <c r="BN55" i="16"/>
  <c r="BM55" i="16"/>
  <c r="BL55" i="16"/>
  <c r="BI55" i="16"/>
  <c r="BE55" i="16"/>
  <c r="AY55" i="16"/>
  <c r="AW55" i="16"/>
  <c r="AX55" i="16" s="1"/>
  <c r="AT55" i="16"/>
  <c r="AU55" i="16" s="1"/>
  <c r="AO55" i="16"/>
  <c r="AM55" i="16"/>
  <c r="AJ55" i="16"/>
  <c r="AK55" i="16" s="1"/>
  <c r="AB55" i="16"/>
  <c r="AC55" i="16" s="1"/>
  <c r="Z55" i="16"/>
  <c r="V55" i="16"/>
  <c r="BS54" i="16"/>
  <c r="BN54" i="16"/>
  <c r="BM54" i="16"/>
  <c r="BL54" i="16"/>
  <c r="BI54" i="16"/>
  <c r="BE54" i="16"/>
  <c r="AY54" i="16"/>
  <c r="AW54" i="16"/>
  <c r="AX54" i="16" s="1"/>
  <c r="AT54" i="16"/>
  <c r="AO54" i="16"/>
  <c r="AM54" i="16"/>
  <c r="AJ54" i="16"/>
  <c r="AK54" i="16" s="1"/>
  <c r="AB54" i="16"/>
  <c r="AC54" i="16" s="1"/>
  <c r="Z54" i="16"/>
  <c r="V54" i="16"/>
  <c r="BS53" i="16"/>
  <c r="BN53" i="16"/>
  <c r="BM53" i="16"/>
  <c r="BL53" i="16"/>
  <c r="BI53" i="16"/>
  <c r="BE53" i="16"/>
  <c r="AY53" i="16"/>
  <c r="AW53" i="16"/>
  <c r="AX53" i="16" s="1"/>
  <c r="AT53" i="16"/>
  <c r="AO53" i="16"/>
  <c r="AM53" i="16"/>
  <c r="AN53" i="16" s="1"/>
  <c r="AJ53" i="16"/>
  <c r="AK53" i="16" s="1"/>
  <c r="AB53" i="16"/>
  <c r="AC53" i="16" s="1"/>
  <c r="Z53" i="16"/>
  <c r="V53" i="16"/>
  <c r="BS52" i="16"/>
  <c r="BN52" i="16"/>
  <c r="BM52" i="16"/>
  <c r="BL52" i="16"/>
  <c r="BI52" i="16"/>
  <c r="BE52" i="16"/>
  <c r="AY52" i="16"/>
  <c r="AW52" i="16"/>
  <c r="AX52" i="16" s="1"/>
  <c r="AT52" i="16"/>
  <c r="AO52" i="16"/>
  <c r="AM52" i="16"/>
  <c r="AN52" i="16" s="1"/>
  <c r="AJ52" i="16"/>
  <c r="AK52" i="16" s="1"/>
  <c r="AB52" i="16"/>
  <c r="AC52" i="16" s="1"/>
  <c r="Z52" i="16"/>
  <c r="V52" i="16"/>
  <c r="BS51" i="16"/>
  <c r="BN51" i="16"/>
  <c r="BM51" i="16"/>
  <c r="BL51" i="16"/>
  <c r="BI51" i="16"/>
  <c r="BE51" i="16"/>
  <c r="AY51" i="16"/>
  <c r="AW51" i="16"/>
  <c r="AX51" i="16" s="1"/>
  <c r="AT51" i="16"/>
  <c r="AO51" i="16"/>
  <c r="AM51" i="16"/>
  <c r="AJ51" i="16"/>
  <c r="AK51" i="16" s="1"/>
  <c r="AB51" i="16"/>
  <c r="AC51" i="16" s="1"/>
  <c r="Z51" i="16"/>
  <c r="V51" i="16"/>
  <c r="BS50" i="16"/>
  <c r="BN50" i="16"/>
  <c r="BM50" i="16"/>
  <c r="BL50" i="16"/>
  <c r="BI50" i="16"/>
  <c r="BE50" i="16"/>
  <c r="AY50" i="16"/>
  <c r="AW50" i="16"/>
  <c r="AX50" i="16" s="1"/>
  <c r="AT50" i="16"/>
  <c r="AO50" i="16"/>
  <c r="AM50" i="16"/>
  <c r="AN50" i="16" s="1"/>
  <c r="AJ50" i="16"/>
  <c r="AK50" i="16" s="1"/>
  <c r="AB50" i="16"/>
  <c r="AC50" i="16" s="1"/>
  <c r="Z50" i="16"/>
  <c r="V50" i="16"/>
  <c r="BS49" i="16"/>
  <c r="BN49" i="16"/>
  <c r="BM49" i="16"/>
  <c r="BL49" i="16"/>
  <c r="BI49" i="16"/>
  <c r="BE49" i="16"/>
  <c r="AY49" i="16"/>
  <c r="AW49" i="16"/>
  <c r="AX49" i="16" s="1"/>
  <c r="AT49" i="16"/>
  <c r="AU49" i="16" s="1"/>
  <c r="AO49" i="16"/>
  <c r="AM49" i="16"/>
  <c r="AJ49" i="16"/>
  <c r="AK49" i="16" s="1"/>
  <c r="AB49" i="16"/>
  <c r="AC49" i="16" s="1"/>
  <c r="Z49" i="16"/>
  <c r="V49" i="16"/>
  <c r="BS48" i="16"/>
  <c r="BN48" i="16"/>
  <c r="BM48" i="16"/>
  <c r="BL48" i="16"/>
  <c r="BI48" i="16"/>
  <c r="BE48" i="16"/>
  <c r="AY48" i="16"/>
  <c r="AW48" i="16"/>
  <c r="AX48" i="16" s="1"/>
  <c r="AT48" i="16"/>
  <c r="AU48" i="16" s="1"/>
  <c r="AO48" i="16"/>
  <c r="AM48" i="16"/>
  <c r="AN48" i="16" s="1"/>
  <c r="AJ48" i="16"/>
  <c r="AK48" i="16" s="1"/>
  <c r="AB48" i="16"/>
  <c r="AC48" i="16" s="1"/>
  <c r="Z48" i="16"/>
  <c r="V48" i="16"/>
  <c r="BS47" i="16"/>
  <c r="BN47" i="16"/>
  <c r="BM47" i="16"/>
  <c r="BL47" i="16"/>
  <c r="BI47" i="16"/>
  <c r="BE47" i="16"/>
  <c r="AY47" i="16"/>
  <c r="AW47" i="16"/>
  <c r="AX47" i="16" s="1"/>
  <c r="AT47" i="16"/>
  <c r="AU47" i="16" s="1"/>
  <c r="AO47" i="16"/>
  <c r="AM47" i="16"/>
  <c r="AJ47" i="16"/>
  <c r="AK47" i="16" s="1"/>
  <c r="AB47" i="16"/>
  <c r="AC47" i="16" s="1"/>
  <c r="Z47" i="16"/>
  <c r="V47" i="16"/>
  <c r="BS46" i="16"/>
  <c r="BN46" i="16"/>
  <c r="BM46" i="16"/>
  <c r="BL46" i="16"/>
  <c r="BI46" i="16"/>
  <c r="BE46" i="16"/>
  <c r="AY46" i="16"/>
  <c r="AW46" i="16"/>
  <c r="AX46" i="16" s="1"/>
  <c r="AT46" i="16"/>
  <c r="AU46" i="16" s="1"/>
  <c r="AO46" i="16"/>
  <c r="AM46" i="16"/>
  <c r="AN46" i="16" s="1"/>
  <c r="AJ46" i="16"/>
  <c r="AK46" i="16" s="1"/>
  <c r="AB46" i="16"/>
  <c r="AC46" i="16" s="1"/>
  <c r="Z46" i="16"/>
  <c r="V46" i="16"/>
  <c r="BS45" i="16"/>
  <c r="BN45" i="16"/>
  <c r="BM45" i="16"/>
  <c r="BL45" i="16"/>
  <c r="BI45" i="16"/>
  <c r="BE45" i="16"/>
  <c r="AY45" i="16"/>
  <c r="AW45" i="16"/>
  <c r="AT45" i="16"/>
  <c r="AU45" i="16" s="1"/>
  <c r="AO45" i="16"/>
  <c r="AM45" i="16"/>
  <c r="AJ45" i="16"/>
  <c r="AK45" i="16" s="1"/>
  <c r="AB45" i="16"/>
  <c r="AC45" i="16" s="1"/>
  <c r="Z45" i="16"/>
  <c r="V45" i="16"/>
  <c r="BS44" i="16"/>
  <c r="BN44" i="16"/>
  <c r="BM44" i="16"/>
  <c r="BL44" i="16"/>
  <c r="BI44" i="16"/>
  <c r="BE44" i="16"/>
  <c r="AY44" i="16"/>
  <c r="AW44" i="16"/>
  <c r="AX44" i="16" s="1"/>
  <c r="AT44" i="16"/>
  <c r="AO44" i="16"/>
  <c r="AM44" i="16"/>
  <c r="AJ44" i="16"/>
  <c r="AK44" i="16" s="1"/>
  <c r="AB44" i="16"/>
  <c r="AC44" i="16" s="1"/>
  <c r="Z44" i="16"/>
  <c r="V44" i="16"/>
  <c r="BS43" i="16"/>
  <c r="BN43" i="16"/>
  <c r="BM43" i="16"/>
  <c r="BL43" i="16"/>
  <c r="BI43" i="16"/>
  <c r="BE43" i="16"/>
  <c r="AY43" i="16"/>
  <c r="AW43" i="16"/>
  <c r="AX43" i="16" s="1"/>
  <c r="AT43" i="16"/>
  <c r="AO43" i="16"/>
  <c r="AM43" i="16"/>
  <c r="AN43" i="16" s="1"/>
  <c r="AJ43" i="16"/>
  <c r="AB43" i="16"/>
  <c r="AC43" i="16" s="1"/>
  <c r="Z43" i="16"/>
  <c r="V43" i="16"/>
  <c r="BS42" i="16"/>
  <c r="BN42" i="16"/>
  <c r="BM42" i="16"/>
  <c r="BL42" i="16"/>
  <c r="BI42" i="16"/>
  <c r="BE42" i="16"/>
  <c r="AY42" i="16"/>
  <c r="AW42" i="16"/>
  <c r="AX42" i="16" s="1"/>
  <c r="AT42" i="16"/>
  <c r="AO42" i="16"/>
  <c r="AM42" i="16"/>
  <c r="AN42" i="16" s="1"/>
  <c r="AJ42" i="16"/>
  <c r="AK42" i="16" s="1"/>
  <c r="AB42" i="16"/>
  <c r="AC42" i="16" s="1"/>
  <c r="Z42" i="16"/>
  <c r="V42" i="16"/>
  <c r="BS41" i="16"/>
  <c r="BN41" i="16"/>
  <c r="BM41" i="16"/>
  <c r="BL41" i="16"/>
  <c r="BI41" i="16"/>
  <c r="BE41" i="16"/>
  <c r="AY41" i="16"/>
  <c r="AW41" i="16"/>
  <c r="AX41" i="16" s="1"/>
  <c r="AT41" i="16"/>
  <c r="AO41" i="16"/>
  <c r="AM41" i="16"/>
  <c r="AN41" i="16" s="1"/>
  <c r="AJ41" i="16"/>
  <c r="AK41" i="16" s="1"/>
  <c r="AB41" i="16"/>
  <c r="AC41" i="16" s="1"/>
  <c r="Z41" i="16"/>
  <c r="V41" i="16"/>
  <c r="BS40" i="16"/>
  <c r="BN40" i="16"/>
  <c r="BM40" i="16"/>
  <c r="BL40" i="16"/>
  <c r="BI40" i="16"/>
  <c r="BE40" i="16"/>
  <c r="AY40" i="16"/>
  <c r="AW40" i="16"/>
  <c r="AX40" i="16" s="1"/>
  <c r="AT40" i="16"/>
  <c r="AU40" i="16" s="1"/>
  <c r="AO40" i="16"/>
  <c r="AM40" i="16"/>
  <c r="AN40" i="16" s="1"/>
  <c r="AJ40" i="16"/>
  <c r="AK40" i="16" s="1"/>
  <c r="AB40" i="16"/>
  <c r="AC40" i="16" s="1"/>
  <c r="Z40" i="16"/>
  <c r="V40" i="16"/>
  <c r="BS39" i="16"/>
  <c r="BN39" i="16"/>
  <c r="BM39" i="16"/>
  <c r="BL39" i="16"/>
  <c r="BI39" i="16"/>
  <c r="BE39" i="16"/>
  <c r="AY39" i="16"/>
  <c r="AW39" i="16"/>
  <c r="AX39" i="16" s="1"/>
  <c r="AT39" i="16"/>
  <c r="AO39" i="16"/>
  <c r="AM39" i="16"/>
  <c r="AJ39" i="16"/>
  <c r="AK39" i="16" s="1"/>
  <c r="AB39" i="16"/>
  <c r="AC39" i="16" s="1"/>
  <c r="Z39" i="16"/>
  <c r="V39" i="16"/>
  <c r="BS38" i="16"/>
  <c r="BN38" i="16"/>
  <c r="BM38" i="16"/>
  <c r="BL38" i="16"/>
  <c r="BI38" i="16"/>
  <c r="BE38" i="16"/>
  <c r="AY38" i="16"/>
  <c r="AW38" i="16"/>
  <c r="AX38" i="16" s="1"/>
  <c r="AT38" i="16"/>
  <c r="AO38" i="16"/>
  <c r="AM38" i="16"/>
  <c r="AN38" i="16" s="1"/>
  <c r="AJ38" i="16"/>
  <c r="AK38" i="16" s="1"/>
  <c r="AB38" i="16"/>
  <c r="AC38" i="16" s="1"/>
  <c r="Z38" i="16"/>
  <c r="V38" i="16"/>
  <c r="BS37" i="16"/>
  <c r="BN37" i="16"/>
  <c r="BM37" i="16"/>
  <c r="BL37" i="16"/>
  <c r="BI37" i="16"/>
  <c r="BE37" i="16"/>
  <c r="AY37" i="16"/>
  <c r="AW37" i="16"/>
  <c r="AX37" i="16" s="1"/>
  <c r="AT37" i="16"/>
  <c r="AU37" i="16" s="1"/>
  <c r="AO37" i="16"/>
  <c r="AM37" i="16"/>
  <c r="AJ37" i="16"/>
  <c r="AK37" i="16" s="1"/>
  <c r="AB37" i="16"/>
  <c r="AC37" i="16" s="1"/>
  <c r="Z37" i="16"/>
  <c r="V37" i="16"/>
  <c r="BS36" i="16"/>
  <c r="BN36" i="16"/>
  <c r="BM36" i="16"/>
  <c r="BL36" i="16"/>
  <c r="BI36" i="16"/>
  <c r="BE36" i="16"/>
  <c r="AY36" i="16"/>
  <c r="AW36" i="16"/>
  <c r="AX36" i="16" s="1"/>
  <c r="AT36" i="16"/>
  <c r="AO36" i="16"/>
  <c r="AM36" i="16"/>
  <c r="AJ36" i="16"/>
  <c r="AK36" i="16" s="1"/>
  <c r="AB36" i="16"/>
  <c r="AC36" i="16" s="1"/>
  <c r="Z36" i="16"/>
  <c r="V36" i="16"/>
  <c r="BS35" i="16"/>
  <c r="BN35" i="16"/>
  <c r="BM35" i="16"/>
  <c r="BL35" i="16"/>
  <c r="BI35" i="16"/>
  <c r="BE35" i="16"/>
  <c r="AY35" i="16"/>
  <c r="AW35" i="16"/>
  <c r="AX35" i="16" s="1"/>
  <c r="AT35" i="16"/>
  <c r="AU35" i="16" s="1"/>
  <c r="AO35" i="16"/>
  <c r="AM35" i="16"/>
  <c r="AJ35" i="16"/>
  <c r="AK35" i="16" s="1"/>
  <c r="AB35" i="16"/>
  <c r="AC35" i="16" s="1"/>
  <c r="Z35" i="16"/>
  <c r="V35" i="16"/>
  <c r="BS34" i="16"/>
  <c r="BN34" i="16"/>
  <c r="BM34" i="16"/>
  <c r="BL34" i="16"/>
  <c r="BI34" i="16"/>
  <c r="BE34" i="16"/>
  <c r="AY34" i="16"/>
  <c r="AW34" i="16"/>
  <c r="AT34" i="16"/>
  <c r="AU34" i="16" s="1"/>
  <c r="AO34" i="16"/>
  <c r="AM34" i="16"/>
  <c r="AN34" i="16" s="1"/>
  <c r="AJ34" i="16"/>
  <c r="AK34" i="16" s="1"/>
  <c r="AB34" i="16"/>
  <c r="AC34" i="16" s="1"/>
  <c r="Z34" i="16"/>
  <c r="V34" i="16"/>
  <c r="BS33" i="16"/>
  <c r="BN33" i="16"/>
  <c r="BM33" i="16"/>
  <c r="BL33" i="16"/>
  <c r="BI33" i="16"/>
  <c r="BE33" i="16"/>
  <c r="AY33" i="16"/>
  <c r="AW33" i="16"/>
  <c r="AX33" i="16" s="1"/>
  <c r="AT33" i="16"/>
  <c r="AO33" i="16"/>
  <c r="AM33" i="16"/>
  <c r="AJ33" i="16"/>
  <c r="AK33" i="16" s="1"/>
  <c r="AB33" i="16"/>
  <c r="AC33" i="16" s="1"/>
  <c r="Z33" i="16"/>
  <c r="V33" i="16"/>
  <c r="BS32" i="16"/>
  <c r="BN32" i="16"/>
  <c r="BM32" i="16"/>
  <c r="BL32" i="16"/>
  <c r="BI32" i="16"/>
  <c r="BE32" i="16"/>
  <c r="AY32" i="16"/>
  <c r="AW32" i="16"/>
  <c r="AT32" i="16"/>
  <c r="AU32" i="16" s="1"/>
  <c r="AO32" i="16"/>
  <c r="AM32" i="16"/>
  <c r="AJ32" i="16"/>
  <c r="AK32" i="16" s="1"/>
  <c r="AB32" i="16"/>
  <c r="AC32" i="16" s="1"/>
  <c r="Z32" i="16"/>
  <c r="V32" i="16"/>
  <c r="BS31" i="16"/>
  <c r="BN31" i="16"/>
  <c r="BM31" i="16"/>
  <c r="BL31" i="16"/>
  <c r="BI31" i="16"/>
  <c r="BE31" i="16"/>
  <c r="AY31" i="16"/>
  <c r="AW31" i="16"/>
  <c r="AX31" i="16" s="1"/>
  <c r="AT31" i="16"/>
  <c r="AU31" i="16" s="1"/>
  <c r="AO31" i="16"/>
  <c r="AM31" i="16"/>
  <c r="AN31" i="16" s="1"/>
  <c r="AJ31" i="16"/>
  <c r="AB31" i="16"/>
  <c r="AC31" i="16" s="1"/>
  <c r="Z31" i="16"/>
  <c r="V31" i="16"/>
  <c r="BS30" i="16"/>
  <c r="BN30" i="16"/>
  <c r="BM30" i="16"/>
  <c r="BL30" i="16"/>
  <c r="BI30" i="16"/>
  <c r="BE30" i="16"/>
  <c r="AY30" i="16"/>
  <c r="AW30" i="16"/>
  <c r="AX30" i="16" s="1"/>
  <c r="AT30" i="16"/>
  <c r="AU30" i="16" s="1"/>
  <c r="AO30" i="16"/>
  <c r="AM30" i="16"/>
  <c r="AN30" i="16" s="1"/>
  <c r="AJ30" i="16"/>
  <c r="AK30" i="16" s="1"/>
  <c r="AB30" i="16"/>
  <c r="AC30" i="16" s="1"/>
  <c r="Z30" i="16"/>
  <c r="V30" i="16"/>
  <c r="BS29" i="16"/>
  <c r="BN29" i="16"/>
  <c r="BM29" i="16"/>
  <c r="BL29" i="16"/>
  <c r="BI29" i="16"/>
  <c r="BE29" i="16"/>
  <c r="AY29" i="16"/>
  <c r="AW29" i="16"/>
  <c r="AX29" i="16" s="1"/>
  <c r="AT29" i="16"/>
  <c r="AU29" i="16" s="1"/>
  <c r="AO29" i="16"/>
  <c r="AM29" i="16"/>
  <c r="AJ29" i="16"/>
  <c r="AK29" i="16" s="1"/>
  <c r="AB29" i="16"/>
  <c r="AC29" i="16" s="1"/>
  <c r="Z29" i="16"/>
  <c r="V29" i="16"/>
  <c r="BS28" i="16"/>
  <c r="BN28" i="16"/>
  <c r="BM28" i="16"/>
  <c r="BL28" i="16"/>
  <c r="BI28" i="16"/>
  <c r="BE28" i="16"/>
  <c r="AY28" i="16"/>
  <c r="AW28" i="16"/>
  <c r="AX28" i="16" s="1"/>
  <c r="AT28" i="16"/>
  <c r="AO28" i="16"/>
  <c r="AM28" i="16"/>
  <c r="AJ28" i="16"/>
  <c r="AK28" i="16" s="1"/>
  <c r="AB28" i="16"/>
  <c r="AC28" i="16" s="1"/>
  <c r="Z28" i="16"/>
  <c r="V28" i="16"/>
  <c r="BS27" i="16"/>
  <c r="BN27" i="16"/>
  <c r="BM27" i="16"/>
  <c r="BL27" i="16"/>
  <c r="BI27" i="16"/>
  <c r="BE27" i="16"/>
  <c r="AY27" i="16"/>
  <c r="AW27" i="16"/>
  <c r="AX27" i="16" s="1"/>
  <c r="AT27" i="16"/>
  <c r="AO27" i="16"/>
  <c r="AM27" i="16"/>
  <c r="AJ27" i="16"/>
  <c r="AK27" i="16" s="1"/>
  <c r="AB27" i="16"/>
  <c r="AC27" i="16" s="1"/>
  <c r="Z27" i="16"/>
  <c r="V27" i="16"/>
  <c r="BS26" i="16"/>
  <c r="BN26" i="16"/>
  <c r="BM26" i="16"/>
  <c r="BL26" i="16"/>
  <c r="BI26" i="16"/>
  <c r="BE26" i="16"/>
  <c r="AY26" i="16"/>
  <c r="AW26" i="16"/>
  <c r="AX26" i="16" s="1"/>
  <c r="AT26" i="16"/>
  <c r="AO26" i="16"/>
  <c r="AM26" i="16"/>
  <c r="AN26" i="16" s="1"/>
  <c r="AJ26" i="16"/>
  <c r="AK26" i="16" s="1"/>
  <c r="AB26" i="16"/>
  <c r="AC26" i="16" s="1"/>
  <c r="Z26" i="16"/>
  <c r="V26" i="16"/>
  <c r="BS25" i="16"/>
  <c r="BN25" i="16"/>
  <c r="BM25" i="16"/>
  <c r="BL25" i="16"/>
  <c r="BI25" i="16"/>
  <c r="BE25" i="16"/>
  <c r="AY25" i="16"/>
  <c r="AW25" i="16"/>
  <c r="AX25" i="16" s="1"/>
  <c r="AT25" i="16"/>
  <c r="AU25" i="16" s="1"/>
  <c r="AO25" i="16"/>
  <c r="AM25" i="16"/>
  <c r="AJ25" i="16"/>
  <c r="AK25" i="16" s="1"/>
  <c r="AB25" i="16"/>
  <c r="AC25" i="16" s="1"/>
  <c r="Z25" i="16"/>
  <c r="V25" i="16"/>
  <c r="G22" i="16"/>
  <c r="J21" i="16"/>
  <c r="J18" i="16"/>
  <c r="U16" i="16"/>
  <c r="P16" i="16"/>
  <c r="U15" i="16"/>
  <c r="P15" i="16"/>
  <c r="BO27" i="16" l="1"/>
  <c r="BO46" i="16"/>
  <c r="BM56" i="16"/>
  <c r="AZ39" i="16"/>
  <c r="BA39" i="16" s="1"/>
  <c r="BO33" i="16"/>
  <c r="BO45" i="16"/>
  <c r="BO50" i="16"/>
  <c r="BO35" i="16"/>
  <c r="BO40" i="16"/>
  <c r="BO44" i="16"/>
  <c r="AZ54" i="16"/>
  <c r="BA54" i="16" s="1"/>
  <c r="P18" i="16"/>
  <c r="H34" i="16"/>
  <c r="I34" i="16" s="1"/>
  <c r="R20" i="16"/>
  <c r="H47" i="16"/>
  <c r="I47" i="16" s="1"/>
  <c r="BO39" i="16"/>
  <c r="BS56" i="16"/>
  <c r="H35" i="16"/>
  <c r="I35" i="16" s="1"/>
  <c r="BO47" i="16"/>
  <c r="BO52" i="16"/>
  <c r="H45" i="16"/>
  <c r="I45" i="16" s="1"/>
  <c r="BO28" i="16"/>
  <c r="BO32" i="16"/>
  <c r="H33" i="16"/>
  <c r="I33" i="16" s="1"/>
  <c r="H46" i="16"/>
  <c r="I46" i="16" s="1"/>
  <c r="AZ28" i="16"/>
  <c r="BA28" i="16" s="1"/>
  <c r="AP54" i="16"/>
  <c r="AQ54" i="16" s="1"/>
  <c r="AZ51" i="16"/>
  <c r="BA51" i="16" s="1"/>
  <c r="AN54" i="16"/>
  <c r="AP29" i="16"/>
  <c r="AQ29" i="16" s="1"/>
  <c r="AZ42" i="16"/>
  <c r="BA42" i="16" s="1"/>
  <c r="AZ53" i="16"/>
  <c r="BA53" i="16" s="1"/>
  <c r="W18" i="16"/>
  <c r="BO29" i="16"/>
  <c r="H36" i="16"/>
  <c r="I36" i="16" s="1"/>
  <c r="H48" i="16"/>
  <c r="I48" i="16" s="1"/>
  <c r="AZ43" i="16"/>
  <c r="BA43" i="16" s="1"/>
  <c r="BO53" i="16"/>
  <c r="BO55" i="16"/>
  <c r="H25" i="16"/>
  <c r="H37" i="16"/>
  <c r="I37" i="16" s="1"/>
  <c r="H49" i="16"/>
  <c r="I49" i="16" s="1"/>
  <c r="Z56" i="16"/>
  <c r="H26" i="16"/>
  <c r="I26" i="16" s="1"/>
  <c r="H38" i="16"/>
  <c r="I38" i="16" s="1"/>
  <c r="H50" i="16"/>
  <c r="I50" i="16" s="1"/>
  <c r="BO41" i="16"/>
  <c r="H27" i="16"/>
  <c r="I27" i="16" s="1"/>
  <c r="H39" i="16"/>
  <c r="H51" i="16"/>
  <c r="I51" i="16" s="1"/>
  <c r="BO30" i="16"/>
  <c r="BO42" i="16"/>
  <c r="H28" i="16"/>
  <c r="I28" i="16" s="1"/>
  <c r="H40" i="16"/>
  <c r="I40" i="16" s="1"/>
  <c r="H52" i="16"/>
  <c r="I52" i="16" s="1"/>
  <c r="J16" i="16"/>
  <c r="AZ32" i="16"/>
  <c r="BA32" i="16" s="1"/>
  <c r="AZ44" i="16"/>
  <c r="BA44" i="16" s="1"/>
  <c r="AZ49" i="16"/>
  <c r="BA49" i="16" s="1"/>
  <c r="BO51" i="16"/>
  <c r="AP53" i="16"/>
  <c r="AQ53" i="16" s="1"/>
  <c r="BE56" i="16"/>
  <c r="H29" i="16"/>
  <c r="I29" i="16" s="1"/>
  <c r="H41" i="16"/>
  <c r="I41" i="16" s="1"/>
  <c r="H53" i="16"/>
  <c r="I53" i="16" s="1"/>
  <c r="BO26" i="16"/>
  <c r="H30" i="16"/>
  <c r="I30" i="16" s="1"/>
  <c r="H42" i="16"/>
  <c r="I42" i="16" s="1"/>
  <c r="H54" i="16"/>
  <c r="I54" i="16" s="1"/>
  <c r="BO38" i="16"/>
  <c r="P19" i="16"/>
  <c r="U17" i="16"/>
  <c r="BO25" i="16"/>
  <c r="BO37" i="16"/>
  <c r="BO54" i="16"/>
  <c r="V56" i="16"/>
  <c r="H31" i="16"/>
  <c r="I31" i="16" s="1"/>
  <c r="H43" i="16"/>
  <c r="I43" i="16" s="1"/>
  <c r="H55" i="16"/>
  <c r="I55" i="16" s="1"/>
  <c r="BO31" i="16"/>
  <c r="BO34" i="16"/>
  <c r="AP42" i="16"/>
  <c r="AQ42" i="16" s="1"/>
  <c r="BO43" i="16"/>
  <c r="AZ55" i="16"/>
  <c r="BA55" i="16" s="1"/>
  <c r="BI56" i="16"/>
  <c r="H32" i="16"/>
  <c r="I32" i="16" s="1"/>
  <c r="AP36" i="16"/>
  <c r="AQ36" i="16" s="1"/>
  <c r="AZ36" i="16"/>
  <c r="BA36" i="16" s="1"/>
  <c r="AZ34" i="16"/>
  <c r="BA34" i="16" s="1"/>
  <c r="AZ33" i="16"/>
  <c r="BA33" i="16" s="1"/>
  <c r="AP27" i="16"/>
  <c r="AQ27" i="16" s="1"/>
  <c r="AP28" i="16"/>
  <c r="AQ28" i="16" s="1"/>
  <c r="AZ26" i="16"/>
  <c r="BA26" i="16" s="1"/>
  <c r="AZ47" i="16"/>
  <c r="BA47" i="16" s="1"/>
  <c r="AU43" i="16"/>
  <c r="AP44" i="16"/>
  <c r="AQ44" i="16" s="1"/>
  <c r="AZ45" i="16"/>
  <c r="BA45" i="16" s="1"/>
  <c r="AP50" i="16"/>
  <c r="AQ50" i="16" s="1"/>
  <c r="AP51" i="16"/>
  <c r="AQ51" i="16" s="1"/>
  <c r="AP52" i="16"/>
  <c r="AQ52" i="16" s="1"/>
  <c r="AZ48" i="16"/>
  <c r="BA48" i="16" s="1"/>
  <c r="AP40" i="16"/>
  <c r="AQ40" i="16" s="1"/>
  <c r="AZ41" i="16"/>
  <c r="BA41" i="16" s="1"/>
  <c r="AX45" i="16"/>
  <c r="AP49" i="16"/>
  <c r="AQ49" i="16" s="1"/>
  <c r="AP41" i="16"/>
  <c r="AQ41" i="16" s="1"/>
  <c r="AP38" i="16"/>
  <c r="AQ38" i="16" s="1"/>
  <c r="AU33" i="16"/>
  <c r="AP35" i="16"/>
  <c r="AQ35" i="16" s="1"/>
  <c r="AU36" i="16"/>
  <c r="AP37" i="16"/>
  <c r="AQ37" i="16" s="1"/>
  <c r="AZ31" i="16"/>
  <c r="BA31" i="16" s="1"/>
  <c r="AZ37" i="16"/>
  <c r="BA37" i="16" s="1"/>
  <c r="AZ35" i="16"/>
  <c r="BA35" i="16" s="1"/>
  <c r="AP39" i="16"/>
  <c r="AQ39" i="16" s="1"/>
  <c r="AN29" i="16"/>
  <c r="AP31" i="16"/>
  <c r="AQ31" i="16" s="1"/>
  <c r="AN28" i="16"/>
  <c r="AZ25" i="16"/>
  <c r="BA25" i="16" s="1"/>
  <c r="AZ27" i="16"/>
  <c r="BA27" i="16" s="1"/>
  <c r="AP26" i="16"/>
  <c r="AQ26" i="16" s="1"/>
  <c r="AP25" i="16"/>
  <c r="AQ25" i="16" s="1"/>
  <c r="M18" i="16"/>
  <c r="AY56" i="16"/>
  <c r="AU44" i="16"/>
  <c r="W16" i="16"/>
  <c r="AU28" i="16"/>
  <c r="AN51" i="16"/>
  <c r="Q15" i="16"/>
  <c r="R15" i="16" s="1"/>
  <c r="AU26" i="16"/>
  <c r="BO36" i="16"/>
  <c r="AN39" i="16"/>
  <c r="BO48" i="16"/>
  <c r="AP33" i="16"/>
  <c r="AQ33" i="16" s="1"/>
  <c r="AN33" i="16"/>
  <c r="AZ38" i="16"/>
  <c r="BA38" i="16" s="1"/>
  <c r="AU38" i="16"/>
  <c r="AP43" i="16"/>
  <c r="AQ43" i="16" s="1"/>
  <c r="AK43" i="16"/>
  <c r="AP55" i="16"/>
  <c r="AQ55" i="16" s="1"/>
  <c r="AN27" i="16"/>
  <c r="AZ30" i="16"/>
  <c r="BA30" i="16" s="1"/>
  <c r="AX34" i="16"/>
  <c r="AO56" i="16"/>
  <c r="P17" i="16"/>
  <c r="AP47" i="16"/>
  <c r="AQ47" i="16" s="1"/>
  <c r="AU54" i="16"/>
  <c r="AN35" i="16"/>
  <c r="AZ46" i="16"/>
  <c r="BA46" i="16" s="1"/>
  <c r="AN47" i="16"/>
  <c r="AN49" i="16"/>
  <c r="AU51" i="16"/>
  <c r="AT56" i="16"/>
  <c r="AU56" i="16" s="1"/>
  <c r="BN56" i="16"/>
  <c r="AZ29" i="16"/>
  <c r="BA29" i="16" s="1"/>
  <c r="AN37" i="16"/>
  <c r="AU39" i="16"/>
  <c r="BO49" i="16"/>
  <c r="I39" i="16"/>
  <c r="BL56" i="16"/>
  <c r="AN36" i="16"/>
  <c r="AK31" i="16"/>
  <c r="AJ56" i="16"/>
  <c r="AK56" i="16" s="1"/>
  <c r="Q16" i="16"/>
  <c r="AM56" i="16"/>
  <c r="AN45" i="16"/>
  <c r="AP45" i="16"/>
  <c r="AQ45" i="16" s="1"/>
  <c r="AP48" i="16"/>
  <c r="AQ48" i="16" s="1"/>
  <c r="AU41" i="16"/>
  <c r="AN25" i="16"/>
  <c r="V15" i="16"/>
  <c r="W15" i="16" s="1"/>
  <c r="AU27" i="16"/>
  <c r="AP30" i="16"/>
  <c r="AQ30" i="16" s="1"/>
  <c r="AZ52" i="16"/>
  <c r="BA52" i="16" s="1"/>
  <c r="AW56" i="16"/>
  <c r="AX56" i="16" s="1"/>
  <c r="AU53" i="16"/>
  <c r="AX32" i="16"/>
  <c r="AZ50" i="16"/>
  <c r="BA50" i="16" s="1"/>
  <c r="AU50" i="16"/>
  <c r="AU42" i="16"/>
  <c r="AP32" i="16"/>
  <c r="AQ32" i="16" s="1"/>
  <c r="AN32" i="16"/>
  <c r="AB56" i="16"/>
  <c r="M16" i="16" s="1"/>
  <c r="AC56" i="16"/>
  <c r="AP34" i="16"/>
  <c r="AQ34" i="16" s="1"/>
  <c r="AZ40" i="16"/>
  <c r="BA40" i="16" s="1"/>
  <c r="AP46" i="16"/>
  <c r="AQ46" i="16" s="1"/>
  <c r="AU52" i="16"/>
  <c r="AN44" i="16"/>
  <c r="AN55" i="16"/>
  <c r="BO56" i="16" l="1"/>
  <c r="H56" i="16"/>
  <c r="V17" i="16"/>
  <c r="W17" i="16" s="1"/>
  <c r="AZ56" i="16"/>
  <c r="AP56" i="16"/>
  <c r="AQ56" i="16" s="1"/>
  <c r="AN56" i="16"/>
  <c r="M17" i="16"/>
  <c r="R16" i="16"/>
  <c r="Q18" i="16"/>
  <c r="R18" i="16" s="1"/>
  <c r="J17" i="16"/>
  <c r="BA56" i="16" l="1"/>
  <c r="Q19" i="16"/>
  <c r="R19" i="16" s="1"/>
  <c r="V9" i="6" l="1"/>
  <c r="T18" i="6"/>
  <c r="R18" i="6"/>
  <c r="Q18" i="6"/>
  <c r="N18" i="6"/>
  <c r="E18" i="6"/>
  <c r="B18" i="6"/>
  <c r="V17" i="6"/>
  <c r="S17" i="6"/>
  <c r="P17" i="6"/>
  <c r="L17" i="6"/>
  <c r="K17" i="6"/>
  <c r="J17" i="6"/>
  <c r="G17" i="6"/>
  <c r="D17" i="6"/>
  <c r="V16" i="6"/>
  <c r="S16" i="6"/>
  <c r="P16" i="6"/>
  <c r="L16" i="6"/>
  <c r="K16" i="6"/>
  <c r="J16" i="6"/>
  <c r="G16" i="6"/>
  <c r="D16" i="6"/>
  <c r="V15" i="6"/>
  <c r="S15" i="6"/>
  <c r="P15" i="6"/>
  <c r="L15" i="6"/>
  <c r="K15" i="6"/>
  <c r="J15" i="6"/>
  <c r="G15" i="6"/>
  <c r="D15" i="6"/>
  <c r="V14" i="6"/>
  <c r="S14" i="6"/>
  <c r="P14" i="6"/>
  <c r="L14" i="6"/>
  <c r="K14" i="6"/>
  <c r="J14" i="6"/>
  <c r="G14" i="6"/>
  <c r="D14" i="6"/>
  <c r="V13" i="6"/>
  <c r="S13" i="6"/>
  <c r="P13" i="6"/>
  <c r="L13" i="6"/>
  <c r="K13" i="6"/>
  <c r="G13" i="6"/>
  <c r="D13" i="6"/>
  <c r="V12" i="6"/>
  <c r="S12" i="6"/>
  <c r="P12" i="6"/>
  <c r="L12" i="6"/>
  <c r="K12" i="6"/>
  <c r="J12" i="6"/>
  <c r="G12" i="6"/>
  <c r="D12" i="6"/>
  <c r="V11" i="6"/>
  <c r="S11" i="6"/>
  <c r="P11" i="6"/>
  <c r="L11" i="6"/>
  <c r="K11" i="6"/>
  <c r="G11" i="6"/>
  <c r="D11" i="6"/>
  <c r="V10" i="6"/>
  <c r="S10" i="6"/>
  <c r="P10" i="6"/>
  <c r="L10" i="6"/>
  <c r="K10" i="6"/>
  <c r="J10" i="6"/>
  <c r="G10" i="6"/>
  <c r="D10" i="6"/>
  <c r="S9" i="6"/>
  <c r="K9" i="6"/>
  <c r="J9" i="6"/>
  <c r="V8" i="6"/>
  <c r="S8" i="6"/>
  <c r="K8" i="6"/>
  <c r="J8" i="6"/>
  <c r="D8" i="6"/>
  <c r="S7" i="6"/>
  <c r="P7" i="6"/>
  <c r="K7" i="6"/>
  <c r="J7" i="6"/>
  <c r="G7" i="6"/>
  <c r="D7" i="6"/>
  <c r="V6" i="6"/>
  <c r="S6" i="6"/>
  <c r="P6" i="6"/>
  <c r="K6" i="6"/>
  <c r="D6" i="6"/>
  <c r="N9" i="5"/>
  <c r="O18" i="5"/>
  <c r="I18" i="5"/>
  <c r="H18" i="5"/>
  <c r="L18" i="5"/>
  <c r="F18" i="5"/>
  <c r="Q17" i="5"/>
  <c r="J17" i="5"/>
  <c r="K17" i="5" s="1"/>
  <c r="N17" i="5"/>
  <c r="G17" i="5"/>
  <c r="E17" i="5"/>
  <c r="D17" i="5"/>
  <c r="Q16" i="5"/>
  <c r="J16" i="5"/>
  <c r="K16" i="5" s="1"/>
  <c r="N16" i="5"/>
  <c r="G16" i="5"/>
  <c r="E16" i="5"/>
  <c r="D16" i="5"/>
  <c r="Q15" i="5"/>
  <c r="J15" i="5"/>
  <c r="K15" i="5" s="1"/>
  <c r="N15" i="5"/>
  <c r="G15" i="5"/>
  <c r="E15" i="5"/>
  <c r="D15" i="5"/>
  <c r="Q14" i="5"/>
  <c r="J14" i="5"/>
  <c r="K14" i="5" s="1"/>
  <c r="N14" i="5"/>
  <c r="G14" i="5"/>
  <c r="E14" i="5"/>
  <c r="D14" i="5"/>
  <c r="Q13" i="5"/>
  <c r="J13" i="5"/>
  <c r="K13" i="5" s="1"/>
  <c r="N13" i="5"/>
  <c r="Q12" i="5"/>
  <c r="K12" i="5"/>
  <c r="J12" i="5"/>
  <c r="N12" i="5"/>
  <c r="G12" i="5"/>
  <c r="E12" i="5"/>
  <c r="D12" i="5"/>
  <c r="Q11" i="5"/>
  <c r="K11" i="5"/>
  <c r="J11" i="5"/>
  <c r="N11" i="5"/>
  <c r="Q10" i="5"/>
  <c r="K10" i="5"/>
  <c r="J10" i="5"/>
  <c r="N10" i="5"/>
  <c r="G10" i="5"/>
  <c r="E10" i="5"/>
  <c r="D10" i="5"/>
  <c r="K9" i="5"/>
  <c r="J9" i="5"/>
  <c r="Q8" i="5"/>
  <c r="K8" i="5"/>
  <c r="J8" i="5"/>
  <c r="N8" i="5"/>
  <c r="E8" i="5"/>
  <c r="Q7" i="5"/>
  <c r="K7" i="5"/>
  <c r="J7" i="5"/>
  <c r="N7" i="5"/>
  <c r="G7" i="5"/>
  <c r="K6" i="5"/>
  <c r="J6" i="5"/>
  <c r="N6" i="5"/>
  <c r="G6" i="5"/>
  <c r="M11" i="6" l="1"/>
  <c r="J18" i="5"/>
  <c r="K18" i="6"/>
  <c r="M15" i="6"/>
  <c r="S18" i="6"/>
  <c r="M13" i="6"/>
  <c r="M17" i="6"/>
  <c r="K18" i="5"/>
  <c r="M16" i="6"/>
  <c r="M12" i="6"/>
  <c r="M14" i="6"/>
  <c r="M10" i="6"/>
  <c r="U18" i="6"/>
  <c r="V18" i="6" s="1"/>
  <c r="L8" i="6"/>
  <c r="M8" i="6" s="1"/>
  <c r="L7" i="6"/>
  <c r="M7" i="6" s="1"/>
  <c r="E7" i="5"/>
  <c r="D7" i="5"/>
  <c r="G6" i="6"/>
  <c r="G8" i="5"/>
  <c r="M18" i="5"/>
  <c r="N18" i="5" s="1"/>
  <c r="L6" i="6"/>
  <c r="M6" i="6" s="1"/>
  <c r="P8" i="6"/>
  <c r="J6" i="6"/>
  <c r="V7" i="6"/>
  <c r="G8" i="6"/>
  <c r="D6" i="5"/>
  <c r="Q6" i="5"/>
  <c r="D8" i="5"/>
  <c r="E6" i="5"/>
  <c r="V11" i="9" l="1"/>
  <c r="U11" i="9"/>
  <c r="S11" i="9"/>
  <c r="R11" i="9"/>
  <c r="Q11" i="9"/>
  <c r="N11" i="9"/>
  <c r="J11" i="9"/>
  <c r="I11" i="9"/>
  <c r="H11" i="9"/>
  <c r="E11" i="9"/>
  <c r="D11" i="9"/>
  <c r="O10" i="9"/>
  <c r="L10" i="9"/>
  <c r="F10" i="9"/>
  <c r="B10" i="9"/>
  <c r="O9" i="9"/>
  <c r="L9" i="9"/>
  <c r="F9" i="9"/>
  <c r="B9" i="9"/>
  <c r="O8" i="9"/>
  <c r="L8" i="9"/>
  <c r="F8" i="9"/>
  <c r="B8" i="9"/>
  <c r="O7" i="9"/>
  <c r="L7" i="9"/>
  <c r="F7" i="9"/>
  <c r="B7" i="9"/>
  <c r="O6" i="9"/>
  <c r="L6" i="9"/>
  <c r="F6" i="9"/>
  <c r="B6" i="9"/>
  <c r="G36" i="10"/>
  <c r="B36" i="10"/>
  <c r="D36" i="10" s="1"/>
  <c r="G35" i="10"/>
  <c r="B35" i="10"/>
  <c r="D35" i="10" s="1"/>
  <c r="G34" i="10"/>
  <c r="B34" i="10"/>
  <c r="D34" i="10" s="1"/>
  <c r="G33" i="10"/>
  <c r="B33" i="10"/>
  <c r="D33" i="10" s="1"/>
  <c r="G32" i="10"/>
  <c r="B32" i="10"/>
  <c r="D32" i="10" s="1"/>
  <c r="G31" i="10"/>
  <c r="B31" i="10"/>
  <c r="D31" i="10" s="1"/>
  <c r="G30" i="10"/>
  <c r="B30" i="10"/>
  <c r="D30" i="10" s="1"/>
  <c r="G29" i="10"/>
  <c r="B29" i="10"/>
  <c r="D29" i="10" s="1"/>
  <c r="G28" i="10"/>
  <c r="B28" i="10"/>
  <c r="D28" i="10" s="1"/>
  <c r="G27" i="10"/>
  <c r="B27" i="10"/>
  <c r="D27" i="10" s="1"/>
  <c r="G26" i="10"/>
  <c r="B26" i="10"/>
  <c r="D26" i="10" s="1"/>
  <c r="G25" i="10"/>
  <c r="B25" i="10"/>
  <c r="D25" i="10" s="1"/>
  <c r="G24" i="10"/>
  <c r="B24" i="10"/>
  <c r="D24" i="10" s="1"/>
  <c r="G23" i="10"/>
  <c r="B23" i="10"/>
  <c r="D23" i="10" s="1"/>
  <c r="G22" i="10"/>
  <c r="B22" i="10"/>
  <c r="D22" i="10" s="1"/>
  <c r="G21" i="10"/>
  <c r="B21" i="10"/>
  <c r="D21" i="10" s="1"/>
  <c r="G20" i="10"/>
  <c r="B20" i="10"/>
  <c r="D20" i="10" s="1"/>
  <c r="G19" i="10"/>
  <c r="B19" i="10"/>
  <c r="D19" i="10" s="1"/>
  <c r="G18" i="10"/>
  <c r="B18" i="10"/>
  <c r="D18" i="10" s="1"/>
  <c r="G17" i="10"/>
  <c r="B17" i="10"/>
  <c r="D17" i="10" s="1"/>
  <c r="G16" i="10"/>
  <c r="B16" i="10"/>
  <c r="D16" i="10" s="1"/>
  <c r="G15" i="10"/>
  <c r="B15" i="10"/>
  <c r="D15" i="10" s="1"/>
  <c r="G14" i="10"/>
  <c r="B14" i="10"/>
  <c r="D14" i="10" s="1"/>
  <c r="G13" i="10"/>
  <c r="B13" i="10"/>
  <c r="D13" i="10" s="1"/>
  <c r="G12" i="10"/>
  <c r="B12" i="10"/>
  <c r="D12" i="10" s="1"/>
  <c r="G11" i="10"/>
  <c r="B11" i="10"/>
  <c r="D11" i="10" s="1"/>
  <c r="G10" i="10"/>
  <c r="B10" i="10"/>
  <c r="D10" i="10" s="1"/>
  <c r="G9" i="10"/>
  <c r="B9" i="10"/>
  <c r="D9" i="10" s="1"/>
  <c r="G8" i="10"/>
  <c r="B8" i="10"/>
  <c r="D8" i="10" s="1"/>
  <c r="G7" i="10"/>
  <c r="B7" i="10"/>
  <c r="D7" i="10" s="1"/>
  <c r="G6" i="10"/>
  <c r="B6" i="10"/>
  <c r="A6" i="10"/>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B8" i="12"/>
  <c r="B9" i="12" s="1"/>
  <c r="B10" i="12" s="1"/>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R56" i="3"/>
  <c r="V18" i="3" s="1"/>
  <c r="BQ56" i="3"/>
  <c r="U18" i="3" s="1"/>
  <c r="BK56" i="3"/>
  <c r="V16" i="3" s="1"/>
  <c r="BJ56" i="3"/>
  <c r="BH56" i="3"/>
  <c r="BG56" i="3"/>
  <c r="BD56" i="3"/>
  <c r="BC56" i="3"/>
  <c r="P20" i="3" s="1"/>
  <c r="AV56" i="3"/>
  <c r="AS56" i="3"/>
  <c r="AL56" i="3"/>
  <c r="AI56" i="3"/>
  <c r="AE56" i="3"/>
  <c r="T56" i="3"/>
  <c r="P56" i="3"/>
  <c r="O56" i="3"/>
  <c r="G56" i="3"/>
  <c r="G22" i="3" s="1"/>
  <c r="BS55" i="3"/>
  <c r="BN55" i="3"/>
  <c r="BM55" i="3"/>
  <c r="BL55" i="3"/>
  <c r="BI55" i="3"/>
  <c r="BE55" i="3"/>
  <c r="AY55" i="3"/>
  <c r="AW55" i="3"/>
  <c r="AX55" i="3" s="1"/>
  <c r="AT55" i="3"/>
  <c r="AU55" i="3" s="1"/>
  <c r="AO55" i="3"/>
  <c r="AM55" i="3"/>
  <c r="M10" i="9" s="1"/>
  <c r="AJ55" i="3"/>
  <c r="BS54" i="3"/>
  <c r="BN54" i="3"/>
  <c r="BM54" i="3"/>
  <c r="BL54" i="3"/>
  <c r="BI54" i="3"/>
  <c r="BE54" i="3"/>
  <c r="AY54" i="3"/>
  <c r="AW54" i="3"/>
  <c r="AX54" i="3" s="1"/>
  <c r="AT54" i="3"/>
  <c r="AO54" i="3"/>
  <c r="AM54" i="3"/>
  <c r="AN54" i="3" s="1"/>
  <c r="AJ54" i="3"/>
  <c r="AK54" i="3" s="1"/>
  <c r="BS53" i="3"/>
  <c r="BN53" i="3"/>
  <c r="BM53" i="3"/>
  <c r="BL53" i="3"/>
  <c r="BI53" i="3"/>
  <c r="BE53" i="3"/>
  <c r="AY53" i="3"/>
  <c r="AW53" i="3"/>
  <c r="AX53" i="3" s="1"/>
  <c r="AT53" i="3"/>
  <c r="AO53" i="3"/>
  <c r="AM53" i="3"/>
  <c r="AJ53" i="3"/>
  <c r="AK53" i="3" s="1"/>
  <c r="BS52" i="3"/>
  <c r="BN52" i="3"/>
  <c r="BM52" i="3"/>
  <c r="BL52" i="3"/>
  <c r="BI52" i="3"/>
  <c r="BE52" i="3"/>
  <c r="AY52" i="3"/>
  <c r="AW52" i="3"/>
  <c r="AX52" i="3" s="1"/>
  <c r="AT52" i="3"/>
  <c r="AO52" i="3"/>
  <c r="AM52" i="3"/>
  <c r="AJ52" i="3"/>
  <c r="AK52" i="3" s="1"/>
  <c r="BS51" i="3"/>
  <c r="BN51" i="3"/>
  <c r="BM51" i="3"/>
  <c r="BL51" i="3"/>
  <c r="BI51" i="3"/>
  <c r="BE51" i="3"/>
  <c r="AY51" i="3"/>
  <c r="AW51" i="3"/>
  <c r="AX51" i="3" s="1"/>
  <c r="AT51" i="3"/>
  <c r="AO51" i="3"/>
  <c r="AM51" i="3"/>
  <c r="AJ51" i="3"/>
  <c r="AK51" i="3" s="1"/>
  <c r="BS50" i="3"/>
  <c r="BN50" i="3"/>
  <c r="BM50" i="3"/>
  <c r="BL50" i="3"/>
  <c r="BI50" i="3"/>
  <c r="BE50" i="3"/>
  <c r="AY50" i="3"/>
  <c r="AW50" i="3"/>
  <c r="AX50" i="3" s="1"/>
  <c r="AT50" i="3"/>
  <c r="AO50" i="3"/>
  <c r="AM50" i="3"/>
  <c r="AJ50" i="3"/>
  <c r="AK50" i="3" s="1"/>
  <c r="BS49" i="3"/>
  <c r="BN49" i="3"/>
  <c r="BM49" i="3"/>
  <c r="BL49" i="3"/>
  <c r="BI49" i="3"/>
  <c r="BE49" i="3"/>
  <c r="AY49" i="3"/>
  <c r="AW49" i="3"/>
  <c r="AX49" i="3" s="1"/>
  <c r="AT49" i="3"/>
  <c r="AO49" i="3"/>
  <c r="AM49" i="3"/>
  <c r="AJ49" i="3"/>
  <c r="AK49" i="3" s="1"/>
  <c r="BS48" i="3"/>
  <c r="BN48" i="3"/>
  <c r="BM48" i="3"/>
  <c r="BL48" i="3"/>
  <c r="BI48" i="3"/>
  <c r="BE48" i="3"/>
  <c r="AY48" i="3"/>
  <c r="AW48" i="3"/>
  <c r="AX48" i="3" s="1"/>
  <c r="AT48" i="3"/>
  <c r="AO48" i="3"/>
  <c r="AM48" i="3"/>
  <c r="AJ48" i="3"/>
  <c r="AK48" i="3" s="1"/>
  <c r="BS47" i="3"/>
  <c r="BN47" i="3"/>
  <c r="BM47" i="3"/>
  <c r="BL47" i="3"/>
  <c r="BI47" i="3"/>
  <c r="BE47" i="3"/>
  <c r="AY47" i="3"/>
  <c r="AW47" i="3"/>
  <c r="AX47" i="3" s="1"/>
  <c r="AT47" i="3"/>
  <c r="AO47" i="3"/>
  <c r="AM47" i="3"/>
  <c r="AJ47" i="3"/>
  <c r="AK47" i="3" s="1"/>
  <c r="BS46" i="3"/>
  <c r="BN46" i="3"/>
  <c r="BM46" i="3"/>
  <c r="BL46" i="3"/>
  <c r="BI46" i="3"/>
  <c r="BE46" i="3"/>
  <c r="AY46" i="3"/>
  <c r="AW46" i="3"/>
  <c r="AX46" i="3" s="1"/>
  <c r="AT46" i="3"/>
  <c r="AO46" i="3"/>
  <c r="AM46" i="3"/>
  <c r="AJ46" i="3"/>
  <c r="AK46" i="3" s="1"/>
  <c r="BS45" i="3"/>
  <c r="BN45" i="3"/>
  <c r="BM45" i="3"/>
  <c r="BL45" i="3"/>
  <c r="BI45" i="3"/>
  <c r="BE45" i="3"/>
  <c r="AY45" i="3"/>
  <c r="AW45" i="3"/>
  <c r="AX45" i="3" s="1"/>
  <c r="AT45" i="3"/>
  <c r="AO45" i="3"/>
  <c r="AM45" i="3"/>
  <c r="AJ45" i="3"/>
  <c r="AK45" i="3" s="1"/>
  <c r="BS44" i="3"/>
  <c r="BN44" i="3"/>
  <c r="BM44" i="3"/>
  <c r="BL44" i="3"/>
  <c r="BI44" i="3"/>
  <c r="BE44" i="3"/>
  <c r="AY44" i="3"/>
  <c r="AW44" i="3"/>
  <c r="AX44" i="3" s="1"/>
  <c r="AT44" i="3"/>
  <c r="AO44" i="3"/>
  <c r="AM44" i="3"/>
  <c r="AJ44" i="3"/>
  <c r="AK44" i="3" s="1"/>
  <c r="BS43" i="3"/>
  <c r="BN43" i="3"/>
  <c r="BM43" i="3"/>
  <c r="BL43" i="3"/>
  <c r="BI43" i="3"/>
  <c r="BE43" i="3"/>
  <c r="AY43" i="3"/>
  <c r="AW43" i="3"/>
  <c r="AX43" i="3" s="1"/>
  <c r="AT43" i="3"/>
  <c r="AO43" i="3"/>
  <c r="AM43" i="3"/>
  <c r="AJ43" i="3"/>
  <c r="AK43" i="3" s="1"/>
  <c r="BS42" i="3"/>
  <c r="BN42" i="3"/>
  <c r="BM42" i="3"/>
  <c r="BL42" i="3"/>
  <c r="BI42" i="3"/>
  <c r="BE42" i="3"/>
  <c r="AY42" i="3"/>
  <c r="AW42" i="3"/>
  <c r="AX42" i="3" s="1"/>
  <c r="AT42" i="3"/>
  <c r="AO42" i="3"/>
  <c r="AM42" i="3"/>
  <c r="AJ42" i="3"/>
  <c r="AK42" i="3" s="1"/>
  <c r="BS41" i="3"/>
  <c r="BN41" i="3"/>
  <c r="BM41" i="3"/>
  <c r="BL41" i="3"/>
  <c r="BI41" i="3"/>
  <c r="BE41" i="3"/>
  <c r="AY41" i="3"/>
  <c r="AW41" i="3"/>
  <c r="AX41" i="3" s="1"/>
  <c r="AT41" i="3"/>
  <c r="AO41" i="3"/>
  <c r="AM41" i="3"/>
  <c r="AJ41" i="3"/>
  <c r="AK41" i="3" s="1"/>
  <c r="BS40" i="3"/>
  <c r="BN40" i="3"/>
  <c r="BM40" i="3"/>
  <c r="BL40" i="3"/>
  <c r="BI40" i="3"/>
  <c r="BE40" i="3"/>
  <c r="AY40" i="3"/>
  <c r="AW40" i="3"/>
  <c r="AX40" i="3" s="1"/>
  <c r="AT40" i="3"/>
  <c r="AO40" i="3"/>
  <c r="AM40" i="3"/>
  <c r="AN40" i="3" s="1"/>
  <c r="AJ40" i="3"/>
  <c r="BS39" i="3"/>
  <c r="BN39" i="3"/>
  <c r="BM39" i="3"/>
  <c r="BL39" i="3"/>
  <c r="BI39" i="3"/>
  <c r="BE39" i="3"/>
  <c r="AY39" i="3"/>
  <c r="AW39" i="3"/>
  <c r="AX39" i="3" s="1"/>
  <c r="AT39" i="3"/>
  <c r="AU39" i="3" s="1"/>
  <c r="AO39" i="3"/>
  <c r="AM39" i="3"/>
  <c r="AJ39" i="3"/>
  <c r="AK39" i="3" s="1"/>
  <c r="BS38" i="3"/>
  <c r="BN38" i="3"/>
  <c r="BM38" i="3"/>
  <c r="BL38" i="3"/>
  <c r="BI38" i="3"/>
  <c r="BE38" i="3"/>
  <c r="AY38" i="3"/>
  <c r="AW38" i="3"/>
  <c r="AX38" i="3" s="1"/>
  <c r="AT38" i="3"/>
  <c r="AU38" i="3" s="1"/>
  <c r="AO38" i="3"/>
  <c r="AM38" i="3"/>
  <c r="AJ38" i="3"/>
  <c r="AK38" i="3" s="1"/>
  <c r="BS37" i="3"/>
  <c r="BN37" i="3"/>
  <c r="BM37" i="3"/>
  <c r="BL37" i="3"/>
  <c r="BI37" i="3"/>
  <c r="BE37" i="3"/>
  <c r="AY37" i="3"/>
  <c r="AW37" i="3"/>
  <c r="AX37" i="3" s="1"/>
  <c r="AT37" i="3"/>
  <c r="AU37" i="3" s="1"/>
  <c r="AO37" i="3"/>
  <c r="AM37" i="3"/>
  <c r="AJ37" i="3"/>
  <c r="AK37" i="3" s="1"/>
  <c r="BS36" i="3"/>
  <c r="BN36" i="3"/>
  <c r="BM36" i="3"/>
  <c r="BL36" i="3"/>
  <c r="BI36" i="3"/>
  <c r="BE36" i="3"/>
  <c r="AY36" i="3"/>
  <c r="AW36" i="3"/>
  <c r="AX36" i="3" s="1"/>
  <c r="AT36" i="3"/>
  <c r="AU36" i="3" s="1"/>
  <c r="AO36" i="3"/>
  <c r="AM36" i="3"/>
  <c r="AJ36" i="3"/>
  <c r="AK36" i="3" s="1"/>
  <c r="BS35" i="3"/>
  <c r="BN35" i="3"/>
  <c r="BM35" i="3"/>
  <c r="BL35" i="3"/>
  <c r="BI35" i="3"/>
  <c r="BE35" i="3"/>
  <c r="AY35" i="3"/>
  <c r="AW35" i="3"/>
  <c r="AX35" i="3" s="1"/>
  <c r="AT35" i="3"/>
  <c r="AU35" i="3" s="1"/>
  <c r="AO35" i="3"/>
  <c r="AM35" i="3"/>
  <c r="AJ35" i="3"/>
  <c r="AK35" i="3" s="1"/>
  <c r="BS34" i="3"/>
  <c r="BN34" i="3"/>
  <c r="BM34" i="3"/>
  <c r="BL34" i="3"/>
  <c r="BI34" i="3"/>
  <c r="BE34" i="3"/>
  <c r="AY34" i="3"/>
  <c r="AW34" i="3"/>
  <c r="AX34" i="3" s="1"/>
  <c r="AT34" i="3"/>
  <c r="AO34" i="3"/>
  <c r="AM34" i="3"/>
  <c r="AJ34" i="3"/>
  <c r="AK34" i="3" s="1"/>
  <c r="BS33" i="3"/>
  <c r="BN33" i="3"/>
  <c r="BM33" i="3"/>
  <c r="BL33" i="3"/>
  <c r="BI33" i="3"/>
  <c r="BE33" i="3"/>
  <c r="AY33" i="3"/>
  <c r="AW33" i="3"/>
  <c r="AX33" i="3" s="1"/>
  <c r="AT33" i="3"/>
  <c r="AU33" i="3" s="1"/>
  <c r="AO33" i="3"/>
  <c r="AM33" i="3"/>
  <c r="AJ33" i="3"/>
  <c r="BS32" i="3"/>
  <c r="BN32" i="3"/>
  <c r="BM32" i="3"/>
  <c r="BL32" i="3"/>
  <c r="BI32" i="3"/>
  <c r="BE32" i="3"/>
  <c r="AY32" i="3"/>
  <c r="AW32" i="3"/>
  <c r="AX32" i="3" s="1"/>
  <c r="AT32" i="3"/>
  <c r="AO32" i="3"/>
  <c r="AM32" i="3"/>
  <c r="AJ32" i="3"/>
  <c r="AK32" i="3" s="1"/>
  <c r="BS31" i="3"/>
  <c r="BN31" i="3"/>
  <c r="BM31" i="3"/>
  <c r="BL31" i="3"/>
  <c r="BI31" i="3"/>
  <c r="BE31" i="3"/>
  <c r="AY31" i="3"/>
  <c r="AW31" i="3"/>
  <c r="AX31" i="3" s="1"/>
  <c r="AT31" i="3"/>
  <c r="AO31" i="3"/>
  <c r="AM31" i="3"/>
  <c r="AJ31" i="3"/>
  <c r="AK31" i="3" s="1"/>
  <c r="BS30" i="3"/>
  <c r="BN30" i="3"/>
  <c r="BM30" i="3"/>
  <c r="BL30" i="3"/>
  <c r="BI30" i="3"/>
  <c r="BE30" i="3"/>
  <c r="AY30" i="3"/>
  <c r="AW30" i="3"/>
  <c r="AX30" i="3" s="1"/>
  <c r="AT30" i="3"/>
  <c r="AU30" i="3" s="1"/>
  <c r="AO30" i="3"/>
  <c r="AM30" i="3"/>
  <c r="AJ30" i="3"/>
  <c r="AK30" i="3" s="1"/>
  <c r="BS29" i="3"/>
  <c r="BN29" i="3"/>
  <c r="BM29" i="3"/>
  <c r="BL29" i="3"/>
  <c r="BI29" i="3"/>
  <c r="BE29" i="3"/>
  <c r="AY29" i="3"/>
  <c r="AW29" i="3"/>
  <c r="AX29" i="3" s="1"/>
  <c r="AT29" i="3"/>
  <c r="AO29" i="3"/>
  <c r="AM29" i="3"/>
  <c r="AJ29" i="3"/>
  <c r="AK29" i="3" s="1"/>
  <c r="BS28" i="3"/>
  <c r="BN28" i="3"/>
  <c r="BM28" i="3"/>
  <c r="BL28" i="3"/>
  <c r="BI28" i="3"/>
  <c r="BE28" i="3"/>
  <c r="AY28" i="3"/>
  <c r="AW28" i="3"/>
  <c r="AX28" i="3" s="1"/>
  <c r="AT28" i="3"/>
  <c r="AO28" i="3"/>
  <c r="AM28" i="3"/>
  <c r="AJ28" i="3"/>
  <c r="AK28" i="3" s="1"/>
  <c r="BS27" i="3"/>
  <c r="BN27" i="3"/>
  <c r="BM27" i="3"/>
  <c r="BL27" i="3"/>
  <c r="BI27" i="3"/>
  <c r="BE27" i="3"/>
  <c r="AY27" i="3"/>
  <c r="AW27" i="3"/>
  <c r="AX27" i="3" s="1"/>
  <c r="AT27" i="3"/>
  <c r="AO27" i="3"/>
  <c r="AM27" i="3"/>
  <c r="AJ27" i="3"/>
  <c r="AK27" i="3" s="1"/>
  <c r="BS26" i="3"/>
  <c r="BN26" i="3"/>
  <c r="BM26" i="3"/>
  <c r="BL26" i="3"/>
  <c r="BI26" i="3"/>
  <c r="BE26" i="3"/>
  <c r="AY26" i="3"/>
  <c r="AW26" i="3"/>
  <c r="AX26" i="3" s="1"/>
  <c r="AT26" i="3"/>
  <c r="AO26" i="3"/>
  <c r="AM26" i="3"/>
  <c r="AJ26" i="3"/>
  <c r="AK26" i="3" s="1"/>
  <c r="BS25" i="3"/>
  <c r="BN25" i="3"/>
  <c r="BM25" i="3"/>
  <c r="BL25" i="3"/>
  <c r="BI25" i="3"/>
  <c r="BE25" i="3"/>
  <c r="AY25" i="3"/>
  <c r="AW25" i="3"/>
  <c r="AX25" i="3" s="1"/>
  <c r="AT25" i="3"/>
  <c r="AO25" i="3"/>
  <c r="AM25" i="3"/>
  <c r="AJ25" i="3"/>
  <c r="U16" i="3"/>
  <c r="P16" i="3"/>
  <c r="U15" i="3"/>
  <c r="P15" i="3"/>
  <c r="V39" i="11"/>
  <c r="U39" i="11"/>
  <c r="R39" i="11"/>
  <c r="Q39" i="11"/>
  <c r="P39" i="11"/>
  <c r="O39" i="11"/>
  <c r="K39" i="11"/>
  <c r="H39" i="11"/>
  <c r="G39" i="11"/>
  <c r="E39" i="11"/>
  <c r="V21" i="11"/>
  <c r="U21" i="11"/>
  <c r="R21" i="11"/>
  <c r="Q21" i="11"/>
  <c r="P21" i="11"/>
  <c r="O21" i="11"/>
  <c r="K21" i="11"/>
  <c r="H21" i="11"/>
  <c r="G21" i="11"/>
  <c r="E21" i="11"/>
  <c r="A2" i="11"/>
  <c r="A6" i="11" s="1"/>
  <c r="V39" i="2"/>
  <c r="U39" i="2"/>
  <c r="R39" i="2"/>
  <c r="Q39" i="2"/>
  <c r="P39" i="2"/>
  <c r="O39" i="2"/>
  <c r="K39" i="2"/>
  <c r="H39" i="2"/>
  <c r="G39" i="2"/>
  <c r="E39" i="2"/>
  <c r="V21" i="2"/>
  <c r="U21" i="2"/>
  <c r="R21" i="2"/>
  <c r="Q21" i="2"/>
  <c r="P21" i="2"/>
  <c r="O21" i="2"/>
  <c r="K21" i="2"/>
  <c r="H21" i="2"/>
  <c r="G21" i="2"/>
  <c r="E21" i="2"/>
  <c r="A2" i="2"/>
  <c r="A6" i="2" s="1"/>
  <c r="Z16" i="13"/>
  <c r="O16" i="13"/>
  <c r="Z15" i="13"/>
  <c r="O15" i="13"/>
  <c r="Z14" i="13"/>
  <c r="O14" i="13"/>
  <c r="Z13" i="13"/>
  <c r="O13" i="13"/>
  <c r="Q13" i="13" s="1"/>
  <c r="Z12" i="13"/>
  <c r="O12" i="13"/>
  <c r="Z11" i="13"/>
  <c r="O11" i="13"/>
  <c r="Z10" i="13"/>
  <c r="O10" i="13"/>
  <c r="Q10" i="13" s="1"/>
  <c r="R10" i="13" s="1"/>
  <c r="Z9" i="13"/>
  <c r="O9" i="13"/>
  <c r="B3" i="13"/>
  <c r="A15" i="13" s="1"/>
  <c r="O19" i="4"/>
  <c r="O18" i="4"/>
  <c r="O17" i="4"/>
  <c r="Q17" i="4" s="1"/>
  <c r="O16" i="4"/>
  <c r="Q16" i="4" s="1"/>
  <c r="R16" i="4" s="1"/>
  <c r="O15" i="4"/>
  <c r="O14" i="4"/>
  <c r="O13" i="4"/>
  <c r="Q13" i="4" s="1"/>
  <c r="R13" i="4" s="1"/>
  <c r="O12" i="4"/>
  <c r="Q12" i="4" s="1"/>
  <c r="R12" i="4" s="1"/>
  <c r="O11" i="4"/>
  <c r="O10" i="4"/>
  <c r="O9" i="4"/>
  <c r="Z39" i="1"/>
  <c r="Y39" i="1"/>
  <c r="X39" i="1"/>
  <c r="W39" i="1"/>
  <c r="V39" i="1"/>
  <c r="U39" i="1"/>
  <c r="T39" i="1"/>
  <c r="S39" i="1"/>
  <c r="R39" i="1"/>
  <c r="Q39" i="1"/>
  <c r="P39" i="1"/>
  <c r="O39" i="1"/>
  <c r="M39" i="1"/>
  <c r="L39" i="1"/>
  <c r="K39" i="1"/>
  <c r="H39" i="1"/>
  <c r="G39" i="1"/>
  <c r="E39" i="1"/>
  <c r="C39" i="1"/>
  <c r="B39" i="1"/>
  <c r="F38" i="1"/>
  <c r="D38" i="1"/>
  <c r="AA38" i="1" s="1"/>
  <c r="F37" i="1"/>
  <c r="D37" i="1"/>
  <c r="AA37" i="1" s="1"/>
  <c r="F36" i="1"/>
  <c r="D36" i="1"/>
  <c r="AA36" i="1" s="1"/>
  <c r="F35" i="1"/>
  <c r="D35" i="1"/>
  <c r="AA35" i="1" s="1"/>
  <c r="F34" i="1"/>
  <c r="D34" i="1"/>
  <c r="AA34" i="1" s="1"/>
  <c r="F33" i="1"/>
  <c r="D33" i="1"/>
  <c r="AA33" i="1" s="1"/>
  <c r="F32" i="1"/>
  <c r="D32" i="1"/>
  <c r="AA32" i="1" s="1"/>
  <c r="F31" i="1"/>
  <c r="D31" i="1"/>
  <c r="AA31" i="1" s="1"/>
  <c r="F30" i="1"/>
  <c r="D30" i="1"/>
  <c r="AA30" i="1" s="1"/>
  <c r="F29" i="1"/>
  <c r="D29" i="1"/>
  <c r="AA29" i="1" s="1"/>
  <c r="F28" i="1"/>
  <c r="D28" i="1"/>
  <c r="AA28" i="1" s="1"/>
  <c r="F27" i="1"/>
  <c r="D27" i="1"/>
  <c r="AA27" i="1" s="1"/>
  <c r="F26" i="1"/>
  <c r="D26" i="1"/>
  <c r="AA26" i="1" s="1"/>
  <c r="F25" i="1"/>
  <c r="D25" i="1"/>
  <c r="AA25" i="1" s="1"/>
  <c r="C25" i="12" s="1"/>
  <c r="F24" i="1"/>
  <c r="D24" i="1"/>
  <c r="AA24" i="1" s="1"/>
  <c r="F23" i="1"/>
  <c r="D23" i="1"/>
  <c r="Z21" i="1"/>
  <c r="Y21" i="1"/>
  <c r="X21" i="1"/>
  <c r="W21" i="1"/>
  <c r="V21" i="1"/>
  <c r="U21" i="1"/>
  <c r="U41" i="1" s="1"/>
  <c r="T21" i="1"/>
  <c r="S21" i="1"/>
  <c r="S41" i="1" s="1"/>
  <c r="R21" i="1"/>
  <c r="R41" i="1" s="1"/>
  <c r="Q21" i="1"/>
  <c r="Q41" i="1" s="1"/>
  <c r="P21" i="1"/>
  <c r="O21" i="1"/>
  <c r="M21" i="1"/>
  <c r="L21" i="1"/>
  <c r="K21" i="1"/>
  <c r="H21" i="1"/>
  <c r="G21" i="1"/>
  <c r="E21" i="1"/>
  <c r="C21" i="1"/>
  <c r="B21" i="1"/>
  <c r="F20" i="1"/>
  <c r="D20" i="1"/>
  <c r="AA20" i="1" s="1"/>
  <c r="F19" i="1"/>
  <c r="D19" i="1"/>
  <c r="AA19" i="1" s="1"/>
  <c r="F18" i="1"/>
  <c r="D18" i="1"/>
  <c r="AA18" i="1" s="1"/>
  <c r="F17" i="1"/>
  <c r="D17" i="1"/>
  <c r="AA17" i="1" s="1"/>
  <c r="F16" i="1"/>
  <c r="D16" i="1"/>
  <c r="AA16" i="1" s="1"/>
  <c r="F15" i="1"/>
  <c r="D15" i="1"/>
  <c r="AA15" i="1" s="1"/>
  <c r="F14" i="1"/>
  <c r="D14" i="1"/>
  <c r="AA14" i="1" s="1"/>
  <c r="F13" i="1"/>
  <c r="D13" i="1"/>
  <c r="AA13" i="1" s="1"/>
  <c r="F12" i="1"/>
  <c r="D12" i="1"/>
  <c r="AA12" i="1" s="1"/>
  <c r="F11" i="1"/>
  <c r="D11" i="1"/>
  <c r="AA11" i="1" s="1"/>
  <c r="F10" i="1"/>
  <c r="D10" i="1"/>
  <c r="AA10" i="1" s="1"/>
  <c r="A10" i="1"/>
  <c r="A11" i="1" s="1"/>
  <c r="A12" i="1" s="1"/>
  <c r="A13" i="1" s="1"/>
  <c r="A14" i="1" s="1"/>
  <c r="A15" i="1" s="1"/>
  <c r="A16" i="1" s="1"/>
  <c r="A17" i="1" s="1"/>
  <c r="A18" i="1" s="1"/>
  <c r="A19" i="1" s="1"/>
  <c r="A20" i="1" s="1"/>
  <c r="A23" i="1" s="1"/>
  <c r="A24" i="1" s="1"/>
  <c r="A25" i="1" s="1"/>
  <c r="A26" i="1" s="1"/>
  <c r="A27" i="1" s="1"/>
  <c r="A28" i="1" s="1"/>
  <c r="A29" i="1" s="1"/>
  <c r="A30" i="1" s="1"/>
  <c r="A31" i="1" s="1"/>
  <c r="A32" i="1" s="1"/>
  <c r="A33" i="1" s="1"/>
  <c r="A34" i="1" s="1"/>
  <c r="A35" i="1" s="1"/>
  <c r="A36" i="1" s="1"/>
  <c r="A37" i="1" s="1"/>
  <c r="A38" i="1" s="1"/>
  <c r="H11" i="6" l="1"/>
  <c r="B18" i="5"/>
  <c r="H18" i="6" s="1"/>
  <c r="T41" i="1"/>
  <c r="U41" i="2"/>
  <c r="U17" i="3"/>
  <c r="BO47" i="3"/>
  <c r="R41" i="2"/>
  <c r="BO49" i="3"/>
  <c r="U9" i="9"/>
  <c r="G41" i="1"/>
  <c r="V41" i="1"/>
  <c r="E41" i="1"/>
  <c r="AZ29" i="3"/>
  <c r="C41" i="1"/>
  <c r="P41" i="1"/>
  <c r="Q41" i="11"/>
  <c r="BO53" i="3"/>
  <c r="BO42" i="3"/>
  <c r="BO54" i="3"/>
  <c r="O303" i="4"/>
  <c r="BO31" i="3"/>
  <c r="G37" i="10"/>
  <c r="BO51" i="3"/>
  <c r="V41" i="2"/>
  <c r="E41" i="11"/>
  <c r="G41" i="11"/>
  <c r="K41" i="2"/>
  <c r="O330" i="13"/>
  <c r="D6" i="10"/>
  <c r="D37" i="10" s="1"/>
  <c r="B37" i="10"/>
  <c r="AO56" i="3"/>
  <c r="Q9" i="13"/>
  <c r="R9" i="13" s="1"/>
  <c r="H41" i="11"/>
  <c r="BO46" i="3"/>
  <c r="R13" i="13"/>
  <c r="E41" i="2"/>
  <c r="K41" i="11"/>
  <c r="BO25" i="3"/>
  <c r="I10" i="9"/>
  <c r="G41" i="2"/>
  <c r="O41" i="11"/>
  <c r="AZ53" i="3"/>
  <c r="BA53" i="3" s="1"/>
  <c r="BE56" i="3"/>
  <c r="W11" i="9"/>
  <c r="Q9" i="4"/>
  <c r="R9" i="4" s="1"/>
  <c r="P41" i="11"/>
  <c r="Q14" i="13"/>
  <c r="R14" i="13" s="1"/>
  <c r="AP35" i="3"/>
  <c r="AQ35" i="3" s="1"/>
  <c r="BO29" i="3"/>
  <c r="AP36" i="3"/>
  <c r="AQ36" i="3" s="1"/>
  <c r="R17" i="4"/>
  <c r="P41" i="2"/>
  <c r="U41" i="11"/>
  <c r="BL56" i="3"/>
  <c r="H41" i="2"/>
  <c r="R41" i="11"/>
  <c r="BO50" i="3"/>
  <c r="W41" i="1"/>
  <c r="X41" i="1"/>
  <c r="Q11" i="13"/>
  <c r="R11" i="13" s="1"/>
  <c r="Q41" i="2"/>
  <c r="V41" i="11"/>
  <c r="BO41" i="3"/>
  <c r="AP52" i="3"/>
  <c r="AQ52" i="3" s="1"/>
  <c r="BI56" i="3"/>
  <c r="O41" i="2"/>
  <c r="BO39" i="3"/>
  <c r="Y41" i="1"/>
  <c r="Q15" i="13"/>
  <c r="R15" i="13" s="1"/>
  <c r="V15" i="3"/>
  <c r="W15" i="3" s="1"/>
  <c r="BO45" i="3"/>
  <c r="BO34" i="3"/>
  <c r="AZ28" i="3"/>
  <c r="BA28" i="3" s="1"/>
  <c r="AZ52" i="3"/>
  <c r="BA52" i="3" s="1"/>
  <c r="AU52" i="3"/>
  <c r="BO40" i="3"/>
  <c r="BO43" i="3"/>
  <c r="P7" i="9"/>
  <c r="Q7" i="9" s="1"/>
  <c r="AZ55" i="3"/>
  <c r="BA55" i="3" s="1"/>
  <c r="BO55" i="3"/>
  <c r="BO26" i="3"/>
  <c r="BO36" i="3"/>
  <c r="AP41" i="3"/>
  <c r="AQ41" i="3" s="1"/>
  <c r="BO27" i="3"/>
  <c r="AP28" i="3"/>
  <c r="AQ28" i="3" s="1"/>
  <c r="AZ30" i="3"/>
  <c r="BA30" i="3" s="1"/>
  <c r="BO30" i="3"/>
  <c r="AP34" i="3"/>
  <c r="AQ34" i="3" s="1"/>
  <c r="BO44" i="3"/>
  <c r="H29" i="3"/>
  <c r="H33" i="3"/>
  <c r="I33" i="3" s="1"/>
  <c r="H37" i="3"/>
  <c r="I37" i="3" s="1"/>
  <c r="H41" i="3"/>
  <c r="I41" i="3" s="1"/>
  <c r="H45" i="3"/>
  <c r="I45" i="3" s="1"/>
  <c r="H49" i="3"/>
  <c r="I49" i="3" s="1"/>
  <c r="H53" i="3"/>
  <c r="H26" i="3"/>
  <c r="I26" i="3" s="1"/>
  <c r="H30" i="3"/>
  <c r="I30" i="3" s="1"/>
  <c r="H34" i="3"/>
  <c r="I34" i="3" s="1"/>
  <c r="H38" i="3"/>
  <c r="I38" i="3" s="1"/>
  <c r="H42" i="3"/>
  <c r="I42" i="3" s="1"/>
  <c r="H46" i="3"/>
  <c r="I46" i="3" s="1"/>
  <c r="H50" i="3"/>
  <c r="H54" i="3"/>
  <c r="H27" i="3"/>
  <c r="I27" i="3" s="1"/>
  <c r="H31" i="3"/>
  <c r="I31" i="3" s="1"/>
  <c r="H35" i="3"/>
  <c r="I35" i="3" s="1"/>
  <c r="H39" i="3"/>
  <c r="I39" i="3" s="1"/>
  <c r="H43" i="3"/>
  <c r="I43" i="3" s="1"/>
  <c r="H47" i="3"/>
  <c r="I47" i="3" s="1"/>
  <c r="H51" i="3"/>
  <c r="I51" i="3" s="1"/>
  <c r="H55" i="3"/>
  <c r="I55" i="3" s="1"/>
  <c r="H28" i="3"/>
  <c r="I28" i="3" s="1"/>
  <c r="H32" i="3"/>
  <c r="I32" i="3" s="1"/>
  <c r="H36" i="3"/>
  <c r="I36" i="3" s="1"/>
  <c r="H40" i="3"/>
  <c r="I40" i="3" s="1"/>
  <c r="H44" i="3"/>
  <c r="I44" i="3" s="1"/>
  <c r="H48" i="3"/>
  <c r="I48" i="3" s="1"/>
  <c r="H52" i="3"/>
  <c r="BM56" i="3"/>
  <c r="BO28" i="3"/>
  <c r="AP31" i="3"/>
  <c r="AQ31" i="3" s="1"/>
  <c r="BO32" i="3"/>
  <c r="BO33" i="3"/>
  <c r="BO35" i="3"/>
  <c r="BO37" i="3"/>
  <c r="BO38" i="3"/>
  <c r="AN41" i="3"/>
  <c r="M9" i="9"/>
  <c r="N9" i="9" s="1"/>
  <c r="BO48" i="3"/>
  <c r="AN52" i="3"/>
  <c r="BO52" i="3"/>
  <c r="AN55" i="3"/>
  <c r="W18" i="3"/>
  <c r="R8" i="9"/>
  <c r="R9" i="9"/>
  <c r="AP42" i="3"/>
  <c r="AQ42" i="3" s="1"/>
  <c r="AP44" i="3"/>
  <c r="AQ44" i="3" s="1"/>
  <c r="I50" i="3"/>
  <c r="R10" i="9"/>
  <c r="AP26" i="3"/>
  <c r="AQ26" i="3" s="1"/>
  <c r="I29" i="3"/>
  <c r="M7" i="9"/>
  <c r="N7" i="9" s="1"/>
  <c r="AN42" i="3"/>
  <c r="AN44" i="3"/>
  <c r="U7" i="9"/>
  <c r="AZ51" i="3"/>
  <c r="BA51" i="3" s="1"/>
  <c r="AP50" i="3"/>
  <c r="AQ50" i="3" s="1"/>
  <c r="AZ50" i="3"/>
  <c r="BA50" i="3" s="1"/>
  <c r="AU50" i="3"/>
  <c r="AN50" i="3"/>
  <c r="AZ49" i="3"/>
  <c r="BA49" i="3" s="1"/>
  <c r="AP48" i="3"/>
  <c r="AQ48" i="3" s="1"/>
  <c r="AZ48" i="3"/>
  <c r="BA48" i="3" s="1"/>
  <c r="AU48" i="3"/>
  <c r="AN48" i="3"/>
  <c r="AN47" i="3"/>
  <c r="AP46" i="3"/>
  <c r="AQ46" i="3" s="1"/>
  <c r="O41" i="1"/>
  <c r="AP45" i="3"/>
  <c r="AQ45" i="3" s="1"/>
  <c r="H41" i="1"/>
  <c r="B41" i="1"/>
  <c r="P8" i="9"/>
  <c r="Q8" i="9" s="1"/>
  <c r="AP43" i="3"/>
  <c r="AQ43" i="3" s="1"/>
  <c r="F39" i="1"/>
  <c r="D39" i="1"/>
  <c r="Z41" i="1"/>
  <c r="M41" i="1"/>
  <c r="AK40" i="3"/>
  <c r="L41" i="1"/>
  <c r="K41" i="1"/>
  <c r="AP39" i="3"/>
  <c r="AQ39" i="3" s="1"/>
  <c r="AZ39" i="3"/>
  <c r="BA39" i="3" s="1"/>
  <c r="AP38" i="3"/>
  <c r="AQ38" i="3" s="1"/>
  <c r="AZ38" i="3"/>
  <c r="BA38" i="3" s="1"/>
  <c r="AZ27" i="3"/>
  <c r="BA27" i="3" s="1"/>
  <c r="AZ26" i="3"/>
  <c r="BA26" i="3" s="1"/>
  <c r="AZ25" i="3"/>
  <c r="BA25" i="3" s="1"/>
  <c r="AU27" i="3"/>
  <c r="AU26" i="3"/>
  <c r="AU25" i="3"/>
  <c r="AP37" i="3"/>
  <c r="AQ37" i="3" s="1"/>
  <c r="AZ37" i="3"/>
  <c r="BA37" i="3" s="1"/>
  <c r="AZ36" i="3"/>
  <c r="BA36" i="3" s="1"/>
  <c r="AZ35" i="3"/>
  <c r="BA35" i="3" s="1"/>
  <c r="AZ34" i="3"/>
  <c r="BA34" i="3" s="1"/>
  <c r="AU34" i="3"/>
  <c r="AW56" i="3"/>
  <c r="AX56" i="3" s="1"/>
  <c r="AZ33" i="3"/>
  <c r="BA33" i="3" s="1"/>
  <c r="AP32" i="3"/>
  <c r="AQ32" i="3" s="1"/>
  <c r="AZ32" i="3"/>
  <c r="BA32" i="3" s="1"/>
  <c r="AU32" i="3"/>
  <c r="AZ31" i="3"/>
  <c r="BA31" i="3" s="1"/>
  <c r="AU31" i="3"/>
  <c r="AP30" i="3"/>
  <c r="AQ30" i="3" s="1"/>
  <c r="F21" i="1"/>
  <c r="AP29" i="3"/>
  <c r="AQ29" i="3" s="1"/>
  <c r="AU29" i="3"/>
  <c r="AU28" i="3"/>
  <c r="AP27" i="3"/>
  <c r="AQ27" i="3" s="1"/>
  <c r="G40" i="12"/>
  <c r="C18" i="6"/>
  <c r="D18" i="6" s="1"/>
  <c r="Q15" i="3"/>
  <c r="R15" i="3" s="1"/>
  <c r="D21" i="1"/>
  <c r="BA29" i="3"/>
  <c r="P19" i="3"/>
  <c r="P17" i="3"/>
  <c r="U8" i="9"/>
  <c r="P18" i="3"/>
  <c r="U10" i="9"/>
  <c r="F12" i="9"/>
  <c r="I7" i="9"/>
  <c r="I6" i="9"/>
  <c r="J16" i="3"/>
  <c r="I8" i="9"/>
  <c r="I9" i="9"/>
  <c r="C11" i="12"/>
  <c r="C13" i="12"/>
  <c r="AB11" i="1"/>
  <c r="C15" i="12"/>
  <c r="AB13" i="1"/>
  <c r="C17" i="12"/>
  <c r="AB15" i="1"/>
  <c r="C19" i="12"/>
  <c r="AB17" i="1"/>
  <c r="C21" i="12"/>
  <c r="AB19" i="1"/>
  <c r="C26" i="12"/>
  <c r="AB26" i="1"/>
  <c r="C28" i="12"/>
  <c r="AB28" i="1"/>
  <c r="C30" i="12"/>
  <c r="AB30" i="1"/>
  <c r="C32" i="12"/>
  <c r="AB32" i="1"/>
  <c r="C34" i="12"/>
  <c r="AB34" i="1"/>
  <c r="C36" i="12"/>
  <c r="AB36" i="1"/>
  <c r="C38" i="12"/>
  <c r="AB38" i="1"/>
  <c r="X6" i="2"/>
  <c r="N6" i="2"/>
  <c r="A7" i="2"/>
  <c r="W6" i="2"/>
  <c r="M6" i="2"/>
  <c r="T6" i="2"/>
  <c r="C6" i="2"/>
  <c r="S6" i="2"/>
  <c r="B6" i="2"/>
  <c r="C9" i="12"/>
  <c r="C8" i="12"/>
  <c r="AA21" i="1"/>
  <c r="C12" i="12"/>
  <c r="AB10" i="1"/>
  <c r="C16" i="12"/>
  <c r="AB14" i="1"/>
  <c r="C20" i="12"/>
  <c r="AB18" i="1"/>
  <c r="C27" i="12"/>
  <c r="AB27" i="1"/>
  <c r="C31" i="12"/>
  <c r="AB31" i="1"/>
  <c r="C35" i="12"/>
  <c r="AB35" i="1"/>
  <c r="C10" i="12"/>
  <c r="C14" i="12"/>
  <c r="AB12" i="1"/>
  <c r="C18" i="12"/>
  <c r="AB16" i="1"/>
  <c r="C22" i="12"/>
  <c r="AB20" i="1"/>
  <c r="C29" i="12"/>
  <c r="AB29" i="1"/>
  <c r="C33" i="12"/>
  <c r="AB33" i="1"/>
  <c r="C37" i="12"/>
  <c r="AB37" i="1"/>
  <c r="C24" i="12"/>
  <c r="AB24" i="1"/>
  <c r="AA23" i="1"/>
  <c r="A12" i="13"/>
  <c r="A16" i="13"/>
  <c r="Q11" i="4"/>
  <c r="R11" i="4" s="1"/>
  <c r="Q15" i="4"/>
  <c r="R15" i="4" s="1"/>
  <c r="Q19" i="4"/>
  <c r="R19" i="4" s="1"/>
  <c r="A9" i="13"/>
  <c r="A13" i="13"/>
  <c r="X6" i="11"/>
  <c r="N6" i="11"/>
  <c r="A7" i="11"/>
  <c r="W6" i="11"/>
  <c r="M6" i="11"/>
  <c r="T6" i="11"/>
  <c r="C6" i="11"/>
  <c r="S6" i="11"/>
  <c r="B6" i="11"/>
  <c r="AB25" i="1"/>
  <c r="Q10" i="4"/>
  <c r="R10" i="4" s="1"/>
  <c r="Q14" i="4"/>
  <c r="R14" i="4" s="1"/>
  <c r="Q18" i="4"/>
  <c r="R18" i="4" s="1"/>
  <c r="A10" i="13"/>
  <c r="Q12" i="13"/>
  <c r="R12" i="13" s="1"/>
  <c r="A14" i="13"/>
  <c r="Q16" i="13"/>
  <c r="R16" i="13" s="1"/>
  <c r="A11" i="13"/>
  <c r="W16" i="3"/>
  <c r="M6" i="9"/>
  <c r="AM56" i="3"/>
  <c r="AZ43" i="3"/>
  <c r="BA43" i="3" s="1"/>
  <c r="AU43" i="3"/>
  <c r="Q16" i="3"/>
  <c r="Q20" i="3"/>
  <c r="R20" i="3" s="1"/>
  <c r="AN25" i="3"/>
  <c r="AT56" i="3"/>
  <c r="AU56" i="3" s="1"/>
  <c r="AY56" i="3"/>
  <c r="AN26" i="3"/>
  <c r="AN27" i="3"/>
  <c r="AN28" i="3"/>
  <c r="AN29" i="3"/>
  <c r="AN30" i="3"/>
  <c r="AN31" i="3"/>
  <c r="AN32" i="3"/>
  <c r="AN33" i="3"/>
  <c r="AN34" i="3"/>
  <c r="AN35" i="3"/>
  <c r="AN36" i="3"/>
  <c r="AN37" i="3"/>
  <c r="AN38" i="3"/>
  <c r="AN39" i="3"/>
  <c r="M8" i="9"/>
  <c r="AP40" i="3"/>
  <c r="AQ40" i="3" s="1"/>
  <c r="AZ40" i="3"/>
  <c r="BA40" i="3" s="1"/>
  <c r="AU40" i="3"/>
  <c r="AN43" i="3"/>
  <c r="AZ44" i="3"/>
  <c r="BA44" i="3" s="1"/>
  <c r="AU44" i="3"/>
  <c r="AZ45" i="3"/>
  <c r="BA45" i="3" s="1"/>
  <c r="AU45" i="3"/>
  <c r="AZ46" i="3"/>
  <c r="BA46" i="3" s="1"/>
  <c r="AU46" i="3"/>
  <c r="P6" i="9"/>
  <c r="AJ56" i="3"/>
  <c r="AK56" i="3" s="1"/>
  <c r="AZ41" i="3"/>
  <c r="BA41" i="3" s="1"/>
  <c r="AU41" i="3"/>
  <c r="AN45" i="3"/>
  <c r="AN46" i="3"/>
  <c r="AZ47" i="3"/>
  <c r="BA47" i="3" s="1"/>
  <c r="AU47" i="3"/>
  <c r="AK25" i="3"/>
  <c r="AP25" i="3"/>
  <c r="AQ25" i="3" s="1"/>
  <c r="AK33" i="3"/>
  <c r="AP33" i="3"/>
  <c r="AQ33" i="3" s="1"/>
  <c r="AZ42" i="3"/>
  <c r="BA42" i="3" s="1"/>
  <c r="AU42" i="3"/>
  <c r="AZ54" i="3"/>
  <c r="BA54" i="3" s="1"/>
  <c r="AU54" i="3"/>
  <c r="P9" i="9"/>
  <c r="Q9" i="9" s="1"/>
  <c r="AP49" i="3"/>
  <c r="AQ49" i="3" s="1"/>
  <c r="AP51" i="3"/>
  <c r="AQ51" i="3" s="1"/>
  <c r="AP53" i="3"/>
  <c r="AQ53" i="3" s="1"/>
  <c r="AP54" i="3"/>
  <c r="AQ54" i="3" s="1"/>
  <c r="AP47" i="3"/>
  <c r="AQ47" i="3" s="1"/>
  <c r="AN49" i="3"/>
  <c r="AU49" i="3"/>
  <c r="AN51" i="3"/>
  <c r="AU51" i="3"/>
  <c r="AN53" i="3"/>
  <c r="AU53" i="3"/>
  <c r="P10" i="9"/>
  <c r="Q10" i="9" s="1"/>
  <c r="AK55" i="3"/>
  <c r="AP55" i="3"/>
  <c r="AQ55" i="3" s="1"/>
  <c r="BN56" i="3"/>
  <c r="BS56" i="3"/>
  <c r="N10" i="9"/>
  <c r="B12" i="9"/>
  <c r="U6" i="9"/>
  <c r="L12" i="9"/>
  <c r="R7" i="9"/>
  <c r="K11" i="9"/>
  <c r="T11" i="9"/>
  <c r="O12" i="9"/>
  <c r="R6" i="9"/>
  <c r="F41" i="1" l="1"/>
  <c r="D41" i="1"/>
  <c r="BO56" i="3"/>
  <c r="V17" i="3"/>
  <c r="W17" i="3" s="1"/>
  <c r="V7" i="9"/>
  <c r="W7" i="9" s="1"/>
  <c r="Q25" i="16"/>
  <c r="R25" i="16" s="1"/>
  <c r="K25" i="16"/>
  <c r="AF25" i="16"/>
  <c r="AG25" i="16" s="1"/>
  <c r="U12" i="9"/>
  <c r="V9" i="9"/>
  <c r="W9" i="9" s="1"/>
  <c r="P9" i="6"/>
  <c r="D9" i="6"/>
  <c r="L9" i="6"/>
  <c r="M9" i="6" s="1"/>
  <c r="G9" i="6"/>
  <c r="F18" i="6"/>
  <c r="L18" i="6" s="1"/>
  <c r="I12" i="9"/>
  <c r="I29" i="1"/>
  <c r="J29" i="1"/>
  <c r="V10" i="9"/>
  <c r="W10" i="9" s="1"/>
  <c r="Q6" i="9"/>
  <c r="P12" i="9"/>
  <c r="Q12" i="9" s="1"/>
  <c r="Q25" i="3"/>
  <c r="F6" i="2"/>
  <c r="S7" i="2"/>
  <c r="B7" i="2"/>
  <c r="X7" i="2"/>
  <c r="N7" i="2"/>
  <c r="A8" i="2"/>
  <c r="W7" i="2"/>
  <c r="M7" i="2"/>
  <c r="T7" i="2"/>
  <c r="C7" i="2"/>
  <c r="J19" i="1"/>
  <c r="I19" i="1"/>
  <c r="J15" i="1"/>
  <c r="I15" i="1"/>
  <c r="J11" i="1"/>
  <c r="I11" i="1"/>
  <c r="D6" i="11"/>
  <c r="R12" i="9"/>
  <c r="Q18" i="3"/>
  <c r="R18" i="3" s="1"/>
  <c r="R16" i="3"/>
  <c r="AP56" i="3"/>
  <c r="AQ56" i="3" s="1"/>
  <c r="AN56" i="3"/>
  <c r="F6" i="11"/>
  <c r="S7" i="11"/>
  <c r="B7" i="11"/>
  <c r="X7" i="11"/>
  <c r="N7" i="11"/>
  <c r="A8" i="11"/>
  <c r="W7" i="11"/>
  <c r="M7" i="11"/>
  <c r="T7" i="11"/>
  <c r="C7" i="11"/>
  <c r="F7" i="11" s="1"/>
  <c r="I24" i="1"/>
  <c r="J24" i="1"/>
  <c r="I33" i="1"/>
  <c r="J33" i="1"/>
  <c r="J20" i="1"/>
  <c r="I20" i="1"/>
  <c r="J12" i="1"/>
  <c r="I12" i="1"/>
  <c r="J31" i="1"/>
  <c r="I31" i="1"/>
  <c r="I18" i="1"/>
  <c r="J18" i="1"/>
  <c r="I10" i="1"/>
  <c r="J10" i="1"/>
  <c r="J38" i="1"/>
  <c r="I38" i="1"/>
  <c r="J34" i="1"/>
  <c r="I34" i="1"/>
  <c r="J30" i="1"/>
  <c r="I30" i="1"/>
  <c r="J26" i="1"/>
  <c r="I26" i="1"/>
  <c r="C23" i="12"/>
  <c r="AA39" i="1"/>
  <c r="AA41" i="1" s="1"/>
  <c r="AB23" i="1"/>
  <c r="I37" i="1"/>
  <c r="J37" i="1"/>
  <c r="J16" i="1"/>
  <c r="I16" i="1"/>
  <c r="J35" i="1"/>
  <c r="I35" i="1"/>
  <c r="J27" i="1"/>
  <c r="I27" i="1"/>
  <c r="I14" i="1"/>
  <c r="J14" i="1"/>
  <c r="AB21" i="1"/>
  <c r="AZ56" i="3"/>
  <c r="V8" i="9"/>
  <c r="W8" i="9" s="1"/>
  <c r="N8" i="9"/>
  <c r="M12" i="9"/>
  <c r="V6" i="9"/>
  <c r="W6" i="9" s="1"/>
  <c r="N6" i="9"/>
  <c r="J25" i="1"/>
  <c r="K25" i="3"/>
  <c r="D6" i="2"/>
  <c r="AF25" i="3"/>
  <c r="J17" i="1"/>
  <c r="I17" i="1"/>
  <c r="J13" i="1"/>
  <c r="I13" i="1"/>
  <c r="J36" i="1"/>
  <c r="I36" i="1"/>
  <c r="J32" i="1"/>
  <c r="I32" i="1"/>
  <c r="J28" i="1"/>
  <c r="I28" i="1"/>
  <c r="Y25" i="3" l="1"/>
  <c r="AA25" i="3" s="1"/>
  <c r="AH3" i="5"/>
  <c r="AF26" i="16"/>
  <c r="AG26" i="16" s="1"/>
  <c r="C7" i="17"/>
  <c r="D7" i="17" s="1"/>
  <c r="G18" i="6"/>
  <c r="M25" i="3"/>
  <c r="H25" i="3"/>
  <c r="J17" i="3" s="1"/>
  <c r="K26" i="16"/>
  <c r="I25" i="16"/>
  <c r="I56" i="16" s="1"/>
  <c r="M25" i="16"/>
  <c r="Q26" i="16"/>
  <c r="O18" i="6"/>
  <c r="P18" i="6" s="1"/>
  <c r="M18" i="6"/>
  <c r="BA56" i="3"/>
  <c r="Q19" i="3"/>
  <c r="R19" i="3" s="1"/>
  <c r="I21" i="1"/>
  <c r="Y6" i="11"/>
  <c r="AF26" i="3"/>
  <c r="AG26" i="3" s="1"/>
  <c r="AB39" i="1"/>
  <c r="AB41" i="1" s="1"/>
  <c r="J23" i="1"/>
  <c r="J39" i="1" s="1"/>
  <c r="I23" i="1"/>
  <c r="I39" i="1" s="1"/>
  <c r="Y6" i="2"/>
  <c r="V12" i="9"/>
  <c r="W12" i="9" s="1"/>
  <c r="N12" i="9"/>
  <c r="J21" i="1"/>
  <c r="D7" i="11"/>
  <c r="Y7" i="11" s="1"/>
  <c r="Z7" i="11" s="1"/>
  <c r="K26" i="3"/>
  <c r="D7" i="2"/>
  <c r="Y7" i="2" s="1"/>
  <c r="Z7" i="2" s="1"/>
  <c r="R25" i="3"/>
  <c r="AG25" i="3"/>
  <c r="T8" i="11"/>
  <c r="C8" i="11"/>
  <c r="S8" i="11"/>
  <c r="B8" i="11"/>
  <c r="X8" i="11"/>
  <c r="N8" i="11"/>
  <c r="A9" i="11"/>
  <c r="W8" i="11"/>
  <c r="M8" i="11"/>
  <c r="Q26" i="3"/>
  <c r="R26" i="3" s="1"/>
  <c r="F7" i="2"/>
  <c r="T8" i="2"/>
  <c r="C8" i="2"/>
  <c r="S8" i="2"/>
  <c r="B8" i="2"/>
  <c r="X8" i="2"/>
  <c r="N8" i="2"/>
  <c r="A9" i="2"/>
  <c r="W8" i="2"/>
  <c r="M8" i="2"/>
  <c r="Y26" i="3" l="1"/>
  <c r="AA26" i="3" s="1"/>
  <c r="L25" i="16"/>
  <c r="N25" i="16" s="1"/>
  <c r="V25" i="3"/>
  <c r="V26" i="3"/>
  <c r="AH4" i="5"/>
  <c r="K27" i="16"/>
  <c r="M27" i="16" s="1"/>
  <c r="I25" i="3"/>
  <c r="L25" i="3" s="1"/>
  <c r="N25" i="3" s="1"/>
  <c r="M26" i="3"/>
  <c r="C8" i="17"/>
  <c r="D8" i="17" s="1"/>
  <c r="AF27" i="16"/>
  <c r="AG27" i="16" s="1"/>
  <c r="R26" i="16"/>
  <c r="Q27" i="16"/>
  <c r="R27" i="16" s="1"/>
  <c r="M26" i="16"/>
  <c r="L26" i="16"/>
  <c r="J41" i="1"/>
  <c r="I7" i="11"/>
  <c r="J7" i="11"/>
  <c r="K27" i="3"/>
  <c r="D8" i="2"/>
  <c r="A10" i="11"/>
  <c r="W9" i="11"/>
  <c r="M9" i="11"/>
  <c r="T9" i="11"/>
  <c r="C9" i="11"/>
  <c r="F9" i="11" s="1"/>
  <c r="S9" i="11"/>
  <c r="B9" i="11"/>
  <c r="X9" i="11"/>
  <c r="N9" i="11"/>
  <c r="Z25" i="3"/>
  <c r="AF27" i="3"/>
  <c r="D8" i="11"/>
  <c r="Y8" i="11" s="1"/>
  <c r="Z8" i="11" s="1"/>
  <c r="I7" i="2"/>
  <c r="J7" i="2"/>
  <c r="A10" i="2"/>
  <c r="W9" i="2"/>
  <c r="M9" i="2"/>
  <c r="T9" i="2"/>
  <c r="C9" i="2"/>
  <c r="S9" i="2"/>
  <c r="B9" i="2"/>
  <c r="X9" i="2"/>
  <c r="N9" i="2"/>
  <c r="F8" i="11"/>
  <c r="L26" i="3"/>
  <c r="Z6" i="11"/>
  <c r="I41" i="1"/>
  <c r="Q27" i="3"/>
  <c r="F8" i="2"/>
  <c r="Z6" i="2"/>
  <c r="Y27" i="3" l="1"/>
  <c r="AA27" i="3" s="1"/>
  <c r="V27" i="3"/>
  <c r="AH5" i="5"/>
  <c r="AF28" i="16"/>
  <c r="AG28" i="16" s="1"/>
  <c r="L27" i="16"/>
  <c r="K28" i="16"/>
  <c r="M28" i="16" s="1"/>
  <c r="M27" i="3"/>
  <c r="C9" i="17"/>
  <c r="D9" i="17" s="1"/>
  <c r="Q28" i="16"/>
  <c r="D9" i="11"/>
  <c r="Y9" i="11" s="1"/>
  <c r="N26" i="16"/>
  <c r="AF28" i="3"/>
  <c r="AG28" i="3" s="1"/>
  <c r="J8" i="11"/>
  <c r="I8" i="11"/>
  <c r="AG27" i="3"/>
  <c r="Q28" i="3"/>
  <c r="F9" i="2"/>
  <c r="X10" i="2"/>
  <c r="N10" i="2"/>
  <c r="A11" i="2"/>
  <c r="W10" i="2"/>
  <c r="M10" i="2"/>
  <c r="T10" i="2"/>
  <c r="C10" i="2"/>
  <c r="S10" i="2"/>
  <c r="B10" i="2"/>
  <c r="X10" i="11"/>
  <c r="N10" i="11"/>
  <c r="A11" i="11"/>
  <c r="W10" i="11"/>
  <c r="M10" i="11"/>
  <c r="T10" i="11"/>
  <c r="C10" i="11"/>
  <c r="S10" i="11"/>
  <c r="B10" i="11"/>
  <c r="J6" i="11"/>
  <c r="I6" i="11"/>
  <c r="AB25" i="3"/>
  <c r="R27" i="3"/>
  <c r="N26" i="3"/>
  <c r="K28" i="3"/>
  <c r="Y28" i="3" s="1"/>
  <c r="AA28" i="3" s="1"/>
  <c r="D9" i="2"/>
  <c r="Y9" i="2" s="1"/>
  <c r="Z9" i="2" s="1"/>
  <c r="Y8" i="2"/>
  <c r="J6" i="2"/>
  <c r="I6" i="2"/>
  <c r="AB26" i="3"/>
  <c r="Z26" i="3"/>
  <c r="L27" i="3"/>
  <c r="G62" i="3" l="1"/>
  <c r="N27" i="16"/>
  <c r="AH6" i="5"/>
  <c r="L28" i="16"/>
  <c r="M28" i="3"/>
  <c r="C10" i="17"/>
  <c r="D10" i="17" s="1"/>
  <c r="R28" i="16"/>
  <c r="K29" i="16"/>
  <c r="AF29" i="16"/>
  <c r="AG29" i="16" s="1"/>
  <c r="Q29" i="16"/>
  <c r="R29" i="16" s="1"/>
  <c r="N27" i="3"/>
  <c r="J9" i="2"/>
  <c r="I9" i="2"/>
  <c r="S11" i="11"/>
  <c r="B11" i="11"/>
  <c r="X11" i="11"/>
  <c r="N11" i="11"/>
  <c r="A12" i="11"/>
  <c r="W11" i="11"/>
  <c r="M11" i="11"/>
  <c r="T11" i="11"/>
  <c r="C11" i="11"/>
  <c r="F11" i="11" s="1"/>
  <c r="Z9" i="11"/>
  <c r="Q29" i="3"/>
  <c r="F10" i="2"/>
  <c r="S11" i="2"/>
  <c r="B11" i="2"/>
  <c r="K30" i="16" s="1"/>
  <c r="X11" i="2"/>
  <c r="N11" i="2"/>
  <c r="A12" i="2"/>
  <c r="W11" i="2"/>
  <c r="M11" i="2"/>
  <c r="T11" i="2"/>
  <c r="C11" i="2"/>
  <c r="R28" i="3"/>
  <c r="Z8" i="2"/>
  <c r="F10" i="11"/>
  <c r="AC26" i="3"/>
  <c r="AC25" i="3"/>
  <c r="D10" i="11"/>
  <c r="AB27" i="3"/>
  <c r="Z27" i="3"/>
  <c r="L28" i="3"/>
  <c r="K29" i="3"/>
  <c r="D10" i="2"/>
  <c r="Y10" i="2" s="1"/>
  <c r="Z10" i="2" s="1"/>
  <c r="AF29" i="3"/>
  <c r="AC10" i="1"/>
  <c r="AD10" i="1" s="1"/>
  <c r="Y29" i="3" l="1"/>
  <c r="AA29" i="3" s="1"/>
  <c r="N28" i="16"/>
  <c r="V29" i="3"/>
  <c r="AH7" i="5"/>
  <c r="Q30" i="16"/>
  <c r="R30" i="16" s="1"/>
  <c r="M29" i="3"/>
  <c r="C11" i="17"/>
  <c r="D11" i="17" s="1"/>
  <c r="AF30" i="3"/>
  <c r="AG30" i="3" s="1"/>
  <c r="AF30" i="16"/>
  <c r="AG30" i="16" s="1"/>
  <c r="L29" i="16"/>
  <c r="M29" i="16"/>
  <c r="M30" i="16"/>
  <c r="L30" i="16"/>
  <c r="N28" i="3"/>
  <c r="J10" i="2"/>
  <c r="I10" i="2"/>
  <c r="Q30" i="3"/>
  <c r="F11" i="2"/>
  <c r="J8" i="2"/>
  <c r="I8" i="2"/>
  <c r="J9" i="11"/>
  <c r="I9" i="11"/>
  <c r="AC27" i="3"/>
  <c r="AC11" i="1"/>
  <c r="AD11" i="1" s="1"/>
  <c r="D11" i="11"/>
  <c r="Y11" i="11" s="1"/>
  <c r="Z11" i="11" s="1"/>
  <c r="AG29" i="3"/>
  <c r="Y10" i="11"/>
  <c r="T12" i="2"/>
  <c r="C12" i="2"/>
  <c r="S12" i="2"/>
  <c r="B12" i="2"/>
  <c r="X12" i="2"/>
  <c r="N12" i="2"/>
  <c r="A13" i="2"/>
  <c r="W12" i="2"/>
  <c r="M12" i="2"/>
  <c r="L29" i="3"/>
  <c r="K30" i="3"/>
  <c r="Y30" i="3" s="1"/>
  <c r="AA30" i="3" s="1"/>
  <c r="D11" i="2"/>
  <c r="Y11" i="2" s="1"/>
  <c r="R29" i="3"/>
  <c r="T12" i="11"/>
  <c r="C12" i="11"/>
  <c r="S12" i="11"/>
  <c r="B12" i="11"/>
  <c r="X12" i="11"/>
  <c r="N12" i="11"/>
  <c r="A13" i="11"/>
  <c r="W12" i="11"/>
  <c r="M12" i="11"/>
  <c r="I62" i="3" l="1"/>
  <c r="V30" i="3"/>
  <c r="AH8" i="5"/>
  <c r="Q31" i="16"/>
  <c r="R31" i="16" s="1"/>
  <c r="M30" i="3"/>
  <c r="C12" i="17"/>
  <c r="D12" i="17" s="1"/>
  <c r="AF31" i="16"/>
  <c r="AG31" i="16" s="1"/>
  <c r="K31" i="16"/>
  <c r="N29" i="16"/>
  <c r="N29" i="3"/>
  <c r="K31" i="3"/>
  <c r="D12" i="2"/>
  <c r="A14" i="11"/>
  <c r="W13" i="11"/>
  <c r="M13" i="11"/>
  <c r="T13" i="11"/>
  <c r="C13" i="11"/>
  <c r="F13" i="11" s="1"/>
  <c r="S13" i="11"/>
  <c r="B13" i="11"/>
  <c r="X13" i="11"/>
  <c r="N13" i="11"/>
  <c r="AF31" i="3"/>
  <c r="I11" i="11"/>
  <c r="J11" i="11"/>
  <c r="F12" i="11"/>
  <c r="L30" i="3"/>
  <c r="A14" i="2"/>
  <c r="W13" i="2"/>
  <c r="M13" i="2"/>
  <c r="T13" i="2"/>
  <c r="C13" i="2"/>
  <c r="S13" i="2"/>
  <c r="B13" i="2"/>
  <c r="X13" i="2"/>
  <c r="N13" i="2"/>
  <c r="Z10" i="11"/>
  <c r="Z11" i="2"/>
  <c r="AB29" i="3"/>
  <c r="Z29" i="3"/>
  <c r="AC12" i="1"/>
  <c r="AD12" i="1" s="1"/>
  <c r="R30" i="3"/>
  <c r="D12" i="11"/>
  <c r="Q31" i="3"/>
  <c r="R31" i="3" s="1"/>
  <c r="F12" i="2"/>
  <c r="Y31" i="3" l="1"/>
  <c r="AA31" i="3" s="1"/>
  <c r="K32" i="16"/>
  <c r="L32" i="16" s="1"/>
  <c r="V31" i="3"/>
  <c r="Q32" i="16"/>
  <c r="R32" i="16" s="1"/>
  <c r="AH9" i="5"/>
  <c r="D13" i="11"/>
  <c r="Y13" i="11" s="1"/>
  <c r="Z13" i="11" s="1"/>
  <c r="M31" i="3"/>
  <c r="C13" i="17"/>
  <c r="D13" i="17" s="1"/>
  <c r="N30" i="16"/>
  <c r="M31" i="16"/>
  <c r="L31" i="16"/>
  <c r="AF32" i="3"/>
  <c r="AG32" i="3" s="1"/>
  <c r="AF32" i="16"/>
  <c r="AG32" i="16" s="1"/>
  <c r="N30" i="3"/>
  <c r="K32" i="3"/>
  <c r="Y32" i="3" s="1"/>
  <c r="AA32" i="3" s="1"/>
  <c r="D13" i="2"/>
  <c r="Y13" i="2" s="1"/>
  <c r="Z13" i="2" s="1"/>
  <c r="X14" i="11"/>
  <c r="N14" i="11"/>
  <c r="A15" i="11"/>
  <c r="W14" i="11"/>
  <c r="M14" i="11"/>
  <c r="T14" i="11"/>
  <c r="C14" i="11"/>
  <c r="S14" i="11"/>
  <c r="B14" i="11"/>
  <c r="J10" i="11"/>
  <c r="I10" i="11"/>
  <c r="AB30" i="3"/>
  <c r="Z30" i="3"/>
  <c r="Y12" i="11"/>
  <c r="Q32" i="3"/>
  <c r="G6" i="9" s="1"/>
  <c r="F13" i="2"/>
  <c r="X14" i="2"/>
  <c r="N14" i="2"/>
  <c r="A15" i="2"/>
  <c r="W14" i="2"/>
  <c r="M14" i="2"/>
  <c r="T14" i="2"/>
  <c r="C14" i="2"/>
  <c r="S14" i="2"/>
  <c r="B14" i="2"/>
  <c r="Y12" i="2"/>
  <c r="AC29" i="3"/>
  <c r="I11" i="2"/>
  <c r="J11" i="2"/>
  <c r="AC13" i="1"/>
  <c r="AD13" i="1" s="1"/>
  <c r="AG31" i="3"/>
  <c r="L31" i="3"/>
  <c r="M32" i="16" l="1"/>
  <c r="Q33" i="16"/>
  <c r="R33" i="16" s="1"/>
  <c r="V32" i="3"/>
  <c r="AH10" i="5"/>
  <c r="K33" i="16"/>
  <c r="L33" i="16" s="1"/>
  <c r="M32" i="3"/>
  <c r="C14" i="17"/>
  <c r="D14" i="17" s="1"/>
  <c r="N31" i="16"/>
  <c r="N32" i="16" s="1"/>
  <c r="N31" i="3"/>
  <c r="AF33" i="3"/>
  <c r="AG33" i="3" s="1"/>
  <c r="AF33" i="16"/>
  <c r="D14" i="11"/>
  <c r="Y14" i="11" s="1"/>
  <c r="Z14" i="11" s="1"/>
  <c r="J13" i="11"/>
  <c r="I13" i="11"/>
  <c r="J13" i="2"/>
  <c r="I13" i="2"/>
  <c r="AC14" i="1"/>
  <c r="AD14" i="1" s="1"/>
  <c r="AB31" i="3"/>
  <c r="Z31" i="3"/>
  <c r="Z12" i="2"/>
  <c r="Z12" i="11"/>
  <c r="AC30" i="3"/>
  <c r="Q33" i="3"/>
  <c r="F14" i="2"/>
  <c r="S15" i="2"/>
  <c r="B15" i="2"/>
  <c r="X15" i="2"/>
  <c r="N15" i="2"/>
  <c r="A16" i="2"/>
  <c r="W15" i="2"/>
  <c r="M15" i="2"/>
  <c r="T15" i="2"/>
  <c r="C15" i="2"/>
  <c r="L32" i="3"/>
  <c r="C6" i="9"/>
  <c r="K33" i="3"/>
  <c r="Y33" i="3" s="1"/>
  <c r="AA33" i="3" s="1"/>
  <c r="D14" i="2"/>
  <c r="Y14" i="2" s="1"/>
  <c r="Z14" i="2" s="1"/>
  <c r="H6" i="9"/>
  <c r="R32" i="3"/>
  <c r="F14" i="11"/>
  <c r="S15" i="11"/>
  <c r="B15" i="11"/>
  <c r="X15" i="11"/>
  <c r="N15" i="11"/>
  <c r="A16" i="11"/>
  <c r="W15" i="11"/>
  <c r="M15" i="11"/>
  <c r="T15" i="11"/>
  <c r="C15" i="11"/>
  <c r="F15" i="11" s="1"/>
  <c r="M33" i="16" l="1"/>
  <c r="V33" i="3"/>
  <c r="N32" i="3"/>
  <c r="AH11" i="5"/>
  <c r="AF34" i="16"/>
  <c r="AG34" i="16" s="1"/>
  <c r="K34" i="16"/>
  <c r="L34" i="16" s="1"/>
  <c r="M33" i="3"/>
  <c r="C15" i="17"/>
  <c r="D15" i="17" s="1"/>
  <c r="N33" i="16"/>
  <c r="Q34" i="16"/>
  <c r="AG33" i="16"/>
  <c r="D15" i="11"/>
  <c r="Y15" i="11" s="1"/>
  <c r="Z15" i="11" s="1"/>
  <c r="J14" i="2"/>
  <c r="I14" i="2"/>
  <c r="Q34" i="3"/>
  <c r="R34" i="3" s="1"/>
  <c r="F15" i="2"/>
  <c r="T16" i="2"/>
  <c r="C16" i="2"/>
  <c r="S16" i="2"/>
  <c r="B16" i="2"/>
  <c r="X16" i="2"/>
  <c r="N16" i="2"/>
  <c r="A17" i="2"/>
  <c r="W16" i="2"/>
  <c r="M16" i="2"/>
  <c r="J12" i="11"/>
  <c r="I12" i="11"/>
  <c r="L33" i="3"/>
  <c r="T16" i="11"/>
  <c r="C16" i="11"/>
  <c r="F16" i="11" s="1"/>
  <c r="S16" i="11"/>
  <c r="B16" i="11"/>
  <c r="X16" i="11"/>
  <c r="N16" i="11"/>
  <c r="A17" i="11"/>
  <c r="W16" i="11"/>
  <c r="M16" i="11"/>
  <c r="E6" i="9"/>
  <c r="J6" i="9"/>
  <c r="S6" i="9"/>
  <c r="T6" i="9" s="1"/>
  <c r="D6" i="9"/>
  <c r="AF34" i="3"/>
  <c r="AC15" i="1"/>
  <c r="AD15" i="1" s="1"/>
  <c r="R33" i="3"/>
  <c r="AC31" i="3"/>
  <c r="AB32" i="3"/>
  <c r="Z32" i="3"/>
  <c r="K34" i="3"/>
  <c r="D15" i="2"/>
  <c r="Y15" i="2" s="1"/>
  <c r="Z15" i="2" s="1"/>
  <c r="J14" i="11"/>
  <c r="I14" i="11"/>
  <c r="J12" i="2"/>
  <c r="I12" i="2"/>
  <c r="Y34" i="3" l="1"/>
  <c r="AA34" i="3" s="1"/>
  <c r="M34" i="16"/>
  <c r="V34" i="3"/>
  <c r="N33" i="3"/>
  <c r="AH12" i="5"/>
  <c r="Q35" i="16"/>
  <c r="R35" i="16" s="1"/>
  <c r="M34" i="3"/>
  <c r="C16" i="17"/>
  <c r="D16" i="17" s="1"/>
  <c r="N34" i="16"/>
  <c r="AF35" i="16"/>
  <c r="K35" i="16"/>
  <c r="R34" i="16"/>
  <c r="D16" i="11"/>
  <c r="Y16" i="11" s="1"/>
  <c r="Z16" i="11" s="1"/>
  <c r="Q35" i="3"/>
  <c r="F16" i="2"/>
  <c r="I15" i="2"/>
  <c r="J15" i="2"/>
  <c r="AC32" i="3"/>
  <c r="AG34" i="3"/>
  <c r="A18" i="11"/>
  <c r="W17" i="11"/>
  <c r="M17" i="11"/>
  <c r="T17" i="11"/>
  <c r="C17" i="11"/>
  <c r="F17" i="11" s="1"/>
  <c r="S17" i="11"/>
  <c r="B17" i="11"/>
  <c r="X17" i="11"/>
  <c r="N17" i="11"/>
  <c r="AB33" i="3"/>
  <c r="Z33" i="3"/>
  <c r="AF35" i="3"/>
  <c r="AG35" i="3" s="1"/>
  <c r="AC16" i="1"/>
  <c r="AD16" i="1" s="1"/>
  <c r="K6" i="9"/>
  <c r="I15" i="11"/>
  <c r="J15" i="11"/>
  <c r="K35" i="3"/>
  <c r="Y35" i="3" s="1"/>
  <c r="AA35" i="3" s="1"/>
  <c r="D16" i="2"/>
  <c r="Y16" i="2" s="1"/>
  <c r="Z16" i="2" s="1"/>
  <c r="L34" i="3"/>
  <c r="A18" i="2"/>
  <c r="W17" i="2"/>
  <c r="M17" i="2"/>
  <c r="T17" i="2"/>
  <c r="C17" i="2"/>
  <c r="S17" i="2"/>
  <c r="B17" i="2"/>
  <c r="X17" i="2"/>
  <c r="N17" i="2"/>
  <c r="G63" i="3" l="1"/>
  <c r="V35" i="3"/>
  <c r="N34" i="3"/>
  <c r="AH13" i="5"/>
  <c r="AF36" i="16"/>
  <c r="AG36" i="16" s="1"/>
  <c r="K36" i="16"/>
  <c r="L36" i="16" s="1"/>
  <c r="M35" i="3"/>
  <c r="C17" i="17"/>
  <c r="D17" i="17" s="1"/>
  <c r="L35" i="16"/>
  <c r="N35" i="16" s="1"/>
  <c r="M35" i="16"/>
  <c r="Q36" i="16"/>
  <c r="R36" i="16" s="1"/>
  <c r="D17" i="11"/>
  <c r="Y17" i="11" s="1"/>
  <c r="Z17" i="11" s="1"/>
  <c r="AG35" i="16"/>
  <c r="Q36" i="3"/>
  <c r="R36" i="3" s="1"/>
  <c r="F17" i="2"/>
  <c r="X18" i="2"/>
  <c r="N18" i="2"/>
  <c r="A19" i="2"/>
  <c r="W18" i="2"/>
  <c r="M18" i="2"/>
  <c r="T18" i="2"/>
  <c r="C18" i="2"/>
  <c r="S18" i="2"/>
  <c r="B18" i="2"/>
  <c r="R35" i="3"/>
  <c r="AC17" i="1"/>
  <c r="AD17" i="1" s="1"/>
  <c r="J16" i="11"/>
  <c r="I16" i="11"/>
  <c r="K36" i="3"/>
  <c r="D17" i="2"/>
  <c r="Y17" i="2" s="1"/>
  <c r="Z17" i="2" s="1"/>
  <c r="AF36" i="3"/>
  <c r="AG36" i="3" s="1"/>
  <c r="AB34" i="3"/>
  <c r="Z34" i="3"/>
  <c r="AC33" i="3"/>
  <c r="L35" i="3"/>
  <c r="J16" i="2"/>
  <c r="I16" i="2"/>
  <c r="X18" i="11"/>
  <c r="N18" i="11"/>
  <c r="A19" i="11"/>
  <c r="W18" i="11"/>
  <c r="M18" i="11"/>
  <c r="T18" i="11"/>
  <c r="C18" i="11"/>
  <c r="F18" i="11" s="1"/>
  <c r="S18" i="11"/>
  <c r="B18" i="11"/>
  <c r="C18" i="17" l="1"/>
  <c r="Y36" i="3"/>
  <c r="AA36" i="3" s="1"/>
  <c r="V36" i="3"/>
  <c r="N35" i="3"/>
  <c r="G18" i="3" s="1"/>
  <c r="M36" i="16"/>
  <c r="AH14" i="5"/>
  <c r="K37" i="16"/>
  <c r="M37" i="16" s="1"/>
  <c r="AF37" i="16"/>
  <c r="AG37" i="16" s="1"/>
  <c r="M36" i="3"/>
  <c r="D18" i="17"/>
  <c r="Q37" i="16"/>
  <c r="R37" i="16" s="1"/>
  <c r="N36" i="16"/>
  <c r="D18" i="11"/>
  <c r="Y18" i="11" s="1"/>
  <c r="Z18" i="11" s="1"/>
  <c r="AF37" i="3"/>
  <c r="AG37" i="3" s="1"/>
  <c r="K37" i="3"/>
  <c r="I63" i="3" s="1"/>
  <c r="D18" i="2"/>
  <c r="Y18" i="2" s="1"/>
  <c r="Z18" i="2" s="1"/>
  <c r="AC34" i="3"/>
  <c r="J17" i="2"/>
  <c r="I17" i="2"/>
  <c r="AB35" i="3"/>
  <c r="Z35" i="3"/>
  <c r="Q37" i="3"/>
  <c r="F18" i="2"/>
  <c r="S19" i="2"/>
  <c r="B19" i="2"/>
  <c r="X19" i="2"/>
  <c r="N19" i="2"/>
  <c r="A20" i="2"/>
  <c r="W19" i="2"/>
  <c r="M19" i="2"/>
  <c r="T19" i="2"/>
  <c r="C19" i="2"/>
  <c r="J17" i="11"/>
  <c r="I17" i="11"/>
  <c r="L36" i="3"/>
  <c r="AC18" i="1"/>
  <c r="AD18" i="1" s="1"/>
  <c r="S19" i="11"/>
  <c r="B19" i="11"/>
  <c r="X19" i="11"/>
  <c r="N19" i="11"/>
  <c r="A20" i="11"/>
  <c r="W19" i="11"/>
  <c r="M19" i="11"/>
  <c r="T19" i="11"/>
  <c r="C19" i="11"/>
  <c r="F19" i="11" s="1"/>
  <c r="Y37" i="3" l="1"/>
  <c r="AA37" i="3" s="1"/>
  <c r="L37" i="16"/>
  <c r="N37" i="16" s="1"/>
  <c r="V37" i="3"/>
  <c r="N36" i="3"/>
  <c r="AH15" i="5"/>
  <c r="K38" i="16"/>
  <c r="L38" i="16" s="1"/>
  <c r="M37" i="3"/>
  <c r="C19" i="17"/>
  <c r="D19" i="17" s="1"/>
  <c r="Q38" i="16"/>
  <c r="R38" i="16" s="1"/>
  <c r="AF38" i="16"/>
  <c r="D19" i="11"/>
  <c r="Y19" i="11" s="1"/>
  <c r="Z19" i="11" s="1"/>
  <c r="J18" i="11"/>
  <c r="I18" i="11"/>
  <c r="T20" i="11"/>
  <c r="T21" i="11" s="1"/>
  <c r="C20" i="11"/>
  <c r="S20" i="11"/>
  <c r="S21" i="11" s="1"/>
  <c r="B20" i="11"/>
  <c r="X20" i="11"/>
  <c r="N20" i="11"/>
  <c r="N21" i="11" s="1"/>
  <c r="A23" i="11"/>
  <c r="W20" i="11"/>
  <c r="W21" i="11" s="1"/>
  <c r="M20" i="11"/>
  <c r="M21" i="11" s="1"/>
  <c r="AB36" i="3"/>
  <c r="Z36" i="3"/>
  <c r="AF38" i="3"/>
  <c r="AG38" i="3" s="1"/>
  <c r="AC19" i="1"/>
  <c r="AD19" i="1" s="1"/>
  <c r="R37" i="3"/>
  <c r="K38" i="3"/>
  <c r="D19" i="2"/>
  <c r="Y19" i="2" s="1"/>
  <c r="Z19" i="2" s="1"/>
  <c r="L37" i="3"/>
  <c r="J18" i="2"/>
  <c r="I18" i="2"/>
  <c r="Q38" i="3"/>
  <c r="R38" i="3" s="1"/>
  <c r="F19" i="2"/>
  <c r="T20" i="2"/>
  <c r="T21" i="2" s="1"/>
  <c r="C20" i="2"/>
  <c r="S20" i="2"/>
  <c r="S21" i="2" s="1"/>
  <c r="B20" i="2"/>
  <c r="X20" i="2"/>
  <c r="N20" i="2"/>
  <c r="N21" i="2" s="1"/>
  <c r="A23" i="2"/>
  <c r="W20" i="2"/>
  <c r="W21" i="2" s="1"/>
  <c r="M20" i="2"/>
  <c r="AC35" i="3"/>
  <c r="Y38" i="3" l="1"/>
  <c r="AA38" i="3" s="1"/>
  <c r="K39" i="16"/>
  <c r="M39" i="16" s="1"/>
  <c r="AF39" i="16"/>
  <c r="AG39" i="16" s="1"/>
  <c r="M38" i="16"/>
  <c r="V38" i="3"/>
  <c r="N37" i="3"/>
  <c r="Q39" i="16"/>
  <c r="R39" i="16" s="1"/>
  <c r="AH16" i="5"/>
  <c r="M38" i="3"/>
  <c r="C20" i="17"/>
  <c r="N38" i="16"/>
  <c r="AG38" i="16"/>
  <c r="AC20" i="1"/>
  <c r="X21" i="2"/>
  <c r="I19" i="2"/>
  <c r="J19" i="2"/>
  <c r="K39" i="3"/>
  <c r="Y39" i="3" s="1"/>
  <c r="AA39" i="3" s="1"/>
  <c r="D20" i="2"/>
  <c r="B21" i="2"/>
  <c r="I19" i="11"/>
  <c r="J19" i="11"/>
  <c r="D20" i="11"/>
  <c r="B21" i="11"/>
  <c r="L38" i="3"/>
  <c r="X21" i="11"/>
  <c r="A24" i="11"/>
  <c r="W23" i="11"/>
  <c r="M23" i="11"/>
  <c r="T23" i="11"/>
  <c r="C23" i="11"/>
  <c r="S23" i="11"/>
  <c r="B23" i="11"/>
  <c r="X23" i="11"/>
  <c r="N23" i="11"/>
  <c r="AF39" i="3"/>
  <c r="AG39" i="3" s="1"/>
  <c r="M21" i="2"/>
  <c r="A24" i="2"/>
  <c r="W23" i="2"/>
  <c r="M23" i="2"/>
  <c r="T23" i="2"/>
  <c r="C23" i="2"/>
  <c r="S23" i="2"/>
  <c r="B23" i="2"/>
  <c r="X23" i="2"/>
  <c r="N23" i="2"/>
  <c r="Q39" i="3"/>
  <c r="F20" i="2"/>
  <c r="F21" i="2" s="1"/>
  <c r="C21" i="2"/>
  <c r="AB37" i="3"/>
  <c r="Z37" i="3"/>
  <c r="AC36" i="3"/>
  <c r="F20" i="11"/>
  <c r="F21" i="11" s="1"/>
  <c r="C21" i="11"/>
  <c r="L39" i="16" l="1"/>
  <c r="N39" i="16" s="1"/>
  <c r="V39" i="3"/>
  <c r="N38" i="3"/>
  <c r="AH17" i="5"/>
  <c r="K40" i="16"/>
  <c r="M40" i="16" s="1"/>
  <c r="AF40" i="16"/>
  <c r="AG40" i="16" s="1"/>
  <c r="D20" i="17"/>
  <c r="M39" i="3"/>
  <c r="C21" i="17"/>
  <c r="D21" i="17" s="1"/>
  <c r="Q40" i="16"/>
  <c r="R40" i="16" s="1"/>
  <c r="K40" i="3"/>
  <c r="Y40" i="3" s="1"/>
  <c r="AA40" i="3" s="1"/>
  <c r="D23" i="2"/>
  <c r="F23" i="11"/>
  <c r="AB38" i="3"/>
  <c r="Z38" i="3"/>
  <c r="AC37" i="3"/>
  <c r="AD20" i="1"/>
  <c r="AD21" i="1" s="1"/>
  <c r="AC21" i="1"/>
  <c r="R39" i="3"/>
  <c r="G7" i="9"/>
  <c r="X24" i="11"/>
  <c r="N24" i="11"/>
  <c r="A25" i="11"/>
  <c r="W24" i="11"/>
  <c r="M24" i="11"/>
  <c r="T24" i="11"/>
  <c r="C24" i="11"/>
  <c r="F24" i="11" s="1"/>
  <c r="S24" i="11"/>
  <c r="B24" i="11"/>
  <c r="L39" i="3"/>
  <c r="C7" i="9"/>
  <c r="Q40" i="3"/>
  <c r="F23" i="2"/>
  <c r="X24" i="2"/>
  <c r="N24" i="2"/>
  <c r="A25" i="2"/>
  <c r="W24" i="2"/>
  <c r="M24" i="2"/>
  <c r="T24" i="2"/>
  <c r="C24" i="2"/>
  <c r="S24" i="2"/>
  <c r="B24" i="2"/>
  <c r="D23" i="11"/>
  <c r="Y20" i="11"/>
  <c r="D21" i="11"/>
  <c r="AF40" i="3"/>
  <c r="AG40" i="3" s="1"/>
  <c r="AC23" i="1"/>
  <c r="Y20" i="2"/>
  <c r="D21" i="2"/>
  <c r="L40" i="16" l="1"/>
  <c r="N40" i="16" s="1"/>
  <c r="V40" i="3"/>
  <c r="N39" i="3"/>
  <c r="AH18" i="5"/>
  <c r="Q41" i="16"/>
  <c r="R41" i="16" s="1"/>
  <c r="M40" i="3"/>
  <c r="C22" i="17"/>
  <c r="D22" i="17" s="1"/>
  <c r="K41" i="16"/>
  <c r="AF41" i="3"/>
  <c r="AG41" i="3" s="1"/>
  <c r="AF41" i="16"/>
  <c r="D24" i="11"/>
  <c r="Y24" i="11" s="1"/>
  <c r="Z24" i="11" s="1"/>
  <c r="K41" i="3"/>
  <c r="D24" i="2"/>
  <c r="Y24" i="2" s="1"/>
  <c r="Z24" i="2" s="1"/>
  <c r="AC24" i="1"/>
  <c r="AD24" i="1" s="1"/>
  <c r="Y23" i="2"/>
  <c r="S25" i="11"/>
  <c r="B25" i="11"/>
  <c r="X25" i="11"/>
  <c r="N25" i="11"/>
  <c r="A26" i="11"/>
  <c r="W25" i="11"/>
  <c r="M25" i="11"/>
  <c r="T25" i="11"/>
  <c r="C25" i="11"/>
  <c r="F25" i="11" s="1"/>
  <c r="H7" i="9"/>
  <c r="AC38" i="3"/>
  <c r="Y21" i="2"/>
  <c r="Z20" i="2"/>
  <c r="AD23" i="1"/>
  <c r="Y23" i="11"/>
  <c r="Q41" i="3"/>
  <c r="R41" i="3" s="1"/>
  <c r="F24" i="2"/>
  <c r="S25" i="2"/>
  <c r="B25" i="2"/>
  <c r="X25" i="2"/>
  <c r="N25" i="2"/>
  <c r="A26" i="2"/>
  <c r="W25" i="2"/>
  <c r="M25" i="2"/>
  <c r="T25" i="2"/>
  <c r="C25" i="2"/>
  <c r="S7" i="9"/>
  <c r="T7" i="9" s="1"/>
  <c r="D7" i="9"/>
  <c r="E7" i="9"/>
  <c r="J7" i="9"/>
  <c r="L40" i="3"/>
  <c r="Y21" i="11"/>
  <c r="Z20" i="11"/>
  <c r="R40" i="3"/>
  <c r="AB39" i="3"/>
  <c r="Z39" i="3"/>
  <c r="Y41" i="3" l="1"/>
  <c r="AA41" i="3" s="1"/>
  <c r="K42" i="16"/>
  <c r="M42" i="16" s="1"/>
  <c r="N40" i="3"/>
  <c r="V41" i="3"/>
  <c r="AH19" i="5"/>
  <c r="M41" i="3"/>
  <c r="C23" i="17"/>
  <c r="Q42" i="16"/>
  <c r="R42" i="16" s="1"/>
  <c r="AG41" i="16"/>
  <c r="M41" i="16"/>
  <c r="L41" i="16"/>
  <c r="N41" i="16" s="1"/>
  <c r="AF42" i="16"/>
  <c r="AG42" i="16" s="1"/>
  <c r="AF42" i="3"/>
  <c r="AG42" i="3" s="1"/>
  <c r="J24" i="2"/>
  <c r="I24" i="2"/>
  <c r="J24" i="11"/>
  <c r="I24" i="11"/>
  <c r="Q42" i="3"/>
  <c r="F25" i="2"/>
  <c r="T26" i="2"/>
  <c r="C26" i="2"/>
  <c r="S26" i="2"/>
  <c r="B26" i="2"/>
  <c r="X26" i="2"/>
  <c r="N26" i="2"/>
  <c r="A27" i="2"/>
  <c r="W26" i="2"/>
  <c r="M26" i="2"/>
  <c r="D25" i="11"/>
  <c r="Z23" i="2"/>
  <c r="AB40" i="3"/>
  <c r="Z40" i="3"/>
  <c r="J20" i="2"/>
  <c r="J21" i="2" s="1"/>
  <c r="I20" i="2"/>
  <c r="I21" i="2" s="1"/>
  <c r="Z21" i="2"/>
  <c r="T26" i="11"/>
  <c r="C26" i="11"/>
  <c r="F26" i="11" s="1"/>
  <c r="S26" i="11"/>
  <c r="B26" i="11"/>
  <c r="X26" i="11"/>
  <c r="N26" i="11"/>
  <c r="A27" i="11"/>
  <c r="W26" i="11"/>
  <c r="M26" i="11"/>
  <c r="AC25" i="1"/>
  <c r="J20" i="11"/>
  <c r="J21" i="11" s="1"/>
  <c r="I20" i="11"/>
  <c r="I21" i="11" s="1"/>
  <c r="Z21" i="11"/>
  <c r="L41" i="3"/>
  <c r="AC39" i="3"/>
  <c r="K7" i="9"/>
  <c r="K42" i="3"/>
  <c r="D25" i="2"/>
  <c r="Y25" i="2" s="1"/>
  <c r="Z23" i="11"/>
  <c r="Y42" i="3" l="1"/>
  <c r="AA42" i="3" s="1"/>
  <c r="G64" i="3"/>
  <c r="L42" i="16"/>
  <c r="N42" i="16" s="1"/>
  <c r="N41" i="3"/>
  <c r="V42" i="3"/>
  <c r="AH20" i="5"/>
  <c r="D23" i="17"/>
  <c r="M42" i="3"/>
  <c r="C24" i="17"/>
  <c r="D24" i="17" s="1"/>
  <c r="AF43" i="16"/>
  <c r="AG43" i="16" s="1"/>
  <c r="K43" i="16"/>
  <c r="Q43" i="16"/>
  <c r="R43" i="16" s="1"/>
  <c r="J23" i="2"/>
  <c r="I23" i="2"/>
  <c r="AF43" i="3"/>
  <c r="AG43" i="3" s="1"/>
  <c r="AC26" i="1"/>
  <c r="AD26" i="1" s="1"/>
  <c r="Z25" i="2"/>
  <c r="K43" i="3"/>
  <c r="D26" i="2"/>
  <c r="J23" i="11"/>
  <c r="I23" i="11"/>
  <c r="AB41" i="3"/>
  <c r="Z41" i="3"/>
  <c r="AD25" i="1"/>
  <c r="D26" i="11"/>
  <c r="Y26" i="11" s="1"/>
  <c r="Z26" i="11" s="1"/>
  <c r="A28" i="2"/>
  <c r="W27" i="2"/>
  <c r="M27" i="2"/>
  <c r="T27" i="2"/>
  <c r="C27" i="2"/>
  <c r="S27" i="2"/>
  <c r="B27" i="2"/>
  <c r="X27" i="2"/>
  <c r="N27" i="2"/>
  <c r="R42" i="3"/>
  <c r="L42" i="3"/>
  <c r="A28" i="11"/>
  <c r="W27" i="11"/>
  <c r="M27" i="11"/>
  <c r="T27" i="11"/>
  <c r="C27" i="11"/>
  <c r="F27" i="11" s="1"/>
  <c r="S27" i="11"/>
  <c r="B27" i="11"/>
  <c r="X27" i="11"/>
  <c r="N27" i="11"/>
  <c r="AC40" i="3"/>
  <c r="Y25" i="11"/>
  <c r="Q43" i="3"/>
  <c r="R43" i="3" s="1"/>
  <c r="F26" i="2"/>
  <c r="Y43" i="3" l="1"/>
  <c r="AA43" i="3" s="1"/>
  <c r="N42" i="3"/>
  <c r="V43" i="3"/>
  <c r="AH21" i="5"/>
  <c r="M43" i="3"/>
  <c r="C25" i="17"/>
  <c r="D25" i="17" s="1"/>
  <c r="Q44" i="16"/>
  <c r="R44" i="16" s="1"/>
  <c r="M43" i="16"/>
  <c r="L43" i="16"/>
  <c r="N43" i="16" s="1"/>
  <c r="D27" i="11"/>
  <c r="Y27" i="11" s="1"/>
  <c r="Z27" i="11" s="1"/>
  <c r="K44" i="16"/>
  <c r="AF44" i="16"/>
  <c r="AG44" i="16" s="1"/>
  <c r="Z25" i="11"/>
  <c r="X28" i="11"/>
  <c r="N28" i="11"/>
  <c r="A29" i="11"/>
  <c r="W28" i="11"/>
  <c r="M28" i="11"/>
  <c r="T28" i="11"/>
  <c r="C28" i="11"/>
  <c r="S28" i="11"/>
  <c r="B28" i="11"/>
  <c r="AB42" i="3"/>
  <c r="Z42" i="3"/>
  <c r="K44" i="3"/>
  <c r="D27" i="2"/>
  <c r="Y27" i="2" s="1"/>
  <c r="Z27" i="2" s="1"/>
  <c r="AF44" i="3"/>
  <c r="AG44" i="3" s="1"/>
  <c r="J26" i="11"/>
  <c r="I26" i="11"/>
  <c r="AC41" i="3"/>
  <c r="Y26" i="2"/>
  <c r="I25" i="2"/>
  <c r="J25" i="2"/>
  <c r="Q44" i="3"/>
  <c r="R44" i="3" s="1"/>
  <c r="F27" i="2"/>
  <c r="X28" i="2"/>
  <c r="N28" i="2"/>
  <c r="A29" i="2"/>
  <c r="W28" i="2"/>
  <c r="M28" i="2"/>
  <c r="T28" i="2"/>
  <c r="C28" i="2"/>
  <c r="S28" i="2"/>
  <c r="B28" i="2"/>
  <c r="L43" i="3"/>
  <c r="AC27" i="1"/>
  <c r="Y44" i="3" l="1"/>
  <c r="AA44" i="3" s="1"/>
  <c r="N43" i="3"/>
  <c r="Q45" i="16"/>
  <c r="R45" i="16" s="1"/>
  <c r="V44" i="3"/>
  <c r="AH22" i="5"/>
  <c r="M44" i="3"/>
  <c r="C26" i="17"/>
  <c r="K45" i="16"/>
  <c r="L45" i="16" s="1"/>
  <c r="AF45" i="3"/>
  <c r="AG45" i="3" s="1"/>
  <c r="AF45" i="16"/>
  <c r="AG45" i="16" s="1"/>
  <c r="M44" i="16"/>
  <c r="L44" i="16"/>
  <c r="N44" i="16" s="1"/>
  <c r="J27" i="2"/>
  <c r="I27" i="2"/>
  <c r="AC28" i="1"/>
  <c r="AD28" i="1" s="1"/>
  <c r="I25" i="11"/>
  <c r="J25" i="11"/>
  <c r="AD27" i="1"/>
  <c r="AB43" i="3"/>
  <c r="Z43" i="3"/>
  <c r="F28" i="11"/>
  <c r="S29" i="11"/>
  <c r="B29" i="11"/>
  <c r="X29" i="11"/>
  <c r="N29" i="11"/>
  <c r="A30" i="11"/>
  <c r="W29" i="11"/>
  <c r="M29" i="11"/>
  <c r="T29" i="11"/>
  <c r="C29" i="11"/>
  <c r="F29" i="11" s="1"/>
  <c r="K45" i="3"/>
  <c r="D28" i="2"/>
  <c r="Q45" i="3"/>
  <c r="R45" i="3" s="1"/>
  <c r="F28" i="2"/>
  <c r="T29" i="2"/>
  <c r="A30" i="2"/>
  <c r="S29" i="2"/>
  <c r="B29" i="2"/>
  <c r="N29" i="2"/>
  <c r="X29" i="2"/>
  <c r="M29" i="2"/>
  <c r="W29" i="2"/>
  <c r="C29" i="2"/>
  <c r="Z26" i="2"/>
  <c r="AC42" i="3"/>
  <c r="J27" i="11"/>
  <c r="I27" i="11"/>
  <c r="L44" i="3"/>
  <c r="D28" i="11"/>
  <c r="Y45" i="3" l="1"/>
  <c r="AA45" i="3" s="1"/>
  <c r="N44" i="3"/>
  <c r="AF46" i="16"/>
  <c r="AG46" i="16" s="1"/>
  <c r="V45" i="3"/>
  <c r="K46" i="16"/>
  <c r="L46" i="16" s="1"/>
  <c r="AH23" i="5"/>
  <c r="M45" i="16"/>
  <c r="N45" i="16"/>
  <c r="Q46" i="16"/>
  <c r="R46" i="16" s="1"/>
  <c r="M45" i="3"/>
  <c r="C27" i="17"/>
  <c r="D27" i="17" s="1"/>
  <c r="D26" i="17"/>
  <c r="L45" i="3"/>
  <c r="D29" i="11"/>
  <c r="Y29" i="11" s="1"/>
  <c r="Z29" i="11" s="1"/>
  <c r="AB44" i="3"/>
  <c r="Z44" i="3"/>
  <c r="K46" i="3"/>
  <c r="D29" i="2"/>
  <c r="Y29" i="2" s="1"/>
  <c r="Z29" i="2" s="1"/>
  <c r="T30" i="11"/>
  <c r="C30" i="11"/>
  <c r="F30" i="11" s="1"/>
  <c r="S30" i="11"/>
  <c r="B30" i="11"/>
  <c r="X30" i="11"/>
  <c r="N30" i="11"/>
  <c r="A31" i="11"/>
  <c r="W30" i="11"/>
  <c r="M30" i="11"/>
  <c r="AC43" i="3"/>
  <c r="Q46" i="3"/>
  <c r="R46" i="3" s="1"/>
  <c r="F29" i="2"/>
  <c r="J26" i="2"/>
  <c r="I26" i="2"/>
  <c r="AF46" i="3"/>
  <c r="AG46" i="3" s="1"/>
  <c r="Y28" i="11"/>
  <c r="AC29" i="1"/>
  <c r="AD29" i="1" s="1"/>
  <c r="X30" i="2"/>
  <c r="N30" i="2"/>
  <c r="A31" i="2"/>
  <c r="W30" i="2"/>
  <c r="M30" i="2"/>
  <c r="T30" i="2"/>
  <c r="C30" i="2"/>
  <c r="S30" i="2"/>
  <c r="B30" i="2"/>
  <c r="Y28" i="2"/>
  <c r="Y46" i="3" l="1"/>
  <c r="AA46" i="3" s="1"/>
  <c r="N45" i="3"/>
  <c r="AF47" i="16"/>
  <c r="AG47" i="16" s="1"/>
  <c r="V46" i="3"/>
  <c r="M46" i="16"/>
  <c r="AH24" i="5"/>
  <c r="N46" i="16"/>
  <c r="K47" i="16"/>
  <c r="M47" i="16" s="1"/>
  <c r="M46" i="3"/>
  <c r="C28" i="17"/>
  <c r="D28" i="17" s="1"/>
  <c r="Q47" i="16"/>
  <c r="R47" i="16" s="1"/>
  <c r="D30" i="11"/>
  <c r="Y30" i="11" s="1"/>
  <c r="Z30" i="11" s="1"/>
  <c r="I29" i="2"/>
  <c r="J29" i="2"/>
  <c r="AC44" i="3"/>
  <c r="I29" i="11"/>
  <c r="J29" i="11"/>
  <c r="Q47" i="3"/>
  <c r="F30" i="2"/>
  <c r="Z28" i="11"/>
  <c r="G8" i="9"/>
  <c r="Z28" i="2"/>
  <c r="A32" i="11"/>
  <c r="W31" i="11"/>
  <c r="M31" i="11"/>
  <c r="T31" i="11"/>
  <c r="C31" i="11"/>
  <c r="F31" i="11" s="1"/>
  <c r="S31" i="11"/>
  <c r="B31" i="11"/>
  <c r="X31" i="11"/>
  <c r="N31" i="11"/>
  <c r="L46" i="3"/>
  <c r="C8" i="9"/>
  <c r="S31" i="2"/>
  <c r="B31" i="2"/>
  <c r="X31" i="2"/>
  <c r="N31" i="2"/>
  <c r="A32" i="2"/>
  <c r="W31" i="2"/>
  <c r="M31" i="2"/>
  <c r="T31" i="2"/>
  <c r="C31" i="2"/>
  <c r="K47" i="3"/>
  <c r="Y47" i="3" s="1"/>
  <c r="AA47" i="3" s="1"/>
  <c r="D30" i="2"/>
  <c r="AF47" i="3"/>
  <c r="AG47" i="3" s="1"/>
  <c r="AC30" i="1"/>
  <c r="AD30" i="1" s="1"/>
  <c r="AB45" i="3"/>
  <c r="Z45" i="3"/>
  <c r="N46" i="3" l="1"/>
  <c r="V47" i="3"/>
  <c r="AH25" i="5"/>
  <c r="K48" i="16"/>
  <c r="M48" i="16" s="1"/>
  <c r="L47" i="16"/>
  <c r="N47" i="16" s="1"/>
  <c r="M47" i="3"/>
  <c r="C29" i="17"/>
  <c r="D29" i="17" s="1"/>
  <c r="Q48" i="16"/>
  <c r="R48" i="16" s="1"/>
  <c r="AF48" i="3"/>
  <c r="AG48" i="3" s="1"/>
  <c r="AF48" i="16"/>
  <c r="AG48" i="16" s="1"/>
  <c r="D31" i="11"/>
  <c r="Y31" i="11" s="1"/>
  <c r="J30" i="11"/>
  <c r="I30" i="11"/>
  <c r="Y30" i="2"/>
  <c r="Z30" i="2" s="1"/>
  <c r="E8" i="9"/>
  <c r="J8" i="9"/>
  <c r="D8" i="9"/>
  <c r="S8" i="9"/>
  <c r="T8" i="9" s="1"/>
  <c r="J28" i="2"/>
  <c r="I28" i="2"/>
  <c r="AC45" i="3"/>
  <c r="AC31" i="1"/>
  <c r="AD31" i="1" s="1"/>
  <c r="AB46" i="3"/>
  <c r="Z46" i="3"/>
  <c r="X32" i="11"/>
  <c r="N32" i="11"/>
  <c r="A33" i="11"/>
  <c r="W32" i="11"/>
  <c r="M32" i="11"/>
  <c r="T32" i="11"/>
  <c r="C32" i="11"/>
  <c r="F32" i="11" s="1"/>
  <c r="S32" i="11"/>
  <c r="B32" i="11"/>
  <c r="L47" i="3"/>
  <c r="K48" i="3"/>
  <c r="D31" i="2"/>
  <c r="Y31" i="2" s="1"/>
  <c r="Z31" i="2" s="1"/>
  <c r="H8" i="9"/>
  <c r="Q48" i="3"/>
  <c r="R48" i="3" s="1"/>
  <c r="F31" i="2"/>
  <c r="T32" i="2"/>
  <c r="C32" i="2"/>
  <c r="S32" i="2"/>
  <c r="B32" i="2"/>
  <c r="X32" i="2"/>
  <c r="N32" i="2"/>
  <c r="A33" i="2"/>
  <c r="W32" i="2"/>
  <c r="M32" i="2"/>
  <c r="J28" i="11"/>
  <c r="I28" i="11"/>
  <c r="R47" i="3"/>
  <c r="Y48" i="3" l="1"/>
  <c r="AA48" i="3" s="1"/>
  <c r="N47" i="3"/>
  <c r="V48" i="3"/>
  <c r="L48" i="16"/>
  <c r="N48" i="16" s="1"/>
  <c r="AH26" i="5"/>
  <c r="Q49" i="16"/>
  <c r="R49" i="16" s="1"/>
  <c r="M48" i="3"/>
  <c r="C30" i="17"/>
  <c r="D30" i="17" s="1"/>
  <c r="AF49" i="3"/>
  <c r="AG49" i="3" s="1"/>
  <c r="AF49" i="16"/>
  <c r="AG49" i="16" s="1"/>
  <c r="K49" i="16"/>
  <c r="I31" i="2"/>
  <c r="J31" i="2"/>
  <c r="Q49" i="3"/>
  <c r="F32" i="2"/>
  <c r="L48" i="3"/>
  <c r="S33" i="11"/>
  <c r="B33" i="11"/>
  <c r="X33" i="11"/>
  <c r="N33" i="11"/>
  <c r="A34" i="11"/>
  <c r="W33" i="11"/>
  <c r="M33" i="11"/>
  <c r="T33" i="11"/>
  <c r="C33" i="11"/>
  <c r="F33" i="11" s="1"/>
  <c r="AC46" i="3"/>
  <c r="J30" i="2"/>
  <c r="I30" i="2"/>
  <c r="AC32" i="1"/>
  <c r="AD32" i="1" s="1"/>
  <c r="AB47" i="3"/>
  <c r="Z47" i="3"/>
  <c r="K8" i="9"/>
  <c r="K49" i="3"/>
  <c r="D32" i="2"/>
  <c r="Y32" i="2" s="1"/>
  <c r="Z32" i="2" s="1"/>
  <c r="Z31" i="11"/>
  <c r="D32" i="11"/>
  <c r="Y32" i="11" s="1"/>
  <c r="Z32" i="11" s="1"/>
  <c r="A34" i="2"/>
  <c r="W33" i="2"/>
  <c r="M33" i="2"/>
  <c r="T33" i="2"/>
  <c r="C33" i="2"/>
  <c r="S33" i="2"/>
  <c r="B33" i="2"/>
  <c r="X33" i="2"/>
  <c r="N33" i="2"/>
  <c r="Y49" i="3" l="1"/>
  <c r="AA49" i="3" s="1"/>
  <c r="G65" i="3"/>
  <c r="N48" i="3"/>
  <c r="AF50" i="16"/>
  <c r="AG50" i="16" s="1"/>
  <c r="Q50" i="16"/>
  <c r="R50" i="16" s="1"/>
  <c r="V49" i="3"/>
  <c r="AH27" i="5"/>
  <c r="M49" i="3"/>
  <c r="C31" i="17"/>
  <c r="D31" i="17" s="1"/>
  <c r="K50" i="16"/>
  <c r="M50" i="16" s="1"/>
  <c r="M49" i="16"/>
  <c r="L49" i="16"/>
  <c r="N49" i="16" s="1"/>
  <c r="AF50" i="3"/>
  <c r="AG50" i="3" s="1"/>
  <c r="D33" i="11"/>
  <c r="Y33" i="11" s="1"/>
  <c r="Z33" i="11" s="1"/>
  <c r="J32" i="2"/>
  <c r="I32" i="2"/>
  <c r="J32" i="11"/>
  <c r="I32" i="11"/>
  <c r="Q50" i="3"/>
  <c r="R50" i="3" s="1"/>
  <c r="F33" i="2"/>
  <c r="X34" i="2"/>
  <c r="N34" i="2"/>
  <c r="A35" i="2"/>
  <c r="W34" i="2"/>
  <c r="M34" i="2"/>
  <c r="T34" i="2"/>
  <c r="C34" i="2"/>
  <c r="S34" i="2"/>
  <c r="B34" i="2"/>
  <c r="J31" i="11"/>
  <c r="I31" i="11"/>
  <c r="AC47" i="3"/>
  <c r="T34" i="11"/>
  <c r="C34" i="11"/>
  <c r="F34" i="11" s="1"/>
  <c r="S34" i="11"/>
  <c r="B34" i="11"/>
  <c r="X34" i="11"/>
  <c r="N34" i="11"/>
  <c r="A35" i="11"/>
  <c r="W34" i="11"/>
  <c r="M34" i="11"/>
  <c r="AC33" i="1"/>
  <c r="AD33" i="1" s="1"/>
  <c r="K50" i="3"/>
  <c r="D33" i="2"/>
  <c r="Y33" i="2" s="1"/>
  <c r="Z33" i="2" s="1"/>
  <c r="L49" i="3"/>
  <c r="AB48" i="3"/>
  <c r="Z48" i="3"/>
  <c r="R49" i="3"/>
  <c r="Y50" i="3" l="1"/>
  <c r="AA50" i="3" s="1"/>
  <c r="N49" i="3"/>
  <c r="V50" i="3"/>
  <c r="AH28" i="5"/>
  <c r="L50" i="16"/>
  <c r="N50" i="16" s="1"/>
  <c r="Q51" i="16"/>
  <c r="R51" i="16" s="1"/>
  <c r="M50" i="3"/>
  <c r="C32" i="17"/>
  <c r="D32" i="17" s="1"/>
  <c r="K51" i="16"/>
  <c r="AF51" i="16"/>
  <c r="AG51" i="16" s="1"/>
  <c r="D34" i="11"/>
  <c r="Y34" i="11" s="1"/>
  <c r="Z34" i="11" s="1"/>
  <c r="J33" i="2"/>
  <c r="I33" i="2"/>
  <c r="I33" i="11"/>
  <c r="J33" i="11"/>
  <c r="A36" i="11"/>
  <c r="W35" i="11"/>
  <c r="M35" i="11"/>
  <c r="T35" i="11"/>
  <c r="C35" i="11"/>
  <c r="F35" i="11" s="1"/>
  <c r="S35" i="11"/>
  <c r="B35" i="11"/>
  <c r="X35" i="11"/>
  <c r="N35" i="11"/>
  <c r="AC48" i="3"/>
  <c r="Q51" i="3"/>
  <c r="F34" i="2"/>
  <c r="S35" i="2"/>
  <c r="B35" i="2"/>
  <c r="X35" i="2"/>
  <c r="N35" i="2"/>
  <c r="A36" i="2"/>
  <c r="W35" i="2"/>
  <c r="M35" i="2"/>
  <c r="AF52" i="16" s="1"/>
  <c r="AG52" i="16" s="1"/>
  <c r="T35" i="2"/>
  <c r="C35" i="2"/>
  <c r="L50" i="3"/>
  <c r="AB49" i="3"/>
  <c r="Z49" i="3"/>
  <c r="K51" i="3"/>
  <c r="I65" i="3" s="1"/>
  <c r="D34" i="2"/>
  <c r="Y34" i="2" s="1"/>
  <c r="Z34" i="2" s="1"/>
  <c r="AF51" i="3"/>
  <c r="AG51" i="3" s="1"/>
  <c r="AC34" i="1"/>
  <c r="AD34" i="1" s="1"/>
  <c r="Y51" i="3" l="1"/>
  <c r="AA51" i="3" s="1"/>
  <c r="N50" i="3"/>
  <c r="D35" i="11"/>
  <c r="Y35" i="11" s="1"/>
  <c r="Z35" i="11" s="1"/>
  <c r="V51" i="3"/>
  <c r="K52" i="16"/>
  <c r="M52" i="16" s="1"/>
  <c r="AH29" i="5"/>
  <c r="M51" i="3"/>
  <c r="C33" i="17"/>
  <c r="D33" i="17" s="1"/>
  <c r="Q52" i="16"/>
  <c r="R52" i="16" s="1"/>
  <c r="M51" i="16"/>
  <c r="L51" i="16"/>
  <c r="N51" i="16" s="1"/>
  <c r="AF52" i="3"/>
  <c r="AG52" i="3" s="1"/>
  <c r="J34" i="11"/>
  <c r="I34" i="11"/>
  <c r="K52" i="3"/>
  <c r="D35" i="2"/>
  <c r="Y35" i="2" s="1"/>
  <c r="Z35" i="2" s="1"/>
  <c r="L51" i="3"/>
  <c r="J34" i="2"/>
  <c r="I34" i="2"/>
  <c r="Q52" i="3"/>
  <c r="R52" i="3" s="1"/>
  <c r="F35" i="2"/>
  <c r="T36" i="2"/>
  <c r="C36" i="2"/>
  <c r="S36" i="2"/>
  <c r="B36" i="2"/>
  <c r="X36" i="2"/>
  <c r="N36" i="2"/>
  <c r="A37" i="2"/>
  <c r="W36" i="2"/>
  <c r="M36" i="2"/>
  <c r="T36" i="11"/>
  <c r="A37" i="11"/>
  <c r="S36" i="11"/>
  <c r="N36" i="11"/>
  <c r="X36" i="11"/>
  <c r="M36" i="11"/>
  <c r="C36" i="11"/>
  <c r="F36" i="11" s="1"/>
  <c r="W36" i="11"/>
  <c r="B36" i="11"/>
  <c r="AB50" i="3"/>
  <c r="Z50" i="3"/>
  <c r="AC49" i="3"/>
  <c r="AC35" i="1"/>
  <c r="AD35" i="1" s="1"/>
  <c r="R51" i="3"/>
  <c r="Y52" i="3" l="1"/>
  <c r="AA52" i="3" s="1"/>
  <c r="N51" i="3"/>
  <c r="V52" i="3"/>
  <c r="AH30" i="5"/>
  <c r="L52" i="16"/>
  <c r="N52" i="16" s="1"/>
  <c r="K53" i="16"/>
  <c r="M53" i="16" s="1"/>
  <c r="M52" i="3"/>
  <c r="C34" i="17"/>
  <c r="D34" i="17" s="1"/>
  <c r="G18" i="16"/>
  <c r="Q53" i="16"/>
  <c r="R53" i="16" s="1"/>
  <c r="AF53" i="3"/>
  <c r="AG53" i="3" s="1"/>
  <c r="AF53" i="16"/>
  <c r="AG53" i="16" s="1"/>
  <c r="D36" i="11"/>
  <c r="Y36" i="11" s="1"/>
  <c r="Z36" i="11" s="1"/>
  <c r="I52" i="3"/>
  <c r="L52" i="3" s="1"/>
  <c r="Q9" i="5"/>
  <c r="P18" i="5"/>
  <c r="Q18" i="5" s="1"/>
  <c r="A38" i="11"/>
  <c r="W37" i="11"/>
  <c r="M37" i="11"/>
  <c r="T37" i="11"/>
  <c r="X37" i="11"/>
  <c r="S37" i="11"/>
  <c r="C37" i="11"/>
  <c r="F37" i="11" s="1"/>
  <c r="N37" i="11"/>
  <c r="B37" i="11"/>
  <c r="A38" i="2"/>
  <c r="W37" i="2"/>
  <c r="M37" i="2"/>
  <c r="T37" i="2"/>
  <c r="C37" i="2"/>
  <c r="S37" i="2"/>
  <c r="B37" i="2"/>
  <c r="X37" i="2"/>
  <c r="N37" i="2"/>
  <c r="Q53" i="3"/>
  <c r="F36" i="2"/>
  <c r="AC36" i="1"/>
  <c r="AD36" i="1" s="1"/>
  <c r="J35" i="11"/>
  <c r="I35" i="11"/>
  <c r="I35" i="2"/>
  <c r="J35" i="2"/>
  <c r="AC50" i="3"/>
  <c r="K53" i="3"/>
  <c r="Y53" i="3" s="1"/>
  <c r="AA53" i="3" s="1"/>
  <c r="D36" i="2"/>
  <c r="Y36" i="2" s="1"/>
  <c r="Z36" i="2" s="1"/>
  <c r="AB51" i="3"/>
  <c r="Z51" i="3"/>
  <c r="N52" i="3" l="1"/>
  <c r="AH31" i="5"/>
  <c r="L53" i="16"/>
  <c r="N53" i="16" s="1"/>
  <c r="C35" i="17"/>
  <c r="D35" i="17" s="1"/>
  <c r="K54" i="16"/>
  <c r="L54" i="16" s="1"/>
  <c r="AF54" i="16"/>
  <c r="AG54" i="16" s="1"/>
  <c r="Q54" i="16"/>
  <c r="R54" i="16" s="1"/>
  <c r="AF54" i="3"/>
  <c r="AG54" i="3" s="1"/>
  <c r="I53" i="3"/>
  <c r="L53" i="3" s="1"/>
  <c r="M53" i="3"/>
  <c r="J36" i="11"/>
  <c r="I36" i="11"/>
  <c r="J36" i="2"/>
  <c r="I36" i="2"/>
  <c r="Q54" i="3"/>
  <c r="R54" i="3" s="1"/>
  <c r="F37" i="2"/>
  <c r="X38" i="2"/>
  <c r="N38" i="2"/>
  <c r="N39" i="2" s="1"/>
  <c r="N41" i="2" s="1"/>
  <c r="W38" i="2"/>
  <c r="W39" i="2" s="1"/>
  <c r="W41" i="2" s="1"/>
  <c r="M38" i="2"/>
  <c r="T38" i="2"/>
  <c r="T39" i="2" s="1"/>
  <c r="T41" i="2" s="1"/>
  <c r="C38" i="2"/>
  <c r="S38" i="2"/>
  <c r="S39" i="2" s="1"/>
  <c r="S41" i="2" s="1"/>
  <c r="B38" i="2"/>
  <c r="AC51" i="3"/>
  <c r="R53" i="3"/>
  <c r="AB52" i="3"/>
  <c r="Z52" i="3"/>
  <c r="AC37" i="1"/>
  <c r="AD37" i="1" s="1"/>
  <c r="D37" i="11"/>
  <c r="Y37" i="11" s="1"/>
  <c r="Z37" i="11" s="1"/>
  <c r="X38" i="11"/>
  <c r="N38" i="11"/>
  <c r="N39" i="11" s="1"/>
  <c r="N41" i="11" s="1"/>
  <c r="W38" i="11"/>
  <c r="W39" i="11" s="1"/>
  <c r="W41" i="11" s="1"/>
  <c r="M38" i="11"/>
  <c r="M39" i="11" s="1"/>
  <c r="M41" i="11" s="1"/>
  <c r="T38" i="11"/>
  <c r="T39" i="11" s="1"/>
  <c r="T41" i="11" s="1"/>
  <c r="S38" i="11"/>
  <c r="S39" i="11" s="1"/>
  <c r="S41" i="11" s="1"/>
  <c r="C38" i="11"/>
  <c r="B38" i="11"/>
  <c r="K54" i="3"/>
  <c r="Y54" i="3" s="1"/>
  <c r="AA54" i="3" s="1"/>
  <c r="D37" i="2"/>
  <c r="Y37" i="2" s="1"/>
  <c r="Z37" i="2" s="1"/>
  <c r="N53" i="3" l="1"/>
  <c r="AH32" i="5"/>
  <c r="AB53" i="3"/>
  <c r="V53" i="3"/>
  <c r="M54" i="16"/>
  <c r="C36" i="17"/>
  <c r="D36" i="17" s="1"/>
  <c r="Q55" i="16"/>
  <c r="N54" i="16"/>
  <c r="G9" i="9"/>
  <c r="H9" i="9" s="1"/>
  <c r="K55" i="16"/>
  <c r="AF55" i="16"/>
  <c r="I54" i="3"/>
  <c r="I56" i="3" s="1"/>
  <c r="M54" i="3"/>
  <c r="H56" i="3"/>
  <c r="J37" i="11"/>
  <c r="I37" i="11"/>
  <c r="J37" i="2"/>
  <c r="I37" i="2"/>
  <c r="F38" i="11"/>
  <c r="F39" i="11" s="1"/>
  <c r="F41" i="11" s="1"/>
  <c r="C39" i="11"/>
  <c r="C41" i="11" s="1"/>
  <c r="AC52" i="3"/>
  <c r="AC38" i="1"/>
  <c r="X39" i="2"/>
  <c r="X41" i="2" s="1"/>
  <c r="Z53" i="3"/>
  <c r="K55" i="3"/>
  <c r="G66" i="3" s="1"/>
  <c r="I66" i="3" s="1"/>
  <c r="D38" i="2"/>
  <c r="B39" i="2"/>
  <c r="B41" i="2" s="1"/>
  <c r="AF55" i="3"/>
  <c r="M39" i="2"/>
  <c r="M41" i="2" s="1"/>
  <c r="C9" i="9"/>
  <c r="X39" i="11"/>
  <c r="X41" i="11" s="1"/>
  <c r="D38" i="11"/>
  <c r="B39" i="11"/>
  <c r="B41" i="11" s="1"/>
  <c r="Q55" i="3"/>
  <c r="F38" i="2"/>
  <c r="F39" i="2" s="1"/>
  <c r="F41" i="2" s="1"/>
  <c r="C39" i="2"/>
  <c r="C41" i="2" s="1"/>
  <c r="Y55" i="3" l="1"/>
  <c r="AA55" i="3" s="1"/>
  <c r="G67" i="3"/>
  <c r="AH33" i="5"/>
  <c r="AH34" i="5" s="1"/>
  <c r="AK4" i="5" s="1"/>
  <c r="AB54" i="3"/>
  <c r="V54" i="3"/>
  <c r="C37" i="17"/>
  <c r="D37" i="17" s="1"/>
  <c r="M55" i="16"/>
  <c r="J19" i="16" s="1"/>
  <c r="L55" i="16"/>
  <c r="L56" i="16" s="1"/>
  <c r="K56" i="16"/>
  <c r="AG55" i="16"/>
  <c r="AF56" i="16"/>
  <c r="AG56" i="16" s="1"/>
  <c r="R55" i="16"/>
  <c r="Q56" i="16"/>
  <c r="R56" i="16" s="1"/>
  <c r="L54" i="3"/>
  <c r="N54" i="3" s="1"/>
  <c r="E9" i="5"/>
  <c r="D9" i="5"/>
  <c r="G9" i="5"/>
  <c r="AG55" i="3"/>
  <c r="AF56" i="3"/>
  <c r="AG56" i="3" s="1"/>
  <c r="G10" i="9"/>
  <c r="R55" i="3"/>
  <c r="Q56" i="3"/>
  <c r="R56" i="3" s="1"/>
  <c r="AC53" i="3"/>
  <c r="AD38" i="1"/>
  <c r="AD39" i="1" s="1"/>
  <c r="AD41" i="1" s="1"/>
  <c r="AC39" i="1"/>
  <c r="AC41" i="1" s="1"/>
  <c r="Z54" i="3"/>
  <c r="S9" i="9"/>
  <c r="T9" i="9" s="1"/>
  <c r="D9" i="9"/>
  <c r="J9" i="9"/>
  <c r="E9" i="9"/>
  <c r="Y38" i="2"/>
  <c r="D39" i="2"/>
  <c r="D41" i="2" s="1"/>
  <c r="Y38" i="11"/>
  <c r="D39" i="11"/>
  <c r="D41" i="11" s="1"/>
  <c r="C10" i="9"/>
  <c r="M55" i="3"/>
  <c r="J19" i="3" s="1"/>
  <c r="K21" i="3" s="1"/>
  <c r="L55" i="3"/>
  <c r="K56" i="3"/>
  <c r="H67" i="3" s="1"/>
  <c r="I67" i="3" l="1"/>
  <c r="G69" i="3"/>
  <c r="AK7" i="5"/>
  <c r="AL3" i="5"/>
  <c r="V55" i="3"/>
  <c r="N55" i="16"/>
  <c r="N56" i="16" s="1"/>
  <c r="C38" i="17"/>
  <c r="B4" i="17" s="1"/>
  <c r="J22" i="3"/>
  <c r="M56" i="16"/>
  <c r="G16" i="16"/>
  <c r="J22" i="16"/>
  <c r="N55" i="3"/>
  <c r="L56" i="3"/>
  <c r="Y39" i="11"/>
  <c r="Y41" i="11" s="1"/>
  <c r="Z38" i="11"/>
  <c r="H10" i="9"/>
  <c r="G12" i="9"/>
  <c r="H12" i="9" s="1"/>
  <c r="M56" i="3"/>
  <c r="G16" i="3"/>
  <c r="K9" i="9"/>
  <c r="AC54" i="3"/>
  <c r="E10" i="9"/>
  <c r="J10" i="9"/>
  <c r="K10" i="9" s="1"/>
  <c r="S10" i="9"/>
  <c r="T10" i="9" s="1"/>
  <c r="D10" i="9"/>
  <c r="Y39" i="2"/>
  <c r="Y41" i="2" s="1"/>
  <c r="Z38" i="2"/>
  <c r="Z55" i="3"/>
  <c r="C12" i="9"/>
  <c r="D38" i="17" l="1"/>
  <c r="C3" i="17"/>
  <c r="I13" i="6"/>
  <c r="J13" i="6" s="1"/>
  <c r="G13" i="5"/>
  <c r="E13" i="5"/>
  <c r="D13" i="5"/>
  <c r="I11" i="6"/>
  <c r="J11" i="6" s="1"/>
  <c r="E11" i="5"/>
  <c r="G11" i="5"/>
  <c r="D11" i="5"/>
  <c r="C18" i="5"/>
  <c r="N56" i="3"/>
  <c r="J15" i="16"/>
  <c r="G20" i="16" s="1"/>
  <c r="G21" i="16" s="1"/>
  <c r="Q17" i="16"/>
  <c r="R17" i="16" s="1"/>
  <c r="G17" i="16"/>
  <c r="G19" i="16" s="1"/>
  <c r="M19" i="16"/>
  <c r="E12" i="9"/>
  <c r="D12" i="9"/>
  <c r="S12" i="9"/>
  <c r="T12" i="9" s="1"/>
  <c r="J38" i="2"/>
  <c r="J39" i="2" s="1"/>
  <c r="J41" i="2" s="1"/>
  <c r="I38" i="2"/>
  <c r="I39" i="2" s="1"/>
  <c r="I41" i="2" s="1"/>
  <c r="Z39" i="2"/>
  <c r="Z41" i="2" s="1"/>
  <c r="Q17" i="3"/>
  <c r="R17" i="3" s="1"/>
  <c r="G17" i="3"/>
  <c r="G19" i="3" s="1"/>
  <c r="J15" i="3"/>
  <c r="J12" i="9"/>
  <c r="K12" i="9" s="1"/>
  <c r="J38" i="11"/>
  <c r="J39" i="11" s="1"/>
  <c r="J41" i="11" s="1"/>
  <c r="I38" i="11"/>
  <c r="I39" i="11" s="1"/>
  <c r="I41" i="11" s="1"/>
  <c r="Z39" i="11"/>
  <c r="Z41" i="11" s="1"/>
  <c r="AB55" i="3"/>
  <c r="AA56" i="3"/>
  <c r="G20" i="3" l="1"/>
  <c r="G21" i="3" s="1"/>
  <c r="I64" i="3"/>
  <c r="I18" i="6"/>
  <c r="J18" i="6" s="1"/>
  <c r="D18" i="5"/>
  <c r="G18" i="5"/>
  <c r="AC55" i="3"/>
  <c r="Z28" i="3"/>
  <c r="Y56" i="3"/>
  <c r="Z56" i="3" s="1"/>
  <c r="V28" i="3"/>
  <c r="U56" i="3" l="1"/>
  <c r="V56" i="3" s="1"/>
  <c r="AB28" i="3" l="1"/>
  <c r="W56" i="3"/>
  <c r="AC28" i="3" l="1"/>
  <c r="AB56" i="3"/>
  <c r="M16" i="3" s="1"/>
  <c r="M17" i="3" l="1"/>
  <c r="M19" i="3"/>
  <c r="AC56" i="3"/>
  <c r="M18" i="3"/>
  <c r="F3"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NAV2017SERVICE</author>
  </authors>
  <commentList>
    <comment ref="X6" authorId="0" shapeId="0" xr:uid="{00000000-0006-0000-0000-000001000000}">
      <text>
        <r>
          <rPr>
            <b/>
            <sz val="9"/>
            <color indexed="81"/>
            <rFont val="Tahoma"/>
            <charset val="1"/>
          </rPr>
          <t>NAV2017SERVICE:</t>
        </r>
        <r>
          <rPr>
            <sz val="9"/>
            <color indexed="81"/>
            <rFont val="Tahoma"/>
            <charset val="1"/>
          </rPr>
          <t xml:space="preserve">
UNPROC RETURN
RS#159421 = 4,636</t>
        </r>
      </text>
    </comment>
    <comment ref="T7" authorId="0" shapeId="0" xr:uid="{00000000-0006-0000-0000-000002000000}">
      <text>
        <r>
          <rPr>
            <b/>
            <sz val="9"/>
            <color indexed="81"/>
            <rFont val="Tahoma"/>
            <charset val="1"/>
          </rPr>
          <t>NAV2017SERVICE:</t>
        </r>
        <r>
          <rPr>
            <sz val="9"/>
            <color indexed="81"/>
            <rFont val="Tahoma"/>
            <charset val="1"/>
          </rPr>
          <t xml:space="preserve">
proc return</t>
        </r>
      </text>
    </comment>
    <comment ref="B8" authorId="0" shapeId="0" xr:uid="{00000000-0006-0000-0000-000003000000}">
      <text>
        <r>
          <rPr>
            <b/>
            <sz val="9"/>
            <color indexed="81"/>
            <rFont val="Tahoma"/>
            <charset val="1"/>
          </rPr>
          <t>NAV2017SERVICE:</t>
        </r>
        <r>
          <rPr>
            <sz val="9"/>
            <color indexed="81"/>
            <rFont val="Tahoma"/>
            <charset val="1"/>
          </rPr>
          <t xml:space="preserve">
DF=400</t>
        </r>
      </text>
    </comment>
    <comment ref="X9" authorId="0" shapeId="0" xr:uid="{00000000-0006-0000-0000-000004000000}">
      <text>
        <r>
          <rPr>
            <b/>
            <sz val="9"/>
            <color indexed="81"/>
            <rFont val="Tahoma"/>
            <charset val="1"/>
          </rPr>
          <t>NAV2017SERVICE:</t>
        </r>
        <r>
          <rPr>
            <sz val="9"/>
            <color indexed="81"/>
            <rFont val="Tahoma"/>
            <charset val="1"/>
          </rPr>
          <t xml:space="preserve">
unproc return
rs#159422 = 3,040
rs#159423 - 3,040</t>
        </r>
      </text>
    </comment>
    <comment ref="B10" authorId="0" shapeId="0" xr:uid="{00000000-0006-0000-0000-000005000000}">
      <text>
        <r>
          <rPr>
            <b/>
            <sz val="9"/>
            <color indexed="81"/>
            <rFont val="Tahoma"/>
            <charset val="1"/>
          </rPr>
          <t>NAV2017SERVICE:</t>
        </r>
        <r>
          <rPr>
            <sz val="9"/>
            <color indexed="81"/>
            <rFont val="Tahoma"/>
            <charset val="1"/>
          </rPr>
          <t xml:space="preserve">
DF= 400</t>
        </r>
      </text>
    </comment>
    <comment ref="X10" authorId="0" shapeId="0" xr:uid="{00000000-0006-0000-0000-000006000000}">
      <text>
        <r>
          <rPr>
            <b/>
            <sz val="9"/>
            <color indexed="81"/>
            <rFont val="Tahoma"/>
            <charset val="1"/>
          </rPr>
          <t>NAV2017SERVICE:</t>
        </r>
        <r>
          <rPr>
            <sz val="9"/>
            <color indexed="81"/>
            <rFont val="Tahoma"/>
            <charset val="1"/>
          </rPr>
          <t xml:space="preserve">
UNPROC CANCELLATION</t>
        </r>
      </text>
    </comment>
    <comment ref="AD10" authorId="0" shapeId="0" xr:uid="{00000000-0006-0000-0000-000007000000}">
      <text>
        <r>
          <rPr>
            <b/>
            <sz val="9"/>
            <color indexed="81"/>
            <rFont val="Tahoma"/>
            <charset val="1"/>
          </rPr>
          <t>NAV2017SERVICE:</t>
        </r>
        <r>
          <rPr>
            <sz val="9"/>
            <color indexed="81"/>
            <rFont val="Tahoma"/>
            <charset val="1"/>
          </rPr>
          <t xml:space="preserve">
49- c/o danica</t>
        </r>
      </text>
    </comment>
    <comment ref="T11" authorId="0" shapeId="0" xr:uid="{00000000-0006-0000-0000-000008000000}">
      <text>
        <r>
          <rPr>
            <b/>
            <sz val="9"/>
            <color indexed="81"/>
            <rFont val="Tahoma"/>
            <charset val="1"/>
          </rPr>
          <t>NAV2017SERVICE:</t>
        </r>
        <r>
          <rPr>
            <sz val="9"/>
            <color indexed="81"/>
            <rFont val="Tahoma"/>
            <charset val="1"/>
          </rPr>
          <t xml:space="preserve">
proc return- 6080
process reversal-5280</t>
        </r>
      </text>
    </comment>
    <comment ref="X15" authorId="0" shapeId="0" xr:uid="{00000000-0006-0000-0000-000009000000}">
      <text>
        <r>
          <rPr>
            <b/>
            <sz val="9"/>
            <color indexed="81"/>
            <rFont val="Tahoma"/>
            <charset val="1"/>
          </rPr>
          <t>NAV2017SERVICE:</t>
        </r>
        <r>
          <rPr>
            <sz val="9"/>
            <color indexed="81"/>
            <rFont val="Tahoma"/>
            <charset val="1"/>
          </rPr>
          <t xml:space="preserve">
unproc return
rs#159424 = 1,326.50
rs#15925= 10,849
unproc cancellation - 2,395</t>
        </r>
      </text>
    </comment>
    <comment ref="T16" authorId="0" shapeId="0" xr:uid="{00000000-0006-0000-0000-00000A000000}">
      <text>
        <r>
          <rPr>
            <b/>
            <sz val="9"/>
            <color indexed="81"/>
            <rFont val="Tahoma"/>
            <charset val="1"/>
          </rPr>
          <t>NAV2017SERVICE:</t>
        </r>
        <r>
          <rPr>
            <sz val="9"/>
            <color indexed="81"/>
            <rFont val="Tahoma"/>
            <charset val="1"/>
          </rPr>
          <t xml:space="preserve">
proc revrsal</t>
        </r>
      </text>
    </comment>
    <comment ref="B17" authorId="0" shapeId="0" xr:uid="{00000000-0006-0000-0000-00000B000000}">
      <text>
        <r>
          <rPr>
            <b/>
            <sz val="9"/>
            <color indexed="81"/>
            <rFont val="Tahoma"/>
            <charset val="1"/>
          </rPr>
          <t>NAV2017SERVICE:</t>
        </r>
        <r>
          <rPr>
            <sz val="9"/>
            <color indexed="81"/>
            <rFont val="Tahoma"/>
            <charset val="1"/>
          </rPr>
          <t xml:space="preserve">
df = 500</t>
        </r>
      </text>
    </comment>
    <comment ref="X17" authorId="0" shapeId="0" xr:uid="{00000000-0006-0000-0000-00000C000000}">
      <text>
        <r>
          <rPr>
            <b/>
            <sz val="9"/>
            <color indexed="81"/>
            <rFont val="Tahoma"/>
            <charset val="1"/>
          </rPr>
          <t>NAV2017SERVICE:</t>
        </r>
        <r>
          <rPr>
            <sz val="9"/>
            <color indexed="81"/>
            <rFont val="Tahoma"/>
            <charset val="1"/>
          </rPr>
          <t xml:space="preserve">
unproc return
rs#159428 = 939.50
UNPROC CANCELLATION-500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wmllaguno</author>
    <author>yammy</author>
  </authors>
  <commentList>
    <comment ref="O15" authorId="0" shapeId="0" xr:uid="{00000000-0006-0000-0500-000001000000}">
      <text>
        <r>
          <rPr>
            <b/>
            <sz val="9"/>
            <rFont val="Tahoma"/>
            <family val="2"/>
          </rPr>
          <t>wmllaguno:</t>
        </r>
        <r>
          <rPr>
            <sz val="9"/>
            <rFont val="Tahoma"/>
            <family val="2"/>
          </rPr>
          <t xml:space="preserve">
same with Buying Customers should be updated daily. Use the AUTOSUM formula</t>
        </r>
      </text>
    </comment>
    <comment ref="O16" authorId="0" shapeId="0" xr:uid="{00000000-0006-0000-0500-000002000000}">
      <text>
        <r>
          <rPr>
            <b/>
            <sz val="9"/>
            <rFont val="Tahoma"/>
            <family val="2"/>
          </rPr>
          <t>wmllaguno:</t>
        </r>
        <r>
          <rPr>
            <sz val="9"/>
            <rFont val="Tahoma"/>
            <family val="2"/>
          </rPr>
          <t xml:space="preserve">
LY and current month should be updated daily. Use the AUTOSUM formula to capture updates. Ex. March 1 to 18. Formula =SUM(X24:X41) for 2012</t>
        </r>
      </text>
    </comment>
    <comment ref="J17" authorId="0" shapeId="0" xr:uid="{00000000-0006-0000-0500-000003000000}">
      <text>
        <r>
          <rPr>
            <b/>
            <sz val="9"/>
            <rFont val="Tahoma"/>
            <family val="2"/>
          </rPr>
          <t>wmllaguno:</t>
        </r>
        <r>
          <rPr>
            <sz val="9"/>
            <rFont val="Tahoma"/>
            <family val="2"/>
          </rPr>
          <t xml:space="preserve">
adjust this daily to capture running seasonality %age. This is the SUM of Marc 1 to 18, formula =SUM(H24:H41). Thus if updated to Mar 19 formula becomes =SUM(H24:H42)</t>
        </r>
      </text>
    </comment>
    <comment ref="P17" authorId="0" shapeId="0" xr:uid="{00000000-0006-0000-0500-000004000000}">
      <text>
        <r>
          <rPr>
            <b/>
            <sz val="9"/>
            <rFont val="Tahoma"/>
            <family val="2"/>
          </rPr>
          <t>wmllaguno:</t>
        </r>
        <r>
          <rPr>
            <sz val="9"/>
            <rFont val="Tahoma"/>
            <family val="2"/>
          </rPr>
          <t xml:space="preserve">
This is the ave. purchase of LY. Formula: total sales last year / total buying customers</t>
        </r>
      </text>
    </comment>
    <comment ref="Q17" authorId="0" shapeId="0" xr:uid="{00000000-0006-0000-0500-000005000000}">
      <text>
        <r>
          <rPr>
            <b/>
            <sz val="9"/>
            <rFont val="Tahoma"/>
            <family val="2"/>
          </rPr>
          <t>wmllaguno:</t>
        </r>
        <r>
          <rPr>
            <sz val="9"/>
            <rFont val="Tahoma"/>
            <family val="2"/>
          </rPr>
          <t xml:space="preserve">
do not change the formula</t>
        </r>
      </text>
    </comment>
    <comment ref="G18" authorId="0" shapeId="0" xr:uid="{00000000-0006-0000-0500-000006000000}">
      <text>
        <r>
          <rPr>
            <b/>
            <sz val="9"/>
            <rFont val="Tahoma"/>
            <family val="2"/>
          </rPr>
          <t>wmllaguno:</t>
        </r>
        <r>
          <rPr>
            <sz val="9"/>
            <rFont val="Tahoma"/>
            <family val="2"/>
          </rPr>
          <t xml:space="preserve">
this should be updated daily. Formula: just put equal sign then put the cursor on the current sales update. Ex. =N38.
If this was updated to March 19, formula becomes =N39</t>
        </r>
      </text>
    </comment>
    <comment ref="J18" authorId="0" shapeId="0" xr:uid="{00000000-0006-0000-0500-000007000000}">
      <text>
        <r>
          <rPr>
            <b/>
            <sz val="9"/>
            <rFont val="Tahoma"/>
            <family val="2"/>
          </rPr>
          <t>wmllaguno:</t>
        </r>
        <r>
          <rPr>
            <sz val="9"/>
            <rFont val="Tahoma"/>
            <family val="2"/>
          </rPr>
          <t xml:space="preserve">
adjust the no. Of days according to month since March is 31 days,  it reflects 31. Formula: 100/31 X running days</t>
        </r>
      </text>
    </comment>
    <comment ref="O18" authorId="0" shapeId="0" xr:uid="{00000000-0006-0000-0500-000008000000}">
      <text>
        <r>
          <rPr>
            <b/>
            <sz val="9"/>
            <rFont val="Tahoma"/>
            <family val="2"/>
          </rPr>
          <t>wmllaguno:</t>
        </r>
        <r>
          <rPr>
            <sz val="9"/>
            <rFont val="Tahoma"/>
            <family val="2"/>
          </rPr>
          <t xml:space="preserve">
do not change the formula of the conversion ratio</t>
        </r>
      </text>
    </comment>
    <comment ref="G19" authorId="0" shapeId="0" xr:uid="{00000000-0006-0000-0500-000009000000}">
      <text>
        <r>
          <rPr>
            <b/>
            <sz val="9"/>
            <rFont val="Tahoma"/>
            <family val="2"/>
          </rPr>
          <t>wmllaguno:</t>
        </r>
        <r>
          <rPr>
            <sz val="9"/>
            <rFont val="Tahoma"/>
            <family val="2"/>
          </rPr>
          <t xml:space="preserve">
This is your straight line daily target. If the straight line is higher than your plotted seasonality target - it is better to commuinicate  with the team the straight line as your target for the day</t>
        </r>
      </text>
    </comment>
    <comment ref="G20" authorId="0" shapeId="0" xr:uid="{00000000-0006-0000-0500-00000A000000}">
      <text>
        <r>
          <rPr>
            <b/>
            <sz val="9"/>
            <rFont val="Tahoma"/>
            <family val="2"/>
          </rPr>
          <t>wmllaguno:</t>
        </r>
        <r>
          <rPr>
            <sz val="9"/>
            <rFont val="Tahoma"/>
            <family val="2"/>
          </rPr>
          <t xml:space="preserve">
this simulates your best end of month sales. If this is lower than your sales target it means the BS and team should be working double time now </t>
        </r>
      </text>
    </comment>
    <comment ref="J20" authorId="0" shapeId="0" xr:uid="{00000000-0006-0000-0500-00000B000000}">
      <text>
        <r>
          <rPr>
            <sz val="9"/>
            <rFont val="Tahoma"/>
            <family val="2"/>
          </rPr>
          <t>PLS UDATE DAILY</t>
        </r>
      </text>
    </comment>
    <comment ref="G21" authorId="0" shapeId="0" xr:uid="{00000000-0006-0000-0500-00000C000000}">
      <text>
        <r>
          <rPr>
            <b/>
            <sz val="9"/>
            <rFont val="Tahoma"/>
            <family val="2"/>
          </rPr>
          <t>wmllaguno:</t>
        </r>
        <r>
          <rPr>
            <sz val="9"/>
            <rFont val="Tahoma"/>
            <family val="2"/>
          </rPr>
          <t xml:space="preserve">
this shows your best end of month percentage. If it does not reflect 100% it's time to think creatively to hit target</t>
        </r>
      </text>
    </comment>
    <comment ref="J21" authorId="0" shapeId="0" xr:uid="{00000000-0006-0000-0500-00000D000000}">
      <text>
        <r>
          <rPr>
            <b/>
            <sz val="9"/>
            <rFont val="Tahoma"/>
            <family val="2"/>
          </rPr>
          <t>wmllaguno:</t>
        </r>
        <r>
          <rPr>
            <sz val="9"/>
            <rFont val="Tahoma"/>
            <family val="2"/>
          </rPr>
          <t xml:space="preserve">
change the no. Of days according to month. Since March is 31 days, the formula reflects 31-running days</t>
        </r>
      </text>
    </comment>
    <comment ref="D24" authorId="0" shapeId="0" xr:uid="{00000000-0006-0000-0500-00000E000000}">
      <text>
        <r>
          <rPr>
            <b/>
            <sz val="9"/>
            <rFont val="Tahoma"/>
            <family val="2"/>
          </rPr>
          <t>wmllaguno:</t>
        </r>
        <r>
          <rPr>
            <sz val="9"/>
            <rFont val="Tahoma"/>
            <family val="2"/>
          </rPr>
          <t xml:space="preserve">
plot the actual day of the current month. Ex. March 1 is Thursday</t>
        </r>
      </text>
    </comment>
    <comment ref="G24" authorId="1" shapeId="0" xr:uid="{00000000-0006-0000-0500-00000F000000}">
      <text>
        <r>
          <rPr>
            <b/>
            <sz val="9"/>
            <rFont val="Tahoma"/>
            <family val="2"/>
          </rPr>
          <t>wmllaguno:</t>
        </r>
        <r>
          <rPr>
            <sz val="9"/>
            <rFont val="Tahoma"/>
            <family val="2"/>
          </rPr>
          <t xml:space="preserve">
SHLD BE SAME DAY VS. THIS YEAR. EX. DEC 1 2009 IS TUESDAY WHILE DEC 2, 2008 IS TUESDAY THUS SALES OF DEC 2 LY SHLD BE PLACED AT DEC 1 WHILE DEC 1 SALES LY SHLD BE PLACE AT THE BOTTOM.</t>
        </r>
      </text>
    </comment>
    <comment ref="H24" authorId="0" shapeId="0" xr:uid="{00000000-0006-0000-0500-000010000000}">
      <text>
        <r>
          <rPr>
            <b/>
            <sz val="9"/>
            <rFont val="Tahoma"/>
            <family val="2"/>
          </rPr>
          <t>wmllaguno: EX. FORMULA: =D14/D$45</t>
        </r>
        <r>
          <rPr>
            <sz val="9"/>
            <rFont val="Tahoma"/>
            <family val="2"/>
          </rPr>
          <t xml:space="preserve">
</t>
        </r>
      </text>
    </comment>
    <comment ref="D25" authorId="0" shapeId="0" xr:uid="{00000000-0006-0000-0500-000011000000}">
      <text>
        <r>
          <rPr>
            <b/>
            <sz val="9"/>
            <rFont val="Tahoma"/>
            <family val="2"/>
          </rPr>
          <t>wmllaguno:</t>
        </r>
        <r>
          <rPr>
            <sz val="9"/>
            <rFont val="Tahoma"/>
            <family val="2"/>
          </rPr>
          <t xml:space="preserve">
The actual day of the month</t>
        </r>
      </text>
    </comment>
    <comment ref="I25" authorId="0" shapeId="0" xr:uid="{00000000-0006-0000-0500-000012000000}">
      <text>
        <r>
          <rPr>
            <b/>
            <sz val="9"/>
            <rFont val="Tahoma"/>
            <family val="2"/>
          </rPr>
          <t>wmllaguno:</t>
        </r>
        <r>
          <rPr>
            <sz val="9"/>
            <rFont val="Tahoma"/>
            <family val="2"/>
          </rPr>
          <t xml:space="preserve">
formula: sales target X seasonality %age</t>
        </r>
      </text>
    </comment>
    <comment ref="M25" authorId="0" shapeId="0" xr:uid="{00000000-0006-0000-0500-000013000000}">
      <text>
        <r>
          <rPr>
            <b/>
            <sz val="9"/>
            <rFont val="Tahoma"/>
            <family val="2"/>
          </rPr>
          <t>wmllaguno:</t>
        </r>
        <r>
          <rPr>
            <sz val="9"/>
            <rFont val="Tahoma"/>
            <family val="2"/>
          </rPr>
          <t xml:space="preserve">
interpretation: march 1 the store is negative 1% on seasonality. Variance of 28,983.94 on 1st day.</t>
        </r>
      </text>
    </comment>
    <comment ref="N42" authorId="0" shapeId="0" xr:uid="{00000000-0006-0000-0500-000014000000}">
      <text>
        <r>
          <rPr>
            <b/>
            <sz val="9"/>
            <rFont val="Tahoma"/>
            <family val="2"/>
          </rPr>
          <t>wmllaguno:</t>
        </r>
        <r>
          <rPr>
            <sz val="9"/>
            <rFont val="Tahoma"/>
            <family val="2"/>
          </rPr>
          <t xml:space="preserve">
Pick up only on what's reflected on the current date. as of March 18, the store is short of 498,710.77 on seasonality target. The BS should take note of this variance coz this will just add on the remaining days target. Time to think creatively to cope up with the variance</t>
        </r>
      </text>
    </comment>
    <comment ref="G56" authorId="0" shapeId="0" xr:uid="{00000000-0006-0000-0500-000015000000}">
      <text>
        <r>
          <rPr>
            <b/>
            <sz val="9"/>
            <rFont val="Tahoma"/>
            <family val="2"/>
          </rPr>
          <t>wmllaguno:</t>
        </r>
        <r>
          <rPr>
            <sz val="9"/>
            <rFont val="Tahoma"/>
            <family val="2"/>
          </rPr>
          <t xml:space="preserve">
Make sure this is tally with the actual sales last year</t>
        </r>
      </text>
    </comment>
    <comment ref="H56" authorId="0" shapeId="0" xr:uid="{00000000-0006-0000-0500-000016000000}">
      <text>
        <r>
          <rPr>
            <b/>
            <sz val="9"/>
            <rFont val="Tahoma"/>
            <family val="2"/>
          </rPr>
          <t>wmllaguno:</t>
        </r>
        <r>
          <rPr>
            <sz val="9"/>
            <rFont val="Tahoma"/>
            <family val="2"/>
          </rPr>
          <t xml:space="preserve">
should equate to 100%</t>
        </r>
      </text>
    </comment>
    <comment ref="I56" authorId="0" shapeId="0" xr:uid="{00000000-0006-0000-0500-000017000000}">
      <text>
        <r>
          <rPr>
            <b/>
            <sz val="9"/>
            <rFont val="Tahoma"/>
            <family val="2"/>
          </rPr>
          <t>wmllaguno:</t>
        </r>
        <r>
          <rPr>
            <sz val="9"/>
            <rFont val="Tahoma"/>
            <family val="2"/>
          </rPr>
          <t xml:space="preserve">
should equte to the store target </t>
        </r>
      </text>
    </comment>
    <comment ref="K56" authorId="0" shapeId="0" xr:uid="{00000000-0006-0000-0500-000018000000}">
      <text>
        <r>
          <rPr>
            <b/>
            <sz val="9"/>
            <rFont val="Tahoma"/>
            <family val="2"/>
          </rPr>
          <t>wmllaguno:</t>
        </r>
        <r>
          <rPr>
            <sz val="9"/>
            <rFont val="Tahoma"/>
            <family val="2"/>
          </rPr>
          <t xml:space="preserve">
this is your running sales for the month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wmllaguno</author>
    <author>yammy</author>
  </authors>
  <commentList>
    <comment ref="O15" authorId="0" shapeId="0" xr:uid="{00000000-0006-0000-0800-000001000000}">
      <text>
        <r>
          <rPr>
            <b/>
            <sz val="9"/>
            <rFont val="Tahoma"/>
            <family val="2"/>
          </rPr>
          <t>wmllaguno:</t>
        </r>
        <r>
          <rPr>
            <sz val="9"/>
            <rFont val="Tahoma"/>
            <family val="2"/>
          </rPr>
          <t xml:space="preserve">
same with Buying Customers should be updated daily. Use the AUTOSUM formula</t>
        </r>
      </text>
    </comment>
    <comment ref="O16" authorId="0" shapeId="0" xr:uid="{00000000-0006-0000-0800-000002000000}">
      <text>
        <r>
          <rPr>
            <b/>
            <sz val="9"/>
            <rFont val="Tahoma"/>
            <family val="2"/>
          </rPr>
          <t>wmllaguno:</t>
        </r>
        <r>
          <rPr>
            <sz val="9"/>
            <rFont val="Tahoma"/>
            <family val="2"/>
          </rPr>
          <t xml:space="preserve">
LY and current month should be updated daily. Use the AUTOSUM formula to capture updates. Ex. March 1 to 18. Formula =SUM(X24:X41) for 2012</t>
        </r>
      </text>
    </comment>
    <comment ref="J17" authorId="0" shapeId="0" xr:uid="{00000000-0006-0000-0800-000003000000}">
      <text>
        <r>
          <rPr>
            <b/>
            <sz val="9"/>
            <rFont val="Tahoma"/>
            <family val="2"/>
          </rPr>
          <t>wmllaguno:</t>
        </r>
        <r>
          <rPr>
            <sz val="9"/>
            <rFont val="Tahoma"/>
            <family val="2"/>
          </rPr>
          <t xml:space="preserve">
adjust this daily to capture running seasonality %age. This is the SUM of Marc 1 to 18, formula =SUM(H24:H41). Thus if updated to Mar 19 formula becomes =SUM(H24:H42)</t>
        </r>
      </text>
    </comment>
    <comment ref="P17" authorId="0" shapeId="0" xr:uid="{00000000-0006-0000-0800-000004000000}">
      <text>
        <r>
          <rPr>
            <b/>
            <sz val="9"/>
            <rFont val="Tahoma"/>
            <family val="2"/>
          </rPr>
          <t>wmllaguno:</t>
        </r>
        <r>
          <rPr>
            <sz val="9"/>
            <rFont val="Tahoma"/>
            <family val="2"/>
          </rPr>
          <t xml:space="preserve">
This is the ave. purchase of LY. Formula: total sales last year / total buying customers</t>
        </r>
      </text>
    </comment>
    <comment ref="Q17" authorId="0" shapeId="0" xr:uid="{00000000-0006-0000-0800-000005000000}">
      <text>
        <r>
          <rPr>
            <b/>
            <sz val="9"/>
            <rFont val="Tahoma"/>
            <family val="2"/>
          </rPr>
          <t>wmllaguno:</t>
        </r>
        <r>
          <rPr>
            <sz val="9"/>
            <rFont val="Tahoma"/>
            <family val="2"/>
          </rPr>
          <t xml:space="preserve">
do not change the formula</t>
        </r>
      </text>
    </comment>
    <comment ref="G18" authorId="0" shapeId="0" xr:uid="{00000000-0006-0000-0800-000006000000}">
      <text>
        <r>
          <rPr>
            <b/>
            <sz val="9"/>
            <rFont val="Tahoma"/>
            <family val="2"/>
          </rPr>
          <t>wmllaguno:</t>
        </r>
        <r>
          <rPr>
            <sz val="9"/>
            <rFont val="Tahoma"/>
            <family val="2"/>
          </rPr>
          <t xml:space="preserve">
this should be updated daily. Formula: just put equal sign then put the cursor on the current sales update. Ex. =N38.
If this was updated to March 19, formula becomes =N39</t>
        </r>
      </text>
    </comment>
    <comment ref="J18" authorId="0" shapeId="0" xr:uid="{00000000-0006-0000-0800-000007000000}">
      <text>
        <r>
          <rPr>
            <b/>
            <sz val="9"/>
            <rFont val="Tahoma"/>
            <family val="2"/>
          </rPr>
          <t>wmllaguno:</t>
        </r>
        <r>
          <rPr>
            <sz val="9"/>
            <rFont val="Tahoma"/>
            <family val="2"/>
          </rPr>
          <t xml:space="preserve">
adjust the no. Of days according to month since March is 31 days,  it reflects 31. Formula: 100/31 X running days</t>
        </r>
      </text>
    </comment>
    <comment ref="O18" authorId="0" shapeId="0" xr:uid="{00000000-0006-0000-0800-000008000000}">
      <text>
        <r>
          <rPr>
            <b/>
            <sz val="9"/>
            <rFont val="Tahoma"/>
            <family val="2"/>
          </rPr>
          <t>wmllaguno:</t>
        </r>
        <r>
          <rPr>
            <sz val="9"/>
            <rFont val="Tahoma"/>
            <family val="2"/>
          </rPr>
          <t xml:space="preserve">
do not change the formula of the conversion ratio</t>
        </r>
      </text>
    </comment>
    <comment ref="G19" authorId="0" shapeId="0" xr:uid="{00000000-0006-0000-0800-000009000000}">
      <text>
        <r>
          <rPr>
            <b/>
            <sz val="9"/>
            <rFont val="Tahoma"/>
            <family val="2"/>
          </rPr>
          <t>wmllaguno:</t>
        </r>
        <r>
          <rPr>
            <sz val="9"/>
            <rFont val="Tahoma"/>
            <family val="2"/>
          </rPr>
          <t xml:space="preserve">
This is your straight line daily target. If the straight line is higher than your plotted seasonality target - it is better to commuinicate  with the team the straight line as your target for the day</t>
        </r>
      </text>
    </comment>
    <comment ref="G20" authorId="0" shapeId="0" xr:uid="{00000000-0006-0000-0800-00000A000000}">
      <text>
        <r>
          <rPr>
            <b/>
            <sz val="9"/>
            <rFont val="Tahoma"/>
            <family val="2"/>
          </rPr>
          <t>wmllaguno:</t>
        </r>
        <r>
          <rPr>
            <sz val="9"/>
            <rFont val="Tahoma"/>
            <family val="2"/>
          </rPr>
          <t xml:space="preserve">
this simulates your best end of month sales. If this is lower than your sales target it means the BS and team should be working double time now </t>
        </r>
      </text>
    </comment>
    <comment ref="J20" authorId="0" shapeId="0" xr:uid="{00000000-0006-0000-0800-00000B000000}">
      <text>
        <r>
          <rPr>
            <sz val="9"/>
            <rFont val="Tahoma"/>
            <family val="2"/>
          </rPr>
          <t>PLS UDATE DAILY</t>
        </r>
      </text>
    </comment>
    <comment ref="G21" authorId="0" shapeId="0" xr:uid="{00000000-0006-0000-0800-00000C000000}">
      <text>
        <r>
          <rPr>
            <b/>
            <sz val="9"/>
            <rFont val="Tahoma"/>
            <family val="2"/>
          </rPr>
          <t>wmllaguno:</t>
        </r>
        <r>
          <rPr>
            <sz val="9"/>
            <rFont val="Tahoma"/>
            <family val="2"/>
          </rPr>
          <t xml:space="preserve">
this shows your best end of month percentage. If it does not reflect 100% it's time to think creatively to hit target</t>
        </r>
      </text>
    </comment>
    <comment ref="J21" authorId="0" shapeId="0" xr:uid="{00000000-0006-0000-0800-00000D000000}">
      <text>
        <r>
          <rPr>
            <b/>
            <sz val="9"/>
            <rFont val="Tahoma"/>
            <family val="2"/>
          </rPr>
          <t>wmllaguno:</t>
        </r>
        <r>
          <rPr>
            <sz val="9"/>
            <rFont val="Tahoma"/>
            <family val="2"/>
          </rPr>
          <t xml:space="preserve">
change the no. Of days according to month. Since March is 31 days, the formula reflects 31-running days</t>
        </r>
      </text>
    </comment>
    <comment ref="G22" authorId="0" shapeId="0" xr:uid="{00000000-0006-0000-0800-00000E000000}">
      <text>
        <r>
          <rPr>
            <b/>
            <sz val="9"/>
            <rFont val="Tahoma"/>
            <family val="2"/>
          </rPr>
          <t>wmllaguno:</t>
        </r>
        <r>
          <rPr>
            <sz val="9"/>
            <rFont val="Tahoma"/>
            <family val="2"/>
          </rPr>
          <t xml:space="preserve">
this shows your best end of month percentage. If it does not reflect 100% it's time to think creatively to hit target</t>
        </r>
      </text>
    </comment>
    <comment ref="D24" authorId="0" shapeId="0" xr:uid="{00000000-0006-0000-0800-00000F000000}">
      <text>
        <r>
          <rPr>
            <b/>
            <sz val="9"/>
            <rFont val="Tahoma"/>
            <family val="2"/>
          </rPr>
          <t>wmllaguno:</t>
        </r>
        <r>
          <rPr>
            <sz val="9"/>
            <rFont val="Tahoma"/>
            <family val="2"/>
          </rPr>
          <t xml:space="preserve">
plot the actual day of the current month. Ex. March 1 is Thursday</t>
        </r>
      </text>
    </comment>
    <comment ref="G24" authorId="1" shapeId="0" xr:uid="{00000000-0006-0000-0800-000010000000}">
      <text>
        <r>
          <rPr>
            <b/>
            <sz val="9"/>
            <rFont val="Tahoma"/>
            <family val="2"/>
          </rPr>
          <t>wmllaguno:</t>
        </r>
        <r>
          <rPr>
            <sz val="9"/>
            <rFont val="Tahoma"/>
            <family val="2"/>
          </rPr>
          <t xml:space="preserve">
SHLD BE SAME DAY VS. THIS YEAR. EX. DEC 1 2009 IS TUESDAY WHILE DEC 2, 2008 IS TUESDAY THUS SALES OF DEC 2 LY SHLD BE PLACED AT DEC 1 WHILE DEC 1 SALES LY SHLD BE PLACE AT THE BOTTOM.</t>
        </r>
      </text>
    </comment>
    <comment ref="H24" authorId="0" shapeId="0" xr:uid="{00000000-0006-0000-0800-000011000000}">
      <text>
        <r>
          <rPr>
            <b/>
            <sz val="9"/>
            <rFont val="Tahoma"/>
            <family val="2"/>
          </rPr>
          <t>wmllaguno: EX. FORMULA: =D14/D$45</t>
        </r>
        <r>
          <rPr>
            <sz val="9"/>
            <rFont val="Tahoma"/>
            <family val="2"/>
          </rPr>
          <t xml:space="preserve">
</t>
        </r>
      </text>
    </comment>
    <comment ref="D25" authorId="0" shapeId="0" xr:uid="{00000000-0006-0000-0800-000012000000}">
      <text>
        <r>
          <rPr>
            <b/>
            <sz val="9"/>
            <rFont val="Tahoma"/>
            <family val="2"/>
          </rPr>
          <t>wmllaguno:</t>
        </r>
        <r>
          <rPr>
            <sz val="9"/>
            <rFont val="Tahoma"/>
            <family val="2"/>
          </rPr>
          <t xml:space="preserve">
The actual day of the month</t>
        </r>
      </text>
    </comment>
    <comment ref="I25" authorId="0" shapeId="0" xr:uid="{00000000-0006-0000-0800-000013000000}">
      <text>
        <r>
          <rPr>
            <b/>
            <sz val="9"/>
            <rFont val="Tahoma"/>
            <family val="2"/>
          </rPr>
          <t>wmllaguno:</t>
        </r>
        <r>
          <rPr>
            <sz val="9"/>
            <rFont val="Tahoma"/>
            <family val="2"/>
          </rPr>
          <t xml:space="preserve">
formula: sales target X seasonality %age</t>
        </r>
      </text>
    </comment>
    <comment ref="M25" authorId="0" shapeId="0" xr:uid="{00000000-0006-0000-0800-000014000000}">
      <text>
        <r>
          <rPr>
            <b/>
            <sz val="9"/>
            <rFont val="Tahoma"/>
            <family val="2"/>
          </rPr>
          <t>wmllaguno:</t>
        </r>
        <r>
          <rPr>
            <sz val="9"/>
            <rFont val="Tahoma"/>
            <family val="2"/>
          </rPr>
          <t xml:space="preserve">
interpretation: march 1 the store is negative 1% on seasonality. Variance of 28,983.94 on 1st day.</t>
        </r>
      </text>
    </comment>
    <comment ref="N42" authorId="0" shapeId="0" xr:uid="{00000000-0006-0000-0800-000015000000}">
      <text>
        <r>
          <rPr>
            <b/>
            <sz val="9"/>
            <rFont val="Tahoma"/>
            <family val="2"/>
          </rPr>
          <t>wmllaguno:</t>
        </r>
        <r>
          <rPr>
            <sz val="9"/>
            <rFont val="Tahoma"/>
            <family val="2"/>
          </rPr>
          <t xml:space="preserve">
Pick up only on what's reflected on the current date. as of March 18, the store is short of 498,710.77 on seasonality target. The BS should take note of this variance coz this will just add on the remaining days target. Time to think creatively to cope up with the variance</t>
        </r>
      </text>
    </comment>
    <comment ref="G56" authorId="0" shapeId="0" xr:uid="{00000000-0006-0000-0800-000016000000}">
      <text>
        <r>
          <rPr>
            <b/>
            <sz val="9"/>
            <rFont val="Tahoma"/>
            <family val="2"/>
          </rPr>
          <t>wmllaguno:</t>
        </r>
        <r>
          <rPr>
            <sz val="9"/>
            <rFont val="Tahoma"/>
            <family val="2"/>
          </rPr>
          <t xml:space="preserve">
Make sure this is tally with the actual sales last year</t>
        </r>
      </text>
    </comment>
    <comment ref="H56" authorId="0" shapeId="0" xr:uid="{00000000-0006-0000-0800-000017000000}">
      <text>
        <r>
          <rPr>
            <b/>
            <sz val="9"/>
            <rFont val="Tahoma"/>
            <family val="2"/>
          </rPr>
          <t>wmllaguno:</t>
        </r>
        <r>
          <rPr>
            <sz val="9"/>
            <rFont val="Tahoma"/>
            <family val="2"/>
          </rPr>
          <t xml:space="preserve">
should equate to 100%</t>
        </r>
      </text>
    </comment>
    <comment ref="I56" authorId="0" shapeId="0" xr:uid="{00000000-0006-0000-0800-000018000000}">
      <text>
        <r>
          <rPr>
            <b/>
            <sz val="9"/>
            <rFont val="Tahoma"/>
            <family val="2"/>
          </rPr>
          <t>wmllaguno:</t>
        </r>
        <r>
          <rPr>
            <sz val="9"/>
            <rFont val="Tahoma"/>
            <family val="2"/>
          </rPr>
          <t xml:space="preserve">
should equte to the store target </t>
        </r>
      </text>
    </comment>
    <comment ref="K56" authorId="0" shapeId="0" xr:uid="{00000000-0006-0000-0800-000019000000}">
      <text>
        <r>
          <rPr>
            <b/>
            <sz val="9"/>
            <rFont val="Tahoma"/>
            <family val="2"/>
          </rPr>
          <t>wmllaguno:</t>
        </r>
        <r>
          <rPr>
            <sz val="9"/>
            <rFont val="Tahoma"/>
            <family val="2"/>
          </rPr>
          <t xml:space="preserve">
this is your running sales for the month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nav2017service</author>
  </authors>
  <commentList>
    <comment ref="AK3" authorId="0" shapeId="0" xr:uid="{00000000-0006-0000-0900-000001000000}">
      <text>
        <r>
          <rPr>
            <sz val="9"/>
            <color indexed="81"/>
            <rFont val="Tahoma"/>
            <family val="2"/>
          </rPr>
          <t xml:space="preserve">GUIDE:
</t>
        </r>
        <r>
          <rPr>
            <b/>
            <u/>
            <sz val="8"/>
            <color indexed="81"/>
            <rFont val="Tahoma"/>
            <family val="2"/>
          </rPr>
          <t xml:space="preserve">UPDATE FORMULA DAILY </t>
        </r>
        <r>
          <rPr>
            <b/>
            <sz val="8"/>
            <color indexed="81"/>
            <rFont val="Tahoma"/>
            <family val="2"/>
          </rPr>
          <t xml:space="preserve">ex: JAN 1-15,2023 since JAN 15 is B18 then formula should be </t>
        </r>
        <r>
          <rPr>
            <b/>
            <u/>
            <sz val="8"/>
            <color indexed="81"/>
            <rFont val="Tahoma"/>
            <family val="2"/>
          </rPr>
          <t>=sum(B4:B18)</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Mayline M. Tolentino</author>
  </authors>
  <commentList>
    <comment ref="E7" authorId="0" shapeId="0" xr:uid="{00000000-0006-0000-0B00-000001000000}">
      <text>
        <r>
          <rPr>
            <b/>
            <sz val="9"/>
            <rFont val="Tahoma"/>
            <family val="2"/>
          </rPr>
          <t>Mayline M. Tolentino:</t>
        </r>
        <r>
          <rPr>
            <sz val="9"/>
            <rFont val="Tahoma"/>
            <family val="2"/>
          </rPr>
          <t xml:space="preserve">
DATE SHOULD BE</t>
        </r>
      </text>
    </comment>
    <comment ref="G7" authorId="0" shapeId="0" xr:uid="{00000000-0006-0000-0B00-000002000000}">
      <text>
        <r>
          <rPr>
            <b/>
            <sz val="9"/>
            <rFont val="Tahoma"/>
            <family val="2"/>
          </rPr>
          <t>Mayline M. Tolentino:</t>
        </r>
        <r>
          <rPr>
            <sz val="9"/>
            <rFont val="Tahoma"/>
            <family val="2"/>
          </rPr>
          <t xml:space="preserve">
it should be manually encoded base on actual deposit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rspalomaria</author>
  </authors>
  <commentList>
    <comment ref="A6" authorId="0" shapeId="0" xr:uid="{00000000-0006-0000-0D00-000001000000}">
      <text>
        <r>
          <rPr>
            <sz val="9"/>
            <rFont val="Tahoma"/>
            <family val="2"/>
          </rPr>
          <t xml:space="preserve">
cut off week should be 
SUN-SAT</t>
        </r>
      </text>
    </comment>
  </commentList>
</comments>
</file>

<file path=xl/sharedStrings.xml><?xml version="1.0" encoding="utf-8"?>
<sst xmlns="http://schemas.openxmlformats.org/spreadsheetml/2006/main" count="698" uniqueCount="290">
  <si>
    <t>DAYS</t>
  </si>
  <si>
    <t>Details of Discount</t>
  </si>
  <si>
    <t>NO.</t>
  </si>
  <si>
    <t>NO. OF STRING</t>
  </si>
  <si>
    <t xml:space="preserve">ENTERING </t>
  </si>
  <si>
    <t>CHARGE</t>
  </si>
  <si>
    <t>GIFT</t>
  </si>
  <si>
    <t>OTHER COLLECTION</t>
  </si>
  <si>
    <t>CHECKS</t>
  </si>
  <si>
    <t>OTHER DISBURSEMENT</t>
  </si>
  <si>
    <t>CASH DECLARED and DEPOSITED</t>
  </si>
  <si>
    <t>CASH SALES</t>
  </si>
  <si>
    <t>Calculated Cash Fr. Manual and OutSale</t>
  </si>
  <si>
    <t>Cash Fr. Manual and OutSale</t>
  </si>
  <si>
    <t>Over/(Short)</t>
  </si>
  <si>
    <t>GROSS</t>
  </si>
  <si>
    <t>DISCOUNT</t>
  </si>
  <si>
    <t>NET SALES</t>
  </si>
  <si>
    <t>ÀPPROVED DISC</t>
  </si>
  <si>
    <t>DISC W/O APPROVAL</t>
  </si>
  <si>
    <t>DEL. FEE</t>
  </si>
  <si>
    <t>CUSTOMER</t>
  </si>
  <si>
    <t>SHORTAGE</t>
  </si>
  <si>
    <t>OVERAGE</t>
  </si>
  <si>
    <t>TENNIS</t>
  </si>
  <si>
    <t>BADMIN2N</t>
  </si>
  <si>
    <t>SALES</t>
  </si>
  <si>
    <t>CHECK</t>
  </si>
  <si>
    <t>GC ISSUED-cash</t>
  </si>
  <si>
    <t>GC ISSUED-card</t>
  </si>
  <si>
    <t>DOWNPAYMENT</t>
  </si>
  <si>
    <t>ADV</t>
  </si>
  <si>
    <t>COD</t>
  </si>
  <si>
    <t>CASH ADVANCE</t>
  </si>
  <si>
    <t>(ADV)</t>
  </si>
  <si>
    <t>CWT</t>
  </si>
  <si>
    <t>AVAILABLE</t>
  </si>
  <si>
    <t>Subtotal</t>
  </si>
  <si>
    <t xml:space="preserve"> </t>
  </si>
  <si>
    <t>Total</t>
  </si>
  <si>
    <t>MANUALLY ADDED TRANSACTIONS</t>
  </si>
  <si>
    <t>Store Code:</t>
  </si>
  <si>
    <t>LEGEND:</t>
  </si>
  <si>
    <t>REASON(LS-POP UP)</t>
  </si>
  <si>
    <t>INF-</t>
  </si>
  <si>
    <t>ITEM NOT ON FILE</t>
  </si>
  <si>
    <t>WP-</t>
  </si>
  <si>
    <t>WRONG PRICE</t>
  </si>
  <si>
    <t>BRANCH</t>
  </si>
  <si>
    <t>DATE</t>
  </si>
  <si>
    <t>CSI No.</t>
  </si>
  <si>
    <t>Manual /OutSale</t>
  </si>
  <si>
    <t>SALES ORDER #</t>
  </si>
  <si>
    <t>Sales Shipment No.</t>
  </si>
  <si>
    <t>CON/ OUT</t>
  </si>
  <si>
    <t>ALU/UPC</t>
  </si>
  <si>
    <t>BRAND</t>
  </si>
  <si>
    <t>DESCRIPTION1</t>
  </si>
  <si>
    <t>DESC2/ ARTICLE #</t>
  </si>
  <si>
    <t>SIZE/ COLOR</t>
  </si>
  <si>
    <t>QTY</t>
  </si>
  <si>
    <t>Unit Price</t>
  </si>
  <si>
    <t>SP</t>
  </si>
  <si>
    <t>%</t>
  </si>
  <si>
    <t>DISC. AMOUNT</t>
  </si>
  <si>
    <t>NET PRICE</t>
  </si>
  <si>
    <t>CASH</t>
  </si>
  <si>
    <t>Check</t>
  </si>
  <si>
    <t>CREDIT CARD</t>
  </si>
  <si>
    <t>EMPLOYEES' CHARGE</t>
  </si>
  <si>
    <t>Other Charge</t>
  </si>
  <si>
    <t>Customer Name for Charge transaction</t>
  </si>
  <si>
    <t>GC/  OTHERS</t>
  </si>
  <si>
    <t>REMARKS</t>
  </si>
  <si>
    <t>CASHIER NAME</t>
  </si>
  <si>
    <t>SALES PERSON(SA) SALES AGENT</t>
  </si>
  <si>
    <t>MIS-REMARKS</t>
  </si>
  <si>
    <t>MANUAL RETURNS</t>
  </si>
  <si>
    <t>RS#</t>
  </si>
  <si>
    <t>Manual/ OutSale</t>
  </si>
  <si>
    <t>Return Receipt No.</t>
  </si>
  <si>
    <t>DESC2/ARTICLE #</t>
  </si>
  <si>
    <t>SIZE/COLOR</t>
  </si>
  <si>
    <t>MANUAL</t>
  </si>
  <si>
    <t>Over/(short)</t>
  </si>
  <si>
    <t>INVOICES</t>
  </si>
  <si>
    <t>OUTSALE</t>
  </si>
  <si>
    <t>CASH DEPOSIT</t>
  </si>
  <si>
    <t>DAILY SALES MONITORING REPORT</t>
  </si>
  <si>
    <t>Interpretation:</t>
  </si>
  <si>
    <t>*Current seasonality %age is 62% while Sales Achievement is @ 31%. The store is short by 31% on seasonality</t>
  </si>
  <si>
    <t>*Staright line is 58% while Sales Achievement is @ 31%. The store is short by 27% on straight line</t>
  </si>
  <si>
    <t>**Seasonality percentage shows sales trend last year thus it will be great if the store is at par with the seasonality %age</t>
  </si>
  <si>
    <t xml:space="preserve">**Straight line shows equal distribution of sales based on the no. Of days </t>
  </si>
  <si>
    <t xml:space="preserve">STORE: </t>
  </si>
  <si>
    <t>MONTH:</t>
  </si>
  <si>
    <t>RETAIL DRIVERS</t>
  </si>
  <si>
    <t>RUNNING LY</t>
  </si>
  <si>
    <t>% inc/dec</t>
  </si>
  <si>
    <t>RUNNING 2016</t>
  </si>
  <si>
    <t xml:space="preserve">GROSS SALES TARGET </t>
  </si>
  <si>
    <t>AVE. DAILY SALES</t>
  </si>
  <si>
    <t xml:space="preserve">GROSS MARGIN TARGET </t>
  </si>
  <si>
    <t>Entering Customer</t>
  </si>
  <si>
    <t>Gait Request</t>
  </si>
  <si>
    <t>MONTH-TO-DATE (MTD)</t>
  </si>
  <si>
    <t>TARGET GROWTH VS. LY</t>
  </si>
  <si>
    <t>Buying Customer</t>
  </si>
  <si>
    <t>Gait w/ po</t>
  </si>
  <si>
    <t>TOTAL VARIANCE ON TARGET</t>
  </si>
  <si>
    <t>CURRENT SEASONALITY</t>
  </si>
  <si>
    <t>Average Purchase</t>
  </si>
  <si>
    <t>Gait Conversion</t>
  </si>
  <si>
    <t>TOTAL VARIANCE ON EXPECTED SALES -DAILY</t>
  </si>
  <si>
    <t>STRAIGHT LINE</t>
  </si>
  <si>
    <t>GM ACHIEVEMENT</t>
  </si>
  <si>
    <t>Conversion Ratio</t>
  </si>
  <si>
    <t>Shoes Sold</t>
  </si>
  <si>
    <t>AVE. SALES NEEDED- DAILY</t>
  </si>
  <si>
    <t>SALES ACHIEVEMENT</t>
  </si>
  <si>
    <t>Raquet Stringing</t>
  </si>
  <si>
    <t>BEST EOM PESO VALUE</t>
  </si>
  <si>
    <t>RUNNING DAY/S</t>
  </si>
  <si>
    <t xml:space="preserve">Shoot-out </t>
  </si>
  <si>
    <t>BEST EOM %</t>
  </si>
  <si>
    <t>REMAINING DAY/S</t>
  </si>
  <si>
    <t>*Note: Follow execution on the sales template</t>
  </si>
  <si>
    <t>MONTH-TO-DATE (MTD) LY</t>
  </si>
  <si>
    <t>% LY</t>
  </si>
  <si>
    <t>GROSS MARGIN COMPUTATION</t>
  </si>
  <si>
    <t>.</t>
  </si>
  <si>
    <t>CONCESSION</t>
  </si>
  <si>
    <t>OUTRIGHT</t>
  </si>
  <si>
    <t>% SEASONALITY OF ACTUAL GROSS MARGIN</t>
  </si>
  <si>
    <t>% SEASONALITY</t>
  </si>
  <si>
    <t>TARGET SALES PER DAY</t>
  </si>
  <si>
    <t>ACTUAL 2024</t>
  </si>
  <si>
    <t>VARIANCE ON DAILY SALES TARGET</t>
  </si>
  <si>
    <t>% SEASONALITY OF ACTUAL SALES</t>
  </si>
  <si>
    <t>Running Variance</t>
  </si>
  <si>
    <t>DISCOUNT 2024</t>
  </si>
  <si>
    <t>% CHANGE</t>
  </si>
  <si>
    <t>CONCESSION SALES 2024</t>
  </si>
  <si>
    <t>% Inc/Dec</t>
  </si>
  <si>
    <t>OUTRIGHT SALES 2024</t>
  </si>
  <si>
    <t>CREDIT CARD SALES 2024</t>
  </si>
  <si>
    <t>ENTERING CUSTOMER 2024</t>
  </si>
  <si>
    <t>BUYING CUSTOMER 2024</t>
  </si>
  <si>
    <t>BATTING AVE. 2024</t>
  </si>
  <si>
    <t>TOTAL RACQUETS STRINGING 2024</t>
  </si>
  <si>
    <t>SHOOT-OUT SALES 2024</t>
  </si>
  <si>
    <t>GAIT REQUEST 2024</t>
  </si>
  <si>
    <t>GAIT W/ PO 2024</t>
  </si>
  <si>
    <t>GAIT CONVERSION 2024</t>
  </si>
  <si>
    <t>SHOES SOLD 2024</t>
  </si>
  <si>
    <t>Sunday</t>
  </si>
  <si>
    <t>Monday</t>
  </si>
  <si>
    <t>Tuesday</t>
  </si>
  <si>
    <t>Wednesday</t>
  </si>
  <si>
    <t>Thursday</t>
  </si>
  <si>
    <t>Friday</t>
  </si>
  <si>
    <t>Saturday</t>
  </si>
  <si>
    <t>OVERALL TOTAL</t>
  </si>
  <si>
    <t>STORE SALES PERFORMANCE SUMMARY</t>
  </si>
  <si>
    <t>MONTH</t>
  </si>
  <si>
    <t>GROSS SALES</t>
  </si>
  <si>
    <t>AVE. DAILY</t>
  </si>
  <si>
    <t>TARGET</t>
  </si>
  <si>
    <t>ACHV. VS.</t>
  </si>
  <si>
    <t>GROSS MARGIN</t>
  </si>
  <si>
    <t>ACHIEVEMENT</t>
  </si>
  <si>
    <t xml:space="preserve"> INC/DEC %</t>
  </si>
  <si>
    <t>ACTUAL</t>
  </si>
  <si>
    <t>JAN</t>
  </si>
  <si>
    <t>FEB</t>
  </si>
  <si>
    <t>MARCH</t>
  </si>
  <si>
    <t>APRIL</t>
  </si>
  <si>
    <t>MAY</t>
  </si>
  <si>
    <t>JUNE</t>
  </si>
  <si>
    <t>JULY</t>
  </si>
  <si>
    <t>AUG</t>
  </si>
  <si>
    <t>SEPT</t>
  </si>
  <si>
    <t>OCT</t>
  </si>
  <si>
    <t>NOV</t>
  </si>
  <si>
    <t>DEC</t>
  </si>
  <si>
    <t>TOTAL</t>
  </si>
  <si>
    <t>ENTERING</t>
  </si>
  <si>
    <t>BUYING</t>
  </si>
  <si>
    <t>AVERAGE PURCHASE</t>
  </si>
  <si>
    <t>CONVERSION RATIO</t>
  </si>
  <si>
    <t>STRINGING</t>
  </si>
  <si>
    <t>SHOOTOUT</t>
  </si>
  <si>
    <t>DEPOSIT LOGBOOK</t>
  </si>
  <si>
    <t>CASH SALES DATE</t>
  </si>
  <si>
    <t>Other Deposit</t>
  </si>
  <si>
    <t xml:space="preserve">DEPOSIT SLIP DATE </t>
  </si>
  <si>
    <t>Deposit slip #</t>
  </si>
  <si>
    <t>Amount to be Deposited</t>
  </si>
  <si>
    <t>Prepared &amp; Sealed BY:/Witnessed by:</t>
  </si>
  <si>
    <t>OIC/Cashier in Charge (During Pick-up)</t>
  </si>
  <si>
    <t>Date/Received by:(Bank Rep-signature over printed name)</t>
  </si>
  <si>
    <t>DATE RECEIVED OF VALIDATED SLIPS</t>
  </si>
  <si>
    <t>Pending Deposit Amount</t>
  </si>
  <si>
    <t>SECURITY GUARD'S RECEIPT MONITORING SHEET</t>
  </si>
  <si>
    <t>BRANCH:</t>
  </si>
  <si>
    <t>TOTAL REGULAR SALES (Z-OUT)</t>
  </si>
  <si>
    <t>TOTAL  SG RECEIPT COPY</t>
  </si>
  <si>
    <t>DISCRENPACY</t>
  </si>
  <si>
    <t>TOTAL MANUAL SALES (CSI)</t>
  </si>
  <si>
    <t>TOTAL  SG MANUAL SALES RECEIPT COPY(CSI)</t>
  </si>
  <si>
    <t>WEEKLY REPORT</t>
  </si>
  <si>
    <t>%  CHANGE</t>
  </si>
  <si>
    <t>% VS TARGET</t>
  </si>
  <si>
    <t>DATE: APRIL 1-30, 2025</t>
  </si>
  <si>
    <t>APRIL. 1-8</t>
  </si>
  <si>
    <t>APRIL. 9-15</t>
  </si>
  <si>
    <t>APRIL. 16-22</t>
  </si>
  <si>
    <t>APRIL. 23-30</t>
  </si>
  <si>
    <t>DISCOUNT 2025</t>
  </si>
  <si>
    <t>CONCESSION SALES 2025</t>
  </si>
  <si>
    <t>CONCESSION GM 2025</t>
  </si>
  <si>
    <t>OUTRIGHT SALES 2025</t>
  </si>
  <si>
    <t>OUTRIGHT GM 2025</t>
  </si>
  <si>
    <t>TOTAL GROSS MARGIN 2025</t>
  </si>
  <si>
    <t>CREDIT CARD SALES 2025</t>
  </si>
  <si>
    <t>ENTERING CUSTOMER 2025</t>
  </si>
  <si>
    <t>BUYING CUSTOMER 2025</t>
  </si>
  <si>
    <t>BATTING AVE. 2025</t>
  </si>
  <si>
    <t>TENNIS  2024</t>
  </si>
  <si>
    <t>TENNIS 2025</t>
  </si>
  <si>
    <t>BADMINTON  2024</t>
  </si>
  <si>
    <t>BADMINTON 2025</t>
  </si>
  <si>
    <t>TOTAL RACQUETS STRINGING 2025</t>
  </si>
  <si>
    <t>SHOOT-OUT SALES 2025</t>
  </si>
  <si>
    <t>GAIT REQUEST 2025</t>
  </si>
  <si>
    <t>GAIT W/ PO 2025</t>
  </si>
  <si>
    <t>GAIT CONVERSION 2025</t>
  </si>
  <si>
    <t>SHOES SOLD 2025</t>
  </si>
  <si>
    <t>FOOTWEAR</t>
  </si>
  <si>
    <t>QTY. SOLD 2025</t>
  </si>
  <si>
    <t>GM ACHIEVEMENT BASED ON GROSS SALES</t>
  </si>
  <si>
    <t>RUNNING 2025</t>
  </si>
  <si>
    <t>MAY 1-31, 2025</t>
  </si>
  <si>
    <t>DAYS (TY)</t>
  </si>
  <si>
    <t>ACTUAL 2025</t>
  </si>
  <si>
    <t>% INC/DEC</t>
  </si>
  <si>
    <t>Branch:</t>
  </si>
  <si>
    <t>SALES COMPARISON</t>
  </si>
  <si>
    <t>YEAR</t>
  </si>
  <si>
    <t xml:space="preserve">Branch: </t>
  </si>
  <si>
    <t>PICK-UP SCHEDULE: EVERYDAY</t>
  </si>
  <si>
    <t>2024 VS. 2025</t>
  </si>
  <si>
    <t>TOBYS MEGAMALL</t>
  </si>
  <si>
    <t>NIKE</t>
  </si>
  <si>
    <t>ADIDAS</t>
  </si>
  <si>
    <t>SKECHERS</t>
  </si>
  <si>
    <t>XTEP</t>
  </si>
  <si>
    <t>SAUCONY</t>
  </si>
  <si>
    <t>MIKE/KAT</t>
  </si>
  <si>
    <t>NICA</t>
  </si>
  <si>
    <t>GROSS 2024</t>
  </si>
  <si>
    <t>GROSS 2025</t>
  </si>
  <si>
    <t>RUNNING SALES UP TO DATE</t>
  </si>
  <si>
    <t>POS 1</t>
  </si>
  <si>
    <t>POS 2</t>
  </si>
  <si>
    <t>Z-ID NUMBER</t>
  </si>
  <si>
    <t>ACTUAL 2026</t>
  </si>
  <si>
    <t>CONCESSION SALES 2026</t>
  </si>
  <si>
    <t>OUTRIGHT SALES 2026</t>
  </si>
  <si>
    <t>CREDIT CARD SALES 2026</t>
  </si>
  <si>
    <t>ENTERING CUSTOMER 2026</t>
  </si>
  <si>
    <t>TENNIS  2025</t>
  </si>
  <si>
    <t>TENNIS 2026</t>
  </si>
  <si>
    <t>BADMINTON  2025</t>
  </si>
  <si>
    <t>BADMINTON 2026</t>
  </si>
  <si>
    <t>SHOES SOLD 2026</t>
  </si>
  <si>
    <t>LY(2025)</t>
  </si>
  <si>
    <t>TY(2026)</t>
  </si>
  <si>
    <t>2025 VS 2026</t>
  </si>
  <si>
    <t>vs target</t>
  </si>
  <si>
    <t>WEEKLY SALES REPORT</t>
  </si>
  <si>
    <t>DISCOUNT 2026</t>
  </si>
  <si>
    <t>QTY. SOLD 2026</t>
  </si>
  <si>
    <t>dfx</t>
  </si>
  <si>
    <t>OCTOBER 1-31, 2026</t>
  </si>
  <si>
    <t>OCT 1-4</t>
  </si>
  <si>
    <t>OCT5-11</t>
  </si>
  <si>
    <t>OCT 12-18</t>
  </si>
  <si>
    <t>OCT 19-25</t>
  </si>
  <si>
    <t>OCT 26-31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</si>
</sst>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409]mmmm\-yy;@"/>
    <numFmt numFmtId="165" formatCode="_(* #,##0.0000_);_(* \(#,##0.0000\);_(* &quot;-&quot;??_);_(@_)"/>
    <numFmt numFmtId="166" formatCode="0.0%"/>
    <numFmt numFmtId="167" formatCode="_(* #,##0_);_(* \(#,##0\);_(* &quot;-&quot;??_);_(@_)"/>
    <numFmt numFmtId="168" formatCode="0.00_);\(0.00\)"/>
    <numFmt numFmtId="169" formatCode="[$-409]d\-mmm;@"/>
    <numFmt numFmtId="170" formatCode="0;[Red]0"/>
  </numFmts>
  <fonts count="11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2"/>
      <color indexed="8"/>
      <name val="Calibri"/>
      <family val="2"/>
    </font>
    <font>
      <b/>
      <sz val="10"/>
      <color theme="0"/>
      <name val="Calibri"/>
      <family val="2"/>
    </font>
    <font>
      <b/>
      <sz val="10"/>
      <name val="Calibri"/>
      <family val="2"/>
    </font>
    <font>
      <sz val="10"/>
      <color theme="0"/>
      <name val="Calibri"/>
      <family val="2"/>
      <scheme val="minor"/>
    </font>
    <font>
      <sz val="10"/>
      <name val="Calibri"/>
      <family val="2"/>
      <scheme val="minor"/>
    </font>
    <font>
      <b/>
      <sz val="10"/>
      <name val="Calibri"/>
      <family val="2"/>
      <scheme val="minor"/>
    </font>
    <font>
      <b/>
      <sz val="8.5"/>
      <color theme="0"/>
      <name val="Calibri"/>
      <family val="2"/>
      <scheme val="minor"/>
    </font>
    <font>
      <b/>
      <sz val="9"/>
      <name val="Calibri"/>
      <family val="2"/>
      <scheme val="minor"/>
    </font>
    <font>
      <u/>
      <sz val="11"/>
      <color theme="10"/>
      <name val="Calibri"/>
      <family val="2"/>
      <scheme val="minor"/>
    </font>
    <font>
      <sz val="12"/>
      <color theme="1"/>
      <name val="Calibri"/>
      <family val="2"/>
      <scheme val="minor"/>
    </font>
    <font>
      <b/>
      <sz val="13"/>
      <color theme="1"/>
      <name val="Calibri"/>
      <family val="2"/>
      <scheme val="minor"/>
    </font>
    <font>
      <sz val="11"/>
      <color rgb="FFFF0000"/>
      <name val="Calibri"/>
      <family val="2"/>
      <scheme val="minor"/>
    </font>
    <font>
      <b/>
      <sz val="11"/>
      <color rgb="FFFF0000"/>
      <name val="Calibri"/>
      <family val="2"/>
      <scheme val="minor"/>
    </font>
    <font>
      <sz val="10"/>
      <name val="Times New Roman"/>
      <family val="1"/>
    </font>
    <font>
      <b/>
      <sz val="12"/>
      <color rgb="FFFF0000"/>
      <name val="Times New Roman"/>
      <family val="1"/>
    </font>
    <font>
      <b/>
      <sz val="11"/>
      <name val="Calibri"/>
      <family val="2"/>
    </font>
    <font>
      <b/>
      <sz val="11"/>
      <color theme="1"/>
      <name val="Calibri"/>
      <family val="2"/>
    </font>
    <font>
      <b/>
      <sz val="14"/>
      <color theme="1"/>
      <name val="Calibri"/>
      <family val="2"/>
    </font>
    <font>
      <b/>
      <sz val="14"/>
      <color theme="1"/>
      <name val="Calibri"/>
      <family val="2"/>
      <scheme val="minor"/>
    </font>
    <font>
      <b/>
      <sz val="11"/>
      <name val="Calibri"/>
      <family val="2"/>
      <scheme val="minor"/>
    </font>
    <font>
      <b/>
      <u val="singleAccounting"/>
      <sz val="12"/>
      <color rgb="FFFF0000"/>
      <name val="Calibri"/>
      <family val="2"/>
      <scheme val="minor"/>
    </font>
    <font>
      <b/>
      <sz val="8"/>
      <color theme="1"/>
      <name val="Arial"/>
      <family val="2"/>
    </font>
    <font>
      <b/>
      <sz val="9"/>
      <color theme="1"/>
      <name val="Arial"/>
      <family val="2"/>
    </font>
    <font>
      <sz val="11"/>
      <name val="Calibri"/>
      <family val="2"/>
      <scheme val="minor"/>
    </font>
    <font>
      <sz val="10"/>
      <name val="Arial"/>
      <family val="2"/>
    </font>
    <font>
      <sz val="13"/>
      <name val="Tahoma"/>
      <family val="2"/>
    </font>
    <font>
      <sz val="9"/>
      <name val="Tahoma"/>
      <family val="2"/>
    </font>
    <font>
      <sz val="11"/>
      <name val="Tahoma"/>
      <family val="2"/>
    </font>
    <font>
      <sz val="10"/>
      <name val="Tahoma"/>
      <family val="2"/>
    </font>
    <font>
      <b/>
      <sz val="10"/>
      <name val="Tahoma"/>
      <family val="2"/>
    </font>
    <font>
      <i/>
      <sz val="10"/>
      <name val="Tahoma"/>
      <family val="2"/>
    </font>
    <font>
      <sz val="8"/>
      <name val="Tahoma"/>
      <family val="2"/>
    </font>
    <font>
      <b/>
      <sz val="12"/>
      <name val="Tahoma"/>
      <family val="2"/>
    </font>
    <font>
      <b/>
      <sz val="13"/>
      <name val="Tahoma"/>
      <family val="2"/>
    </font>
    <font>
      <sz val="12"/>
      <name val="Tahoma"/>
      <family val="2"/>
    </font>
    <font>
      <b/>
      <sz val="12"/>
      <color indexed="9"/>
      <name val="Tahoma"/>
      <family val="2"/>
    </font>
    <font>
      <b/>
      <sz val="8"/>
      <color indexed="9"/>
      <name val="Tahoma"/>
      <family val="2"/>
    </font>
    <font>
      <b/>
      <sz val="11"/>
      <color theme="1"/>
      <name val="Tahoma"/>
      <family val="2"/>
    </font>
    <font>
      <sz val="11"/>
      <color theme="1"/>
      <name val="Tahoma"/>
      <family val="2"/>
    </font>
    <font>
      <b/>
      <sz val="7.5"/>
      <color indexed="9"/>
      <name val="Tahoma"/>
      <family val="2"/>
    </font>
    <font>
      <b/>
      <sz val="11"/>
      <color theme="0"/>
      <name val="Tahoma"/>
      <family val="2"/>
    </font>
    <font>
      <sz val="10"/>
      <color theme="1"/>
      <name val="Tahoma"/>
      <family val="2"/>
    </font>
    <font>
      <b/>
      <u/>
      <sz val="10"/>
      <name val="Tahoma"/>
      <family val="2"/>
    </font>
    <font>
      <b/>
      <sz val="9"/>
      <color indexed="9"/>
      <name val="Tahoma"/>
      <family val="2"/>
    </font>
    <font>
      <b/>
      <sz val="8"/>
      <color theme="0"/>
      <name val="Tahoma"/>
      <family val="2"/>
    </font>
    <font>
      <sz val="11"/>
      <color theme="0"/>
      <name val="Tahoma"/>
      <family val="2"/>
    </font>
    <font>
      <b/>
      <sz val="14"/>
      <color theme="1"/>
      <name val="Tahoma"/>
      <family val="2"/>
    </font>
    <font>
      <b/>
      <sz val="11"/>
      <name val="Tahoma"/>
      <family val="2"/>
    </font>
    <font>
      <sz val="10"/>
      <color rgb="FFFF0000"/>
      <name val="Tahoma"/>
      <family val="2"/>
    </font>
    <font>
      <sz val="10"/>
      <color theme="0"/>
      <name val="Tahoma"/>
      <family val="2"/>
    </font>
    <font>
      <b/>
      <sz val="8"/>
      <name val="Tahoma"/>
      <family val="2"/>
    </font>
    <font>
      <b/>
      <sz val="10"/>
      <name val="Times New Roman"/>
      <family val="1"/>
    </font>
    <font>
      <b/>
      <sz val="12"/>
      <color indexed="10"/>
      <name val="Times New Roman"/>
      <family val="1"/>
    </font>
    <font>
      <b/>
      <sz val="10"/>
      <color theme="1"/>
      <name val="Times New Roman"/>
      <family val="1"/>
    </font>
    <font>
      <sz val="10"/>
      <color indexed="10"/>
      <name val="Times New Roman"/>
      <family val="1"/>
    </font>
    <font>
      <b/>
      <sz val="10"/>
      <name val="Arial"/>
      <family val="2"/>
    </font>
    <font>
      <b/>
      <i/>
      <sz val="10"/>
      <name val="Arial"/>
      <family val="2"/>
    </font>
    <font>
      <b/>
      <sz val="12"/>
      <name val="Arial"/>
      <family val="2"/>
    </font>
    <font>
      <b/>
      <sz val="11"/>
      <name val="Arial"/>
      <family val="2"/>
    </font>
    <font>
      <b/>
      <sz val="10"/>
      <color rgb="FFFF0000"/>
      <name val="Arial"/>
      <family val="2"/>
    </font>
    <font>
      <b/>
      <sz val="10"/>
      <color theme="1"/>
      <name val="Arial"/>
      <family val="2"/>
    </font>
    <font>
      <b/>
      <i/>
      <sz val="10"/>
      <color rgb="FFFF0000"/>
      <name val="Arial"/>
      <family val="2"/>
    </font>
    <font>
      <i/>
      <sz val="10"/>
      <name val="Arial"/>
      <family val="2"/>
    </font>
    <font>
      <sz val="10"/>
      <color rgb="FFFF0000"/>
      <name val="Arial"/>
      <family val="2"/>
    </font>
    <font>
      <sz val="10"/>
      <color theme="1"/>
      <name val="Arial"/>
      <family val="2"/>
    </font>
    <font>
      <b/>
      <sz val="10"/>
      <color theme="0"/>
      <name val="Times New Roman"/>
      <family val="1"/>
    </font>
    <font>
      <sz val="10"/>
      <color theme="0"/>
      <name val="Times New Roman"/>
      <family val="1"/>
    </font>
    <font>
      <sz val="9"/>
      <name val="Times New Roman"/>
      <family val="1"/>
    </font>
    <font>
      <sz val="11"/>
      <color indexed="8"/>
      <name val="Calibri"/>
      <family val="2"/>
    </font>
    <font>
      <b/>
      <sz val="9"/>
      <name val="Tahoma"/>
      <family val="2"/>
    </font>
    <font>
      <sz val="11"/>
      <color theme="1"/>
      <name val="Calibri"/>
      <family val="2"/>
      <scheme val="minor"/>
    </font>
    <font>
      <b/>
      <sz val="12"/>
      <color indexed="8"/>
      <name val="Calibri"/>
      <family val="2"/>
    </font>
    <font>
      <sz val="12"/>
      <color theme="1"/>
      <name val="Calibri"/>
      <family val="2"/>
      <scheme val="minor"/>
    </font>
    <font>
      <sz val="12"/>
      <color indexed="8"/>
      <name val="Calibri"/>
      <family val="2"/>
    </font>
    <font>
      <b/>
      <sz val="10"/>
      <color theme="0"/>
      <name val="Calibri"/>
      <family val="2"/>
    </font>
    <font>
      <b/>
      <sz val="8"/>
      <name val="Calibri"/>
      <family val="2"/>
      <scheme val="minor"/>
    </font>
    <font>
      <b/>
      <sz val="9"/>
      <name val="Calibri"/>
      <family val="2"/>
      <scheme val="minor"/>
    </font>
    <font>
      <sz val="9"/>
      <name val="Calibri"/>
      <family val="2"/>
      <scheme val="minor"/>
    </font>
    <font>
      <sz val="11"/>
      <name val="Calibri"/>
      <family val="2"/>
      <scheme val="minor"/>
    </font>
    <font>
      <b/>
      <sz val="9"/>
      <name val="Calibri"/>
      <family val="2"/>
    </font>
    <font>
      <sz val="10"/>
      <name val="Arial"/>
      <family val="2"/>
    </font>
    <font>
      <sz val="9"/>
      <name val="Calibri"/>
      <family val="2"/>
    </font>
    <font>
      <b/>
      <sz val="9"/>
      <color rgb="FFFF0000"/>
      <name val="Calibri"/>
      <family val="2"/>
      <scheme val="minor"/>
    </font>
    <font>
      <b/>
      <sz val="11"/>
      <name val="Calibri"/>
      <family val="2"/>
      <scheme val="minor"/>
    </font>
    <font>
      <b/>
      <sz val="11"/>
      <name val="Calibri"/>
      <family val="2"/>
    </font>
    <font>
      <b/>
      <sz val="8"/>
      <color theme="1"/>
      <name val="Calibri"/>
      <family val="2"/>
      <scheme val="minor"/>
    </font>
    <font>
      <sz val="9"/>
      <color rgb="FFFF0000"/>
      <name val="Calibri"/>
      <family val="2"/>
      <scheme val="minor"/>
    </font>
    <font>
      <sz val="9"/>
      <color theme="1"/>
      <name val="Calibri"/>
      <family val="2"/>
      <scheme val="minor"/>
    </font>
    <font>
      <sz val="8"/>
      <color theme="1"/>
      <name val="Calibri"/>
      <family val="2"/>
      <scheme val="minor"/>
    </font>
    <font>
      <b/>
      <sz val="10"/>
      <name val="Calibri"/>
      <family val="2"/>
      <scheme val="minor"/>
    </font>
    <font>
      <b/>
      <sz val="8"/>
      <name val="Arial"/>
      <family val="2"/>
    </font>
    <font>
      <sz val="8"/>
      <name val="Arial"/>
      <family val="2"/>
    </font>
    <font>
      <b/>
      <sz val="8.5"/>
      <color theme="1"/>
      <name val="Calibri"/>
      <family val="2"/>
      <scheme val="minor"/>
    </font>
    <font>
      <b/>
      <sz val="14"/>
      <name val="Tahoma"/>
      <family val="2"/>
    </font>
    <font>
      <b/>
      <sz val="10"/>
      <color rgb="FFFF0000"/>
      <name val="Tahoma"/>
      <family val="2"/>
    </font>
    <font>
      <sz val="8"/>
      <name val="Calibri"/>
      <family val="2"/>
      <scheme val="minor"/>
    </font>
    <font>
      <sz val="10"/>
      <name val="Times New Roman"/>
      <family val="1"/>
    </font>
    <font>
      <b/>
      <u/>
      <sz val="12"/>
      <name val="Tahoma"/>
      <family val="2"/>
    </font>
    <font>
      <b/>
      <sz val="12"/>
      <color theme="1"/>
      <name val="Tahoma"/>
      <family val="2"/>
    </font>
    <font>
      <sz val="14"/>
      <color theme="1"/>
      <name val="Calibri"/>
      <family val="2"/>
      <scheme val="minor"/>
    </font>
    <font>
      <b/>
      <sz val="11"/>
      <color theme="1"/>
      <name val="Calibri"/>
      <family val="2"/>
    </font>
    <font>
      <b/>
      <sz val="8"/>
      <color theme="0"/>
      <name val="Arial"/>
      <family val="2"/>
    </font>
    <font>
      <sz val="8"/>
      <color theme="1"/>
      <name val="Arial"/>
      <family val="2"/>
    </font>
    <font>
      <sz val="9"/>
      <color indexed="81"/>
      <name val="Tahoma"/>
      <family val="2"/>
    </font>
    <font>
      <b/>
      <sz val="11"/>
      <color theme="5" tint="-0.499984740745262"/>
      <name val="Calibri"/>
      <family val="2"/>
      <scheme val="minor"/>
    </font>
    <font>
      <b/>
      <u/>
      <sz val="14"/>
      <color theme="5" tint="-0.499984740745262"/>
      <name val="Calibri"/>
      <family val="2"/>
      <scheme val="minor"/>
    </font>
    <font>
      <b/>
      <u/>
      <sz val="8"/>
      <color indexed="81"/>
      <name val="Tahoma"/>
      <family val="2"/>
    </font>
    <font>
      <b/>
      <sz val="8"/>
      <color indexed="81"/>
      <name val="Tahoma"/>
      <family val="2"/>
    </font>
    <font>
      <b/>
      <sz val="12"/>
      <color theme="1"/>
      <name val="Calibri"/>
      <family val="2"/>
      <scheme val="minor"/>
    </font>
    <font>
      <sz val="9"/>
      <color indexed="81"/>
      <name val="Tahoma"/>
      <charset val="1"/>
    </font>
    <font>
      <b/>
      <sz val="9"/>
      <color indexed="81"/>
      <name val="Tahoma"/>
      <charset val="1"/>
    </font>
  </fonts>
  <fills count="43">
    <fill>
      <patternFill patternType="none"/>
    </fill>
    <fill>
      <patternFill patternType="gray125"/>
    </fill>
    <fill>
      <patternFill patternType="solid">
        <fgColor theme="3"/>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4" tint="0.39994506668294322"/>
        <bgColor indexed="64"/>
      </patternFill>
    </fill>
    <fill>
      <patternFill patternType="solid">
        <fgColor theme="0"/>
        <bgColor indexed="64"/>
      </patternFill>
    </fill>
    <fill>
      <patternFill patternType="solid">
        <fgColor theme="2"/>
        <bgColor indexed="64"/>
      </patternFill>
    </fill>
    <fill>
      <patternFill patternType="solid">
        <fgColor rgb="FFFFFFCC"/>
        <bgColor indexed="64"/>
      </patternFill>
    </fill>
    <fill>
      <patternFill patternType="solid">
        <fgColor theme="0" tint="-0.14996795556505021"/>
        <bgColor indexed="64"/>
      </patternFill>
    </fill>
    <fill>
      <patternFill patternType="solid">
        <fgColor theme="2" tint="-9.9978637043366805E-2"/>
        <bgColor indexed="64"/>
      </patternFill>
    </fill>
    <fill>
      <patternFill patternType="solid">
        <fgColor indexed="51"/>
        <bgColor indexed="64"/>
      </patternFill>
    </fill>
    <fill>
      <patternFill patternType="solid">
        <fgColor indexed="17"/>
        <bgColor indexed="64"/>
      </patternFill>
    </fill>
    <fill>
      <patternFill patternType="solid">
        <fgColor rgb="FFFFFF99"/>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8" tint="-0.249977111117893"/>
        <bgColor indexed="64"/>
      </patternFill>
    </fill>
    <fill>
      <patternFill patternType="solid">
        <fgColor rgb="FFCCFFCC"/>
        <bgColor indexed="64"/>
      </patternFill>
    </fill>
    <fill>
      <patternFill patternType="solid">
        <fgColor rgb="FF3366FF"/>
        <bgColor indexed="64"/>
      </patternFill>
    </fill>
    <fill>
      <patternFill patternType="solid">
        <fgColor indexed="43"/>
        <bgColor indexed="64"/>
      </patternFill>
    </fill>
    <fill>
      <patternFill patternType="solid">
        <fgColor rgb="FF0000FF"/>
        <bgColor indexed="64"/>
      </patternFill>
    </fill>
    <fill>
      <patternFill patternType="solid">
        <fgColor theme="3" tint="0.39994506668294322"/>
        <bgColor indexed="64"/>
      </patternFill>
    </fill>
    <fill>
      <patternFill patternType="solid">
        <fgColor theme="8"/>
        <bgColor indexed="64"/>
      </patternFill>
    </fill>
    <fill>
      <patternFill patternType="solid">
        <fgColor indexed="20"/>
        <bgColor indexed="64"/>
      </patternFill>
    </fill>
    <fill>
      <patternFill patternType="solid">
        <fgColor rgb="FF00B050"/>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3" tint="0.79995117038483843"/>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0" tint="-0.499984740745262"/>
        <bgColor indexed="64"/>
      </patternFill>
    </fill>
    <fill>
      <patternFill patternType="solid">
        <fgColor rgb="FFFFFF66"/>
        <bgColor indexed="64"/>
      </patternFill>
    </fill>
    <fill>
      <patternFill patternType="solid">
        <fgColor rgb="FF31869B"/>
        <bgColor indexed="64"/>
      </patternFill>
    </fill>
    <fill>
      <patternFill patternType="solid">
        <fgColor theme="0" tint="-0.1499374370555742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6"/>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0" tint="-0.14999847407452621"/>
        <bgColor indexed="64"/>
      </patternFill>
    </fill>
  </fills>
  <borders count="127">
    <border>
      <left/>
      <right/>
      <top/>
      <bottom/>
      <diagonal/>
    </border>
    <border>
      <left/>
      <right/>
      <top style="thin">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style="thin">
        <color auto="1"/>
      </right>
      <top/>
      <bottom style="thin">
        <color auto="1"/>
      </bottom>
      <diagonal/>
    </border>
    <border>
      <left style="medium">
        <color auto="1"/>
      </left>
      <right/>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style="thin">
        <color auto="1"/>
      </right>
      <top/>
      <bottom style="medium">
        <color auto="1"/>
      </bottom>
      <diagonal/>
    </border>
    <border>
      <left style="medium">
        <color auto="1"/>
      </left>
      <right style="medium">
        <color auto="1"/>
      </right>
      <top/>
      <bottom style="medium">
        <color auto="1"/>
      </bottom>
      <diagonal/>
    </border>
    <border>
      <left style="thin">
        <color indexed="9"/>
      </left>
      <right/>
      <top/>
      <bottom style="medium">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medium">
        <color auto="1"/>
      </top>
      <bottom style="thin">
        <color indexed="9"/>
      </bottom>
      <diagonal/>
    </border>
    <border>
      <left/>
      <right style="thin">
        <color indexed="9"/>
      </right>
      <top style="medium">
        <color auto="1"/>
      </top>
      <bottom style="thin">
        <color indexed="9"/>
      </bottom>
      <diagonal/>
    </border>
    <border>
      <left style="thin">
        <color indexed="9"/>
      </left>
      <right style="thin">
        <color indexed="9"/>
      </right>
      <top style="medium">
        <color auto="1"/>
      </top>
      <bottom/>
      <diagonal/>
    </border>
    <border>
      <left style="thin">
        <color indexed="9"/>
      </left>
      <right/>
      <top style="medium">
        <color auto="1"/>
      </top>
      <bottom style="thin">
        <color indexed="9"/>
      </bottom>
      <diagonal/>
    </border>
    <border>
      <left/>
      <right style="thin">
        <color indexed="9"/>
      </right>
      <top style="thin">
        <color indexed="9"/>
      </top>
      <bottom style="medium">
        <color auto="1"/>
      </bottom>
      <diagonal/>
    </border>
    <border>
      <left style="thin">
        <color indexed="9"/>
      </left>
      <right style="thin">
        <color indexed="9"/>
      </right>
      <top style="thin">
        <color indexed="9"/>
      </top>
      <bottom style="medium">
        <color auto="1"/>
      </bottom>
      <diagonal/>
    </border>
    <border>
      <left style="thin">
        <color indexed="9"/>
      </left>
      <right style="thin">
        <color indexed="9"/>
      </right>
      <top/>
      <bottom style="medium">
        <color auto="1"/>
      </bottom>
      <diagonal/>
    </border>
    <border>
      <left style="medium">
        <color auto="1"/>
      </left>
      <right/>
      <top style="medium">
        <color auto="1"/>
      </top>
      <bottom style="dotted">
        <color indexed="45"/>
      </bottom>
      <diagonal/>
    </border>
    <border>
      <left style="dotted">
        <color theme="5" tint="0.59999389629810485"/>
      </left>
      <right style="dotted">
        <color theme="5" tint="0.59999389629810485"/>
      </right>
      <top style="dotted">
        <color theme="5" tint="0.59999389629810485"/>
      </top>
      <bottom style="dotted">
        <color theme="5" tint="0.59999389629810485"/>
      </bottom>
      <diagonal/>
    </border>
    <border>
      <left style="dotted">
        <color theme="5" tint="0.59999389629810485"/>
      </left>
      <right style="dotted">
        <color theme="5" tint="0.59999389629810485"/>
      </right>
      <top style="medium">
        <color auto="1"/>
      </top>
      <bottom style="dotted">
        <color theme="5" tint="0.59999389629810485"/>
      </bottom>
      <diagonal/>
    </border>
    <border>
      <left/>
      <right/>
      <top style="medium">
        <color auto="1"/>
      </top>
      <bottom style="dotted">
        <color indexed="45"/>
      </bottom>
      <diagonal/>
    </border>
    <border>
      <left style="medium">
        <color auto="1"/>
      </left>
      <right/>
      <top style="dotted">
        <color indexed="45"/>
      </top>
      <bottom style="dotted">
        <color indexed="45"/>
      </bottom>
      <diagonal/>
    </border>
    <border>
      <left/>
      <right/>
      <top style="dotted">
        <color indexed="45"/>
      </top>
      <bottom style="dotted">
        <color indexed="45"/>
      </bottom>
      <diagonal/>
    </border>
    <border>
      <left style="medium">
        <color auto="1"/>
      </left>
      <right style="dotted">
        <color indexed="45"/>
      </right>
      <top style="dotted">
        <color indexed="45"/>
      </top>
      <bottom style="dotted">
        <color indexed="45"/>
      </bottom>
      <diagonal/>
    </border>
    <border>
      <left style="dotted">
        <color indexed="45"/>
      </left>
      <right style="dotted">
        <color indexed="45"/>
      </right>
      <top/>
      <bottom style="dotted">
        <color indexed="45"/>
      </bottom>
      <diagonal/>
    </border>
    <border>
      <left style="dotted">
        <color indexed="45"/>
      </left>
      <right style="dotted">
        <color indexed="45"/>
      </right>
      <top style="dotted">
        <color indexed="45"/>
      </top>
      <bottom style="dotted">
        <color indexed="45"/>
      </bottom>
      <diagonal/>
    </border>
    <border>
      <left style="dotted">
        <color indexed="45"/>
      </left>
      <right/>
      <top style="dotted">
        <color indexed="45"/>
      </top>
      <bottom style="dotted">
        <color indexed="45"/>
      </bottom>
      <diagonal/>
    </border>
    <border>
      <left style="medium">
        <color auto="1"/>
      </left>
      <right style="dotted">
        <color indexed="45"/>
      </right>
      <top style="dotted">
        <color indexed="45"/>
      </top>
      <bottom style="medium">
        <color auto="1"/>
      </bottom>
      <diagonal/>
    </border>
    <border>
      <left style="dotted">
        <color indexed="45"/>
      </left>
      <right style="dotted">
        <color indexed="45"/>
      </right>
      <top style="dotted">
        <color indexed="45"/>
      </top>
      <bottom style="medium">
        <color auto="1"/>
      </bottom>
      <diagonal/>
    </border>
    <border>
      <left style="dotted">
        <color indexed="45"/>
      </left>
      <right/>
      <top style="dotted">
        <color indexed="45"/>
      </top>
      <bottom style="medium">
        <color auto="1"/>
      </bottom>
      <diagonal/>
    </border>
    <border>
      <left style="dotted">
        <color theme="5" tint="0.59999389629810485"/>
      </left>
      <right style="dotted">
        <color theme="5" tint="0.59999389629810485"/>
      </right>
      <top style="dotted">
        <color theme="5" tint="0.59999389629810485"/>
      </top>
      <bottom style="medium">
        <color auto="1"/>
      </bottom>
      <diagonal/>
    </border>
    <border>
      <left style="medium">
        <color auto="1"/>
      </left>
      <right style="medium">
        <color auto="1"/>
      </right>
      <top style="medium">
        <color auto="1"/>
      </top>
      <bottom style="medium">
        <color auto="1"/>
      </bottom>
      <diagonal/>
    </border>
    <border>
      <left/>
      <right/>
      <top style="dotted">
        <color indexed="45"/>
      </top>
      <bottom style="medium">
        <color auto="1"/>
      </bottom>
      <diagonal/>
    </border>
    <border>
      <left style="thin">
        <color indexed="9"/>
      </left>
      <right style="medium">
        <color auto="1"/>
      </right>
      <top style="medium">
        <color auto="1"/>
      </top>
      <bottom/>
      <diagonal/>
    </border>
    <border>
      <left style="thin">
        <color indexed="9"/>
      </left>
      <right style="medium">
        <color auto="1"/>
      </right>
      <top/>
      <bottom style="medium">
        <color auto="1"/>
      </bottom>
      <diagonal/>
    </border>
    <border>
      <left/>
      <right style="medium">
        <color auto="1"/>
      </right>
      <top style="medium">
        <color auto="1"/>
      </top>
      <bottom style="dotted">
        <color indexed="45"/>
      </bottom>
      <diagonal/>
    </border>
    <border>
      <left/>
      <right style="medium">
        <color auto="1"/>
      </right>
      <top style="dotted">
        <color indexed="45"/>
      </top>
      <bottom style="dotted">
        <color indexed="45"/>
      </bottom>
      <diagonal/>
    </border>
    <border>
      <left/>
      <right style="medium">
        <color auto="1"/>
      </right>
      <top style="dotted">
        <color indexed="45"/>
      </top>
      <bottom style="medium">
        <color auto="1"/>
      </bottom>
      <diagonal/>
    </border>
    <border>
      <left style="thin">
        <color indexed="9"/>
      </left>
      <right style="thin">
        <color indexed="9"/>
      </right>
      <top style="medium">
        <color auto="1"/>
      </top>
      <bottom style="thin">
        <color indexed="9"/>
      </bottom>
      <diagonal/>
    </border>
    <border>
      <left/>
      <right style="thin">
        <color auto="1"/>
      </right>
      <top style="medium">
        <color auto="1"/>
      </top>
      <bottom style="thin">
        <color indexed="9"/>
      </bottom>
      <diagonal/>
    </border>
    <border>
      <left style="thin">
        <color auto="1"/>
      </left>
      <right/>
      <top style="medium">
        <color auto="1"/>
      </top>
      <bottom style="thin">
        <color indexed="9"/>
      </bottom>
      <diagonal/>
    </border>
    <border>
      <left style="medium">
        <color auto="1"/>
      </left>
      <right style="dotted">
        <color indexed="45"/>
      </right>
      <top style="medium">
        <color auto="1"/>
      </top>
      <bottom style="dotted">
        <color indexed="45"/>
      </bottom>
      <diagonal/>
    </border>
    <border>
      <left style="dotted">
        <color indexed="45"/>
      </left>
      <right style="dotted">
        <color indexed="45"/>
      </right>
      <top style="medium">
        <color auto="1"/>
      </top>
      <bottom style="dotted">
        <color indexed="45"/>
      </bottom>
      <diagonal/>
    </border>
    <border>
      <left style="dotted">
        <color indexed="45"/>
      </left>
      <right/>
      <top style="medium">
        <color auto="1"/>
      </top>
      <bottom style="dotted">
        <color indexed="45"/>
      </bottom>
      <diagonal/>
    </border>
    <border>
      <left/>
      <right style="dotted">
        <color indexed="45"/>
      </right>
      <top style="medium">
        <color auto="1"/>
      </top>
      <bottom style="dotted">
        <color indexed="45"/>
      </bottom>
      <diagonal/>
    </border>
    <border>
      <left/>
      <right style="dotted">
        <color indexed="45"/>
      </right>
      <top style="dotted">
        <color indexed="45"/>
      </top>
      <bottom style="dotted">
        <color indexed="45"/>
      </bottom>
      <diagonal/>
    </border>
    <border>
      <left/>
      <right style="dotted">
        <color indexed="45"/>
      </right>
      <top style="dotted">
        <color indexed="45"/>
      </top>
      <bottom style="medium">
        <color auto="1"/>
      </bottom>
      <diagonal/>
    </border>
    <border>
      <left style="dotted">
        <color indexed="45"/>
      </left>
      <right style="medium">
        <color indexed="45"/>
      </right>
      <top style="medium">
        <color auto="1"/>
      </top>
      <bottom style="dotted">
        <color indexed="45"/>
      </bottom>
      <diagonal/>
    </border>
    <border>
      <left style="dotted">
        <color indexed="45"/>
      </left>
      <right style="medium">
        <color auto="1"/>
      </right>
      <top style="medium">
        <color auto="1"/>
      </top>
      <bottom style="dotted">
        <color indexed="45"/>
      </bottom>
      <diagonal/>
    </border>
    <border>
      <left style="dotted">
        <color indexed="45"/>
      </left>
      <right style="medium">
        <color indexed="45"/>
      </right>
      <top style="dotted">
        <color indexed="45"/>
      </top>
      <bottom style="dotted">
        <color indexed="45"/>
      </bottom>
      <diagonal/>
    </border>
    <border>
      <left style="dotted">
        <color indexed="45"/>
      </left>
      <right style="medium">
        <color auto="1"/>
      </right>
      <top style="dotted">
        <color indexed="45"/>
      </top>
      <bottom style="dotted">
        <color indexed="45"/>
      </bottom>
      <diagonal/>
    </border>
    <border>
      <left style="dotted">
        <color indexed="45"/>
      </left>
      <right style="medium">
        <color indexed="45"/>
      </right>
      <top style="dotted">
        <color indexed="45"/>
      </top>
      <bottom style="medium">
        <color auto="1"/>
      </bottom>
      <diagonal/>
    </border>
    <border>
      <left style="dotted">
        <color indexed="45"/>
      </left>
      <right style="medium">
        <color auto="1"/>
      </right>
      <top style="dotted">
        <color indexed="45"/>
      </top>
      <bottom style="medium">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medium">
        <color auto="1"/>
      </top>
      <bottom style="medium">
        <color rgb="FF000099"/>
      </bottom>
      <diagonal/>
    </border>
    <border>
      <left/>
      <right/>
      <top style="medium">
        <color auto="1"/>
      </top>
      <bottom style="medium">
        <color rgb="FF000099"/>
      </bottom>
      <diagonal/>
    </border>
    <border>
      <left/>
      <right style="medium">
        <color auto="1"/>
      </right>
      <top style="medium">
        <color auto="1"/>
      </top>
      <bottom style="medium">
        <color rgb="FF000099"/>
      </bottom>
      <diagonal/>
    </border>
    <border>
      <left style="thin">
        <color auto="1"/>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style="medium">
        <color auto="1"/>
      </left>
      <right style="medium">
        <color auto="1"/>
      </right>
      <top style="medium">
        <color auto="1"/>
      </top>
      <bottom/>
      <diagonal/>
    </border>
    <border>
      <left/>
      <right/>
      <top style="medium">
        <color auto="1"/>
      </top>
      <bottom style="thin">
        <color auto="1"/>
      </bottom>
      <diagonal/>
    </border>
    <border>
      <left style="medium">
        <color auto="1"/>
      </left>
      <right style="medium">
        <color auto="1"/>
      </right>
      <top/>
      <bottom/>
      <diagonal/>
    </border>
    <border>
      <left/>
      <right style="medium">
        <color auto="1"/>
      </right>
      <top style="medium">
        <color auto="1"/>
      </top>
      <bottom style="thin">
        <color auto="1"/>
      </bottom>
      <diagonal/>
    </border>
    <border>
      <left/>
      <right style="medium">
        <color auto="1"/>
      </right>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bottom/>
      <diagonal/>
    </border>
    <border>
      <left/>
      <right style="thin">
        <color auto="1"/>
      </right>
      <top/>
      <bottom/>
      <diagonal/>
    </border>
    <border>
      <left style="thin">
        <color indexed="9"/>
      </left>
      <right style="medium">
        <color auto="1"/>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medium">
        <color auto="1"/>
      </top>
      <bottom style="thin">
        <color indexed="64"/>
      </bottom>
      <diagonal/>
    </border>
    <border>
      <left/>
      <right style="thin">
        <color auto="1"/>
      </right>
      <top style="medium">
        <color auto="1"/>
      </top>
      <bottom style="thin">
        <color indexed="64"/>
      </bottom>
      <diagonal/>
    </border>
    <border>
      <left style="thin">
        <color indexed="9"/>
      </left>
      <right style="thin">
        <color indexed="9"/>
      </right>
      <top/>
      <bottom/>
      <diagonal/>
    </border>
    <border>
      <left style="thin">
        <color indexed="64"/>
      </left>
      <right style="medium">
        <color indexed="64"/>
      </right>
      <top/>
      <bottom style="medium">
        <color indexed="64"/>
      </bottom>
      <diagonal/>
    </border>
    <border>
      <left/>
      <right/>
      <top/>
      <bottom style="thin">
        <color indexed="64"/>
      </bottom>
      <diagonal/>
    </border>
  </borders>
  <cellStyleXfs count="12">
    <xf numFmtId="0" fontId="0" fillId="0" borderId="0"/>
    <xf numFmtId="43" fontId="78" fillId="0" borderId="0" applyFont="0" applyFill="0" applyBorder="0" applyAlignment="0" applyProtection="0"/>
    <xf numFmtId="9" fontId="78" fillId="0" borderId="0" applyFont="0" applyFill="0" applyBorder="0" applyAlignment="0" applyProtection="0"/>
    <xf numFmtId="0" fontId="16" fillId="0" borderId="0" applyNumberFormat="0" applyFill="0" applyBorder="0" applyAlignment="0" applyProtection="0"/>
    <xf numFmtId="43" fontId="76"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21" fillId="0" borderId="0"/>
    <xf numFmtId="9" fontId="32" fillId="0" borderId="0" applyFont="0" applyFill="0" applyBorder="0" applyAlignment="0" applyProtection="0"/>
    <xf numFmtId="9" fontId="32" fillId="0" borderId="0" applyFont="0" applyFill="0" applyBorder="0" applyAlignment="0" applyProtection="0"/>
  </cellStyleXfs>
  <cellXfs count="1014">
    <xf numFmtId="0" fontId="0" fillId="0" borderId="0" xfId="0"/>
    <xf numFmtId="0" fontId="6" fillId="0" borderId="0" xfId="0" applyFont="1"/>
    <xf numFmtId="0" fontId="0" fillId="0" borderId="8" xfId="0" applyBorder="1" applyAlignment="1">
      <alignment horizontal="center"/>
    </xf>
    <xf numFmtId="16" fontId="0" fillId="0" borderId="8" xfId="0" applyNumberFormat="1" applyBorder="1" applyAlignment="1">
      <alignment horizontal="center"/>
    </xf>
    <xf numFmtId="0" fontId="7" fillId="0" borderId="0" xfId="0" applyFont="1"/>
    <xf numFmtId="0" fontId="0" fillId="0" borderId="0" xfId="0" applyAlignment="1">
      <alignment horizontal="center"/>
    </xf>
    <xf numFmtId="0" fontId="8" fillId="0" borderId="0" xfId="0" applyFont="1" applyAlignment="1">
      <alignment horizontal="left"/>
    </xf>
    <xf numFmtId="0" fontId="8" fillId="0" borderId="0" xfId="0" applyFont="1"/>
    <xf numFmtId="0" fontId="9" fillId="2" borderId="9" xfId="0" applyFont="1" applyFill="1" applyBorder="1" applyAlignment="1">
      <alignment horizontal="center" vertical="center"/>
    </xf>
    <xf numFmtId="0" fontId="9" fillId="2" borderId="4" xfId="0" applyFont="1" applyFill="1" applyBorder="1" applyAlignment="1">
      <alignment horizontal="center" vertic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10" fillId="3" borderId="15" xfId="0" applyFont="1" applyFill="1" applyBorder="1" applyAlignment="1">
      <alignment horizontal="center"/>
    </xf>
    <xf numFmtId="0" fontId="10" fillId="3" borderId="16" xfId="0" applyFont="1" applyFill="1" applyBorder="1" applyAlignment="1">
      <alignment horizontal="center"/>
    </xf>
    <xf numFmtId="4" fontId="12" fillId="3" borderId="18" xfId="5" applyNumberFormat="1" applyFont="1" applyFill="1" applyBorder="1" applyAlignment="1" applyProtection="1">
      <alignment horizontal="center" vertical="center"/>
      <protection locked="0"/>
    </xf>
    <xf numFmtId="10" fontId="13" fillId="3" borderId="19" xfId="2" applyNumberFormat="1" applyFont="1" applyFill="1" applyBorder="1" applyAlignment="1" applyProtection="1">
      <alignment horizontal="center" vertical="center"/>
      <protection locked="0"/>
    </xf>
    <xf numFmtId="10" fontId="13" fillId="3" borderId="20" xfId="2" applyNumberFormat="1" applyFont="1" applyFill="1" applyBorder="1" applyAlignment="1" applyProtection="1">
      <alignment horizontal="center" vertical="center"/>
      <protection locked="0"/>
    </xf>
    <xf numFmtId="10" fontId="13" fillId="3" borderId="21" xfId="2" applyNumberFormat="1" applyFont="1" applyFill="1" applyBorder="1" applyAlignment="1" applyProtection="1">
      <alignment horizontal="center" vertical="center"/>
      <protection locked="0"/>
    </xf>
    <xf numFmtId="10" fontId="13" fillId="3" borderId="8" xfId="2" applyNumberFormat="1" applyFont="1" applyFill="1" applyBorder="1" applyAlignment="1" applyProtection="1">
      <alignment horizontal="center" vertical="center"/>
      <protection locked="0"/>
    </xf>
    <xf numFmtId="10" fontId="13" fillId="3" borderId="22" xfId="2" applyNumberFormat="1" applyFont="1" applyFill="1" applyBorder="1" applyAlignment="1" applyProtection="1">
      <alignment horizontal="center" vertical="center"/>
      <protection locked="0"/>
    </xf>
    <xf numFmtId="10" fontId="13" fillId="3" borderId="23" xfId="2" applyNumberFormat="1" applyFont="1" applyFill="1" applyBorder="1" applyAlignment="1" applyProtection="1">
      <alignment horizontal="center" vertical="center"/>
      <protection locked="0"/>
    </xf>
    <xf numFmtId="16" fontId="11" fillId="2" borderId="4" xfId="0" applyNumberFormat="1" applyFont="1" applyFill="1" applyBorder="1"/>
    <xf numFmtId="4" fontId="12" fillId="3" borderId="24" xfId="5" applyNumberFormat="1" applyFont="1" applyFill="1" applyBorder="1" applyAlignment="1" applyProtection="1">
      <alignment horizontal="center" vertical="center"/>
      <protection locked="0"/>
    </xf>
    <xf numFmtId="10" fontId="13" fillId="3" borderId="24" xfId="2" applyNumberFormat="1" applyFont="1" applyFill="1" applyBorder="1" applyAlignment="1" applyProtection="1">
      <alignment horizontal="center" vertical="center"/>
      <protection locked="0"/>
    </xf>
    <xf numFmtId="10" fontId="13" fillId="3" borderId="25" xfId="2" applyNumberFormat="1" applyFont="1" applyFill="1" applyBorder="1" applyAlignment="1" applyProtection="1">
      <alignment horizontal="center" vertical="center"/>
      <protection locked="0"/>
    </xf>
    <xf numFmtId="10" fontId="13" fillId="3" borderId="26" xfId="2" applyNumberFormat="1" applyFont="1" applyFill="1" applyBorder="1" applyAlignment="1" applyProtection="1">
      <alignment horizontal="center" vertical="center"/>
      <protection locked="0"/>
    </xf>
    <xf numFmtId="0" fontId="14" fillId="2" borderId="4" xfId="0" applyFont="1" applyFill="1" applyBorder="1"/>
    <xf numFmtId="4" fontId="15" fillId="3" borderId="13" xfId="1" applyNumberFormat="1" applyFont="1" applyFill="1" applyBorder="1" applyAlignment="1">
      <alignment horizontal="center"/>
    </xf>
    <xf numFmtId="39" fontId="15" fillId="3" borderId="14" xfId="1" applyNumberFormat="1" applyFont="1" applyFill="1" applyBorder="1" applyAlignment="1">
      <alignment horizontal="center"/>
    </xf>
    <xf numFmtId="10" fontId="15" fillId="3" borderId="14" xfId="2" applyNumberFormat="1" applyFont="1" applyFill="1" applyBorder="1" applyAlignment="1">
      <alignment horizontal="center"/>
    </xf>
    <xf numFmtId="10" fontId="15" fillId="3" borderId="15" xfId="2" applyNumberFormat="1" applyFont="1" applyFill="1" applyBorder="1" applyAlignment="1">
      <alignment horizontal="center"/>
    </xf>
    <xf numFmtId="10" fontId="15" fillId="3" borderId="16" xfId="2" applyNumberFormat="1" applyFont="1" applyFill="1" applyBorder="1" applyAlignment="1">
      <alignment horizontal="center"/>
    </xf>
    <xf numFmtId="0" fontId="16" fillId="0" borderId="0" xfId="3"/>
    <xf numFmtId="0" fontId="17" fillId="0" borderId="0" xfId="0" applyFont="1"/>
    <xf numFmtId="0" fontId="10" fillId="4" borderId="13" xfId="0" applyFont="1" applyFill="1" applyBorder="1" applyAlignment="1">
      <alignment horizontal="center"/>
    </xf>
    <xf numFmtId="0" fontId="10" fillId="4" borderId="14" xfId="0" applyFont="1" applyFill="1" applyBorder="1" applyAlignment="1">
      <alignment horizontal="center"/>
    </xf>
    <xf numFmtId="0" fontId="10" fillId="4" borderId="16" xfId="0" applyFont="1" applyFill="1" applyBorder="1" applyAlignment="1">
      <alignment vertical="center"/>
    </xf>
    <xf numFmtId="4" fontId="12" fillId="3" borderId="27" xfId="5" applyNumberFormat="1" applyFont="1" applyFill="1" applyBorder="1" applyAlignment="1" applyProtection="1">
      <alignment horizontal="center" vertical="center"/>
      <protection locked="0"/>
    </xf>
    <xf numFmtId="4" fontId="12" fillId="3" borderId="17" xfId="5" applyNumberFormat="1" applyFont="1" applyFill="1" applyBorder="1" applyAlignment="1" applyProtection="1">
      <alignment horizontal="center" vertical="center"/>
      <protection locked="0"/>
    </xf>
    <xf numFmtId="10" fontId="13" fillId="3" borderId="28" xfId="2" applyNumberFormat="1" applyFont="1" applyFill="1" applyBorder="1" applyAlignment="1" applyProtection="1">
      <alignment horizontal="center" vertical="center"/>
      <protection locked="0"/>
    </xf>
    <xf numFmtId="4" fontId="12" fillId="4" borderId="18" xfId="5" applyNumberFormat="1" applyFont="1" applyFill="1" applyBorder="1" applyAlignment="1" applyProtection="1">
      <alignment horizontal="center" vertical="center"/>
      <protection locked="0"/>
    </xf>
    <xf numFmtId="4" fontId="12" fillId="4" borderId="18" xfId="5" applyNumberFormat="1" applyFont="1" applyFill="1" applyBorder="1" applyAlignment="1" applyProtection="1">
      <alignment horizontal="center" vertical="center"/>
    </xf>
    <xf numFmtId="10" fontId="13" fillId="4" borderId="21" xfId="0" applyNumberFormat="1" applyFont="1" applyFill="1" applyBorder="1" applyAlignment="1">
      <alignment horizontal="center"/>
    </xf>
    <xf numFmtId="4" fontId="12" fillId="3" borderId="29" xfId="5" applyNumberFormat="1" applyFont="1" applyFill="1" applyBorder="1" applyAlignment="1" applyProtection="1">
      <alignment horizontal="center" vertical="center"/>
      <protection locked="0"/>
    </xf>
    <xf numFmtId="4" fontId="12" fillId="3" borderId="30" xfId="5" applyNumberFormat="1" applyFont="1" applyFill="1" applyBorder="1" applyAlignment="1" applyProtection="1">
      <alignment horizontal="center" vertical="center"/>
      <protection locked="0"/>
    </xf>
    <xf numFmtId="10" fontId="13" fillId="3" borderId="31" xfId="2" applyNumberFormat="1" applyFont="1" applyFill="1" applyBorder="1" applyAlignment="1" applyProtection="1">
      <alignment horizontal="center" vertical="center"/>
      <protection locked="0"/>
    </xf>
    <xf numFmtId="10" fontId="13" fillId="4" borderId="23" xfId="0" applyNumberFormat="1" applyFont="1" applyFill="1" applyBorder="1" applyAlignment="1">
      <alignment horizontal="center"/>
    </xf>
    <xf numFmtId="4" fontId="12" fillId="3" borderId="32" xfId="5" applyNumberFormat="1" applyFont="1" applyFill="1" applyBorder="1" applyAlignment="1" applyProtection="1">
      <alignment horizontal="center" vertical="center"/>
      <protection locked="0"/>
    </xf>
    <xf numFmtId="4" fontId="12" fillId="3" borderId="22" xfId="5" applyNumberFormat="1" applyFont="1" applyFill="1" applyBorder="1" applyAlignment="1" applyProtection="1">
      <alignment horizontal="center" vertical="center"/>
      <protection locked="0"/>
    </xf>
    <xf numFmtId="10" fontId="13" fillId="4" borderId="8" xfId="0" applyNumberFormat="1" applyFont="1" applyFill="1" applyBorder="1" applyAlignment="1">
      <alignment horizontal="center"/>
    </xf>
    <xf numFmtId="4" fontId="12" fillId="3" borderId="33" xfId="5" applyNumberFormat="1" applyFont="1" applyFill="1" applyBorder="1" applyAlignment="1" applyProtection="1">
      <alignment horizontal="center" vertical="center"/>
      <protection locked="0"/>
    </xf>
    <xf numFmtId="4" fontId="12" fillId="3" borderId="25" xfId="5" applyNumberFormat="1" applyFont="1" applyFill="1" applyBorder="1" applyAlignment="1" applyProtection="1">
      <alignment horizontal="center" vertical="center"/>
      <protection locked="0"/>
    </xf>
    <xf numFmtId="10" fontId="13" fillId="3" borderId="34" xfId="2" applyNumberFormat="1" applyFont="1" applyFill="1" applyBorder="1" applyAlignment="1" applyProtection="1">
      <alignment horizontal="center" vertical="center"/>
      <protection locked="0"/>
    </xf>
    <xf numFmtId="4" fontId="12" fillId="4" borderId="24" xfId="5" applyNumberFormat="1" applyFont="1" applyFill="1" applyBorder="1" applyAlignment="1" applyProtection="1">
      <alignment horizontal="center" vertical="center"/>
      <protection locked="0"/>
    </xf>
    <xf numFmtId="10" fontId="13" fillId="4" borderId="24" xfId="0" applyNumberFormat="1" applyFont="1" applyFill="1" applyBorder="1" applyAlignment="1">
      <alignment horizontal="center"/>
    </xf>
    <xf numFmtId="4" fontId="15" fillId="3" borderId="35" xfId="1" applyNumberFormat="1" applyFont="1" applyFill="1" applyBorder="1" applyAlignment="1">
      <alignment horizontal="center"/>
    </xf>
    <xf numFmtId="3" fontId="15" fillId="4" borderId="13" xfId="1" applyNumberFormat="1" applyFont="1" applyFill="1" applyBorder="1" applyAlignment="1">
      <alignment horizontal="center"/>
    </xf>
    <xf numFmtId="3" fontId="15" fillId="4" borderId="14" xfId="1" applyNumberFormat="1" applyFont="1" applyFill="1" applyBorder="1" applyAlignment="1">
      <alignment horizontal="center"/>
    </xf>
    <xf numFmtId="10" fontId="15" fillId="4" borderId="16" xfId="0" applyNumberFormat="1" applyFont="1" applyFill="1" applyBorder="1" applyAlignment="1">
      <alignment horizontal="center"/>
    </xf>
    <xf numFmtId="3" fontId="15" fillId="4" borderId="6" xfId="1" applyNumberFormat="1" applyFont="1" applyFill="1" applyBorder="1" applyAlignment="1">
      <alignment horizontal="center"/>
    </xf>
    <xf numFmtId="3" fontId="15" fillId="4" borderId="36" xfId="1" applyNumberFormat="1" applyFont="1" applyFill="1" applyBorder="1" applyAlignment="1">
      <alignment horizontal="center"/>
    </xf>
    <xf numFmtId="0" fontId="10" fillId="4" borderId="37" xfId="0" applyFont="1" applyFill="1" applyBorder="1" applyAlignment="1">
      <alignment vertical="center"/>
    </xf>
    <xf numFmtId="0" fontId="10" fillId="4" borderId="15" xfId="0" applyFont="1" applyFill="1" applyBorder="1" applyAlignment="1">
      <alignment vertical="center"/>
    </xf>
    <xf numFmtId="0" fontId="10" fillId="5" borderId="13" xfId="0" applyFont="1" applyFill="1" applyBorder="1" applyAlignment="1">
      <alignment horizontal="center"/>
    </xf>
    <xf numFmtId="0" fontId="10" fillId="5" borderId="14" xfId="0" applyFont="1" applyFill="1" applyBorder="1" applyAlignment="1">
      <alignment horizontal="center"/>
    </xf>
    <xf numFmtId="0" fontId="10" fillId="5" borderId="16" xfId="0" applyFont="1" applyFill="1" applyBorder="1" applyAlignment="1">
      <alignment vertical="center"/>
    </xf>
    <xf numFmtId="4" fontId="12" fillId="4" borderId="29" xfId="5" applyNumberFormat="1" applyFont="1" applyFill="1" applyBorder="1" applyAlignment="1" applyProtection="1">
      <alignment horizontal="center" vertical="center"/>
    </xf>
    <xf numFmtId="4" fontId="12" fillId="4" borderId="7" xfId="5" applyNumberFormat="1" applyFont="1" applyFill="1" applyBorder="1" applyAlignment="1" applyProtection="1">
      <alignment horizontal="center" vertical="center"/>
    </xf>
    <xf numFmtId="10" fontId="13" fillId="4" borderId="38" xfId="0" applyNumberFormat="1" applyFont="1" applyFill="1" applyBorder="1" applyAlignment="1">
      <alignment horizontal="center"/>
    </xf>
    <xf numFmtId="10" fontId="12" fillId="5" borderId="39" xfId="7" applyNumberFormat="1" applyFont="1" applyFill="1" applyBorder="1" applyAlignment="1">
      <alignment horizontal="center" vertical="center"/>
    </xf>
    <xf numFmtId="10" fontId="12" fillId="5" borderId="7" xfId="7" applyNumberFormat="1" applyFont="1" applyFill="1" applyBorder="1" applyAlignment="1">
      <alignment horizontal="center" vertical="center"/>
    </xf>
    <xf numFmtId="10" fontId="13" fillId="5" borderId="40" xfId="0" applyNumberFormat="1" applyFont="1" applyFill="1" applyBorder="1" applyAlignment="1">
      <alignment horizontal="center"/>
    </xf>
    <xf numFmtId="10" fontId="13" fillId="4" borderId="22" xfId="0" applyNumberFormat="1" applyFont="1" applyFill="1" applyBorder="1" applyAlignment="1">
      <alignment horizontal="center"/>
    </xf>
    <xf numFmtId="10" fontId="13" fillId="5" borderId="23" xfId="0" applyNumberFormat="1" applyFont="1" applyFill="1" applyBorder="1" applyAlignment="1">
      <alignment horizontal="center"/>
    </xf>
    <xf numFmtId="4" fontId="12" fillId="4" borderId="32" xfId="5" applyNumberFormat="1" applyFont="1" applyFill="1" applyBorder="1" applyAlignment="1" applyProtection="1">
      <alignment horizontal="center" vertical="center"/>
    </xf>
    <xf numFmtId="4" fontId="12" fillId="4" borderId="8" xfId="5" applyNumberFormat="1" applyFont="1" applyFill="1" applyBorder="1" applyAlignment="1" applyProtection="1">
      <alignment horizontal="center" vertical="center"/>
    </xf>
    <xf numFmtId="10" fontId="12" fillId="5" borderId="8" xfId="7" applyNumberFormat="1" applyFont="1" applyFill="1" applyBorder="1" applyAlignment="1">
      <alignment horizontal="center" vertical="center"/>
    </xf>
    <xf numFmtId="10" fontId="13" fillId="5" borderId="8" xfId="0" applyNumberFormat="1" applyFont="1" applyFill="1" applyBorder="1" applyAlignment="1">
      <alignment horizontal="center"/>
    </xf>
    <xf numFmtId="10" fontId="13" fillId="4" borderId="26" xfId="0" applyNumberFormat="1" applyFont="1" applyFill="1" applyBorder="1" applyAlignment="1">
      <alignment horizontal="center"/>
    </xf>
    <xf numFmtId="4" fontId="12" fillId="4" borderId="41" xfId="5" applyNumberFormat="1" applyFont="1" applyFill="1" applyBorder="1" applyAlignment="1" applyProtection="1">
      <alignment horizontal="center" vertical="center"/>
    </xf>
    <xf numFmtId="4" fontId="12" fillId="4" borderId="24" xfId="5" applyNumberFormat="1" applyFont="1" applyFill="1" applyBorder="1" applyAlignment="1" applyProtection="1">
      <alignment horizontal="center" vertical="center"/>
    </xf>
    <xf numFmtId="10" fontId="12" fillId="5" borderId="24" xfId="7" applyNumberFormat="1" applyFont="1" applyFill="1" applyBorder="1" applyAlignment="1">
      <alignment horizontal="center" vertical="center"/>
    </xf>
    <xf numFmtId="10" fontId="13" fillId="5" borderId="24" xfId="0" applyNumberFormat="1" applyFont="1" applyFill="1" applyBorder="1" applyAlignment="1">
      <alignment horizontal="center"/>
    </xf>
    <xf numFmtId="10" fontId="15" fillId="4" borderId="4" xfId="0" applyNumberFormat="1" applyFont="1" applyFill="1" applyBorder="1"/>
    <xf numFmtId="4" fontId="15" fillId="4" borderId="13" xfId="1" applyNumberFormat="1" applyFont="1" applyFill="1" applyBorder="1" applyAlignment="1">
      <alignment horizontal="center"/>
    </xf>
    <xf numFmtId="4" fontId="15" fillId="4" borderId="14" xfId="1" applyNumberFormat="1" applyFont="1" applyFill="1" applyBorder="1" applyAlignment="1">
      <alignment horizontal="center"/>
    </xf>
    <xf numFmtId="10" fontId="15" fillId="4" borderId="15" xfId="0" applyNumberFormat="1" applyFont="1" applyFill="1" applyBorder="1" applyAlignment="1">
      <alignment horizontal="center"/>
    </xf>
    <xf numFmtId="10" fontId="15" fillId="5" borderId="13" xfId="1" applyNumberFormat="1" applyFont="1" applyFill="1" applyBorder="1" applyAlignment="1">
      <alignment horizontal="center"/>
    </xf>
    <xf numFmtId="10" fontId="15" fillId="5" borderId="14" xfId="1" applyNumberFormat="1" applyFont="1" applyFill="1" applyBorder="1" applyAlignment="1">
      <alignment horizontal="center"/>
    </xf>
    <xf numFmtId="10" fontId="15" fillId="5" borderId="16" xfId="0" applyNumberFormat="1" applyFont="1" applyFill="1" applyBorder="1" applyAlignment="1">
      <alignment horizontal="center"/>
    </xf>
    <xf numFmtId="0" fontId="18" fillId="0" borderId="0" xfId="0" applyFont="1"/>
    <xf numFmtId="0" fontId="19" fillId="0" borderId="0" xfId="0" applyFont="1" applyAlignment="1">
      <alignment vertical="center"/>
    </xf>
    <xf numFmtId="17" fontId="18" fillId="0" borderId="5" xfId="0" applyNumberFormat="1" applyFont="1" applyBorder="1" applyAlignment="1">
      <alignment horizontal="left"/>
    </xf>
    <xf numFmtId="0" fontId="20" fillId="0" borderId="42" xfId="0" applyFont="1" applyBorder="1" applyAlignment="1">
      <alignment horizontal="center" vertical="center"/>
    </xf>
    <xf numFmtId="0" fontId="20" fillId="0" borderId="43" xfId="0" applyFont="1" applyBorder="1" applyAlignment="1">
      <alignment horizontal="center" vertical="center" wrapText="1"/>
    </xf>
    <xf numFmtId="0" fontId="20" fillId="0" borderId="44" xfId="0" applyFont="1" applyBorder="1" applyAlignment="1">
      <alignment vertical="center"/>
    </xf>
    <xf numFmtId="3" fontId="21" fillId="0" borderId="8" xfId="0" applyNumberFormat="1" applyFont="1" applyBorder="1" applyAlignment="1" applyProtection="1">
      <alignment horizontal="center"/>
      <protection locked="0"/>
    </xf>
    <xf numFmtId="3" fontId="0" fillId="0" borderId="7" xfId="0" applyNumberFormat="1" applyBorder="1" applyAlignment="1">
      <alignment horizontal="center"/>
    </xf>
    <xf numFmtId="16" fontId="0" fillId="0" borderId="0" xfId="0" applyNumberFormat="1"/>
    <xf numFmtId="0" fontId="0" fillId="0" borderId="0" xfId="0" applyAlignment="1">
      <alignment vertical="center"/>
    </xf>
    <xf numFmtId="0" fontId="24" fillId="6" borderId="1" xfId="0" applyFont="1" applyFill="1" applyBorder="1" applyAlignment="1">
      <alignment vertical="center"/>
    </xf>
    <xf numFmtId="0" fontId="24" fillId="0" borderId="1" xfId="0" applyFont="1" applyBorder="1" applyAlignment="1">
      <alignment vertical="center"/>
    </xf>
    <xf numFmtId="0" fontId="26" fillId="0" borderId="0" xfId="0" applyFont="1"/>
    <xf numFmtId="0" fontId="6" fillId="7" borderId="8" xfId="0" applyFont="1" applyFill="1" applyBorder="1" applyAlignment="1">
      <alignment horizontal="center" vertical="center" wrapText="1"/>
    </xf>
    <xf numFmtId="0" fontId="6" fillId="7" borderId="8" xfId="0" applyFont="1" applyFill="1" applyBorder="1" applyAlignment="1">
      <alignment horizontal="center" vertical="center"/>
    </xf>
    <xf numFmtId="0" fontId="6" fillId="8" borderId="8" xfId="0" applyFont="1" applyFill="1" applyBorder="1" applyAlignment="1">
      <alignment horizontal="center" vertical="center"/>
    </xf>
    <xf numFmtId="16" fontId="21" fillId="9" borderId="8" xfId="9" applyNumberFormat="1" applyFill="1" applyBorder="1" applyAlignment="1">
      <alignment horizontal="left"/>
    </xf>
    <xf numFmtId="43" fontId="0" fillId="0" borderId="8" xfId="1" applyFont="1" applyBorder="1" applyAlignment="1">
      <alignment horizontal="center"/>
    </xf>
    <xf numFmtId="43" fontId="0" fillId="8" borderId="8" xfId="1" applyFont="1" applyFill="1" applyBorder="1" applyAlignment="1">
      <alignment horizontal="center"/>
    </xf>
    <xf numFmtId="16" fontId="0" fillId="10" borderId="8" xfId="0" applyNumberFormat="1" applyFill="1" applyBorder="1" applyAlignment="1">
      <alignment horizontal="center" wrapText="1"/>
    </xf>
    <xf numFmtId="0" fontId="0" fillId="0" borderId="8" xfId="1" applyNumberFormat="1" applyFont="1" applyBorder="1" applyAlignment="1">
      <alignment horizontal="center"/>
    </xf>
    <xf numFmtId="43" fontId="27" fillId="0" borderId="8" xfId="1" applyFont="1" applyFill="1" applyBorder="1" applyProtection="1">
      <protection locked="0"/>
    </xf>
    <xf numFmtId="43" fontId="0" fillId="8" borderId="8" xfId="1" applyFont="1" applyFill="1" applyBorder="1"/>
    <xf numFmtId="43" fontId="0" fillId="0" borderId="0" xfId="0" applyNumberFormat="1"/>
    <xf numFmtId="43" fontId="6" fillId="0" borderId="8" xfId="0" applyNumberFormat="1" applyFont="1" applyBorder="1" applyAlignment="1">
      <alignment horizontal="center"/>
    </xf>
    <xf numFmtId="43" fontId="0" fillId="8" borderId="8" xfId="0" applyNumberFormat="1" applyFill="1" applyBorder="1" applyAlignment="1">
      <alignment horizontal="center"/>
    </xf>
    <xf numFmtId="16" fontId="21" fillId="6" borderId="8" xfId="9" applyNumberFormat="1" applyFill="1" applyBorder="1" applyAlignment="1">
      <alignment horizontal="left"/>
    </xf>
    <xf numFmtId="43" fontId="0" fillId="6" borderId="8" xfId="0" applyNumberFormat="1" applyFill="1" applyBorder="1" applyAlignment="1">
      <alignment horizontal="center"/>
    </xf>
    <xf numFmtId="0" fontId="0" fillId="6" borderId="8" xfId="0" applyFill="1" applyBorder="1"/>
    <xf numFmtId="16" fontId="0" fillId="6" borderId="8" xfId="0" applyNumberFormat="1" applyFill="1" applyBorder="1" applyAlignment="1">
      <alignment horizontal="center"/>
    </xf>
    <xf numFmtId="43" fontId="28" fillId="0" borderId="8" xfId="0" applyNumberFormat="1" applyFont="1" applyBorder="1" applyAlignment="1">
      <alignment horizontal="center"/>
    </xf>
    <xf numFmtId="0" fontId="0" fillId="0" borderId="8" xfId="0" applyBorder="1"/>
    <xf numFmtId="16" fontId="0" fillId="0" borderId="0" xfId="0" applyNumberFormat="1" applyAlignment="1">
      <alignment horizontal="center"/>
    </xf>
    <xf numFmtId="1" fontId="22" fillId="0" borderId="1" xfId="9" applyNumberFormat="1" applyFont="1" applyBorder="1" applyAlignment="1" applyProtection="1">
      <alignment vertical="center"/>
      <protection locked="0"/>
    </xf>
    <xf numFmtId="1" fontId="22" fillId="0" borderId="47" xfId="9" applyNumberFormat="1" applyFont="1" applyBorder="1" applyAlignment="1" applyProtection="1">
      <alignment vertical="center"/>
      <protection locked="0"/>
    </xf>
    <xf numFmtId="17" fontId="23" fillId="0" borderId="0" xfId="9" applyNumberFormat="1" applyFont="1" applyProtection="1">
      <protection locked="0"/>
    </xf>
    <xf numFmtId="0" fontId="24" fillId="6" borderId="47" xfId="0" applyFont="1" applyFill="1" applyBorder="1" applyAlignment="1">
      <alignment vertical="center"/>
    </xf>
    <xf numFmtId="0" fontId="24" fillId="6" borderId="0" xfId="0" applyFont="1" applyFill="1" applyAlignment="1">
      <alignment vertical="center"/>
    </xf>
    <xf numFmtId="0" fontId="25" fillId="0" borderId="0" xfId="0" applyFont="1"/>
    <xf numFmtId="16" fontId="0" fillId="0" borderId="48" xfId="0" applyNumberFormat="1" applyBorder="1" applyAlignment="1">
      <alignment horizontal="center" vertical="center"/>
    </xf>
    <xf numFmtId="14" fontId="0" fillId="0" borderId="8" xfId="0" applyNumberFormat="1" applyBorder="1" applyAlignment="1">
      <alignment horizontal="center"/>
    </xf>
    <xf numFmtId="16" fontId="0" fillId="10" borderId="8" xfId="0" applyNumberFormat="1" applyFill="1" applyBorder="1" applyAlignment="1">
      <alignment vertical="center" wrapText="1"/>
    </xf>
    <xf numFmtId="43" fontId="0" fillId="0" borderId="8" xfId="0" applyNumberFormat="1" applyBorder="1" applyAlignment="1">
      <alignment horizontal="center"/>
    </xf>
    <xf numFmtId="0" fontId="0" fillId="0" borderId="8" xfId="0" applyBorder="1" applyAlignment="1">
      <alignment horizontal="center" wrapText="1"/>
    </xf>
    <xf numFmtId="16" fontId="0" fillId="10" borderId="8" xfId="0" applyNumberFormat="1" applyFill="1" applyBorder="1" applyAlignment="1">
      <alignment horizontal="right" vertical="center" wrapText="1"/>
    </xf>
    <xf numFmtId="0" fontId="20" fillId="0" borderId="8" xfId="0" applyFont="1" applyBorder="1" applyAlignment="1">
      <alignment horizontal="center" wrapText="1"/>
    </xf>
    <xf numFmtId="16" fontId="0" fillId="10" borderId="8" xfId="0" applyNumberFormat="1" applyFill="1" applyBorder="1" applyAlignment="1">
      <alignment horizontal="center" vertical="center" wrapText="1"/>
    </xf>
    <xf numFmtId="43" fontId="29" fillId="0" borderId="0" xfId="1" applyFont="1"/>
    <xf numFmtId="9" fontId="29" fillId="0" borderId="0" xfId="2" applyFont="1"/>
    <xf numFmtId="41" fontId="29" fillId="0" borderId="0" xfId="1" applyNumberFormat="1" applyFont="1"/>
    <xf numFmtId="43" fontId="30" fillId="0" borderId="0" xfId="1" applyFont="1"/>
    <xf numFmtId="9" fontId="29" fillId="0" borderId="0" xfId="1" applyNumberFormat="1" applyFont="1"/>
    <xf numFmtId="9" fontId="29" fillId="0" borderId="0" xfId="0" applyNumberFormat="1" applyFont="1"/>
    <xf numFmtId="9" fontId="29" fillId="0" borderId="0" xfId="0" applyNumberFormat="1" applyFont="1" applyAlignment="1">
      <alignment horizontal="center"/>
    </xf>
    <xf numFmtId="4" fontId="0" fillId="0" borderId="0" xfId="0" applyNumberFormat="1"/>
    <xf numFmtId="0" fontId="33" fillId="0" borderId="0" xfId="7" applyFont="1" applyProtection="1">
      <protection locked="0"/>
    </xf>
    <xf numFmtId="0" fontId="33" fillId="0" borderId="0" xfId="0" applyFont="1" applyProtection="1">
      <protection locked="0"/>
    </xf>
    <xf numFmtId="0" fontId="34" fillId="0" borderId="0" xfId="0" applyFont="1" applyProtection="1">
      <protection locked="0"/>
    </xf>
    <xf numFmtId="0" fontId="35" fillId="0" borderId="0" xfId="0" applyFont="1" applyProtection="1">
      <protection locked="0"/>
    </xf>
    <xf numFmtId="0" fontId="36" fillId="0" borderId="0" xfId="0" applyFont="1" applyProtection="1">
      <protection locked="0"/>
    </xf>
    <xf numFmtId="0" fontId="37" fillId="0" borderId="0" xfId="0" applyFont="1" applyProtection="1">
      <protection locked="0"/>
    </xf>
    <xf numFmtId="0" fontId="38" fillId="0" borderId="0" xfId="0" applyFont="1" applyProtection="1">
      <protection locked="0"/>
    </xf>
    <xf numFmtId="0" fontId="36" fillId="15" borderId="0" xfId="7" applyFont="1" applyFill="1" applyProtection="1">
      <protection locked="0"/>
    </xf>
    <xf numFmtId="0" fontId="36" fillId="0" borderId="0" xfId="7" applyFont="1"/>
    <xf numFmtId="0" fontId="36" fillId="0" borderId="0" xfId="7" applyFont="1" applyProtection="1">
      <protection locked="0"/>
    </xf>
    <xf numFmtId="0" fontId="39" fillId="0" borderId="0" xfId="7" applyFont="1" applyProtection="1">
      <protection locked="0"/>
    </xf>
    <xf numFmtId="0" fontId="40" fillId="0" borderId="0" xfId="7" applyFont="1" applyAlignment="1" applyProtection="1">
      <alignment vertical="center"/>
      <protection locked="0"/>
    </xf>
    <xf numFmtId="0" fontId="36" fillId="0" borderId="0" xfId="7" applyFont="1" applyAlignment="1" applyProtection="1">
      <alignment vertical="center"/>
      <protection locked="0"/>
    </xf>
    <xf numFmtId="0" fontId="41" fillId="0" borderId="0" xfId="7" applyFont="1" applyProtection="1">
      <protection locked="0"/>
    </xf>
    <xf numFmtId="0" fontId="33" fillId="0" borderId="0" xfId="7" applyFont="1" applyAlignment="1" applyProtection="1">
      <alignment vertical="center"/>
      <protection locked="0"/>
    </xf>
    <xf numFmtId="0" fontId="36" fillId="0" borderId="0" xfId="7" applyFont="1" applyAlignment="1" applyProtection="1">
      <alignment vertical="justify"/>
      <protection locked="0"/>
    </xf>
    <xf numFmtId="43" fontId="0" fillId="0" borderId="19" xfId="5" applyFont="1" applyBorder="1" applyAlignment="1" applyProtection="1">
      <alignment vertical="center"/>
      <protection locked="0"/>
    </xf>
    <xf numFmtId="40" fontId="45" fillId="0" borderId="8" xfId="5" applyNumberFormat="1" applyFont="1" applyBorder="1" applyAlignment="1" applyProtection="1">
      <alignment vertical="center"/>
    </xf>
    <xf numFmtId="40" fontId="46" fillId="0" borderId="8" xfId="5" applyNumberFormat="1" applyFont="1" applyBorder="1" applyAlignment="1" applyProtection="1">
      <alignment vertical="center"/>
    </xf>
    <xf numFmtId="40" fontId="35" fillId="18" borderId="8" xfId="5" applyNumberFormat="1" applyFont="1" applyFill="1" applyBorder="1" applyAlignment="1" applyProtection="1">
      <alignment vertical="center"/>
      <protection locked="0"/>
    </xf>
    <xf numFmtId="9" fontId="46" fillId="0" borderId="8" xfId="10" applyFont="1" applyBorder="1" applyAlignment="1" applyProtection="1">
      <alignment vertical="center"/>
    </xf>
    <xf numFmtId="0" fontId="35" fillId="0" borderId="0" xfId="7" applyFont="1" applyProtection="1">
      <protection locked="0"/>
    </xf>
    <xf numFmtId="4" fontId="46" fillId="0" borderId="14" xfId="10" applyNumberFormat="1" applyFont="1" applyBorder="1" applyAlignment="1" applyProtection="1">
      <alignment vertical="center"/>
      <protection locked="0"/>
    </xf>
    <xf numFmtId="0" fontId="44" fillId="19" borderId="43" xfId="7" applyFont="1" applyFill="1" applyBorder="1" applyAlignment="1" applyProtection="1">
      <alignment horizontal="center" vertical="center" wrapText="1"/>
      <protection locked="0"/>
    </xf>
    <xf numFmtId="0" fontId="36" fillId="0" borderId="39" xfId="7" applyFont="1" applyBorder="1" applyAlignment="1" applyProtection="1">
      <alignment horizontal="center"/>
      <protection locked="0"/>
    </xf>
    <xf numFmtId="43" fontId="49" fillId="0" borderId="8" xfId="1" applyFont="1" applyBorder="1" applyProtection="1">
      <protection locked="0"/>
    </xf>
    <xf numFmtId="9" fontId="36" fillId="0" borderId="7" xfId="10" applyFont="1" applyBorder="1" applyAlignment="1" applyProtection="1">
      <alignment horizontal="center"/>
    </xf>
    <xf numFmtId="0" fontId="36" fillId="0" borderId="92" xfId="7" applyFont="1" applyBorder="1" applyAlignment="1" applyProtection="1">
      <alignment horizontal="center"/>
      <protection locked="0"/>
    </xf>
    <xf numFmtId="9" fontId="36" fillId="0" borderId="8" xfId="10" applyFont="1" applyBorder="1" applyAlignment="1" applyProtection="1">
      <alignment horizontal="center"/>
    </xf>
    <xf numFmtId="0" fontId="36" fillId="0" borderId="0" xfId="8" applyFont="1" applyProtection="1">
      <protection locked="0"/>
    </xf>
    <xf numFmtId="0" fontId="36" fillId="0" borderId="92" xfId="8" applyFont="1" applyBorder="1" applyAlignment="1" applyProtection="1">
      <alignment horizontal="center"/>
      <protection locked="0"/>
    </xf>
    <xf numFmtId="43" fontId="21" fillId="0" borderId="8" xfId="0" applyNumberFormat="1" applyFont="1" applyBorder="1" applyAlignment="1" applyProtection="1">
      <alignment horizontal="center"/>
      <protection locked="0"/>
    </xf>
    <xf numFmtId="9" fontId="36" fillId="0" borderId="8" xfId="11" applyFont="1" applyBorder="1" applyAlignment="1" applyProtection="1">
      <alignment horizontal="center"/>
    </xf>
    <xf numFmtId="43" fontId="36" fillId="0" borderId="7" xfId="7" applyNumberFormat="1" applyFont="1" applyBorder="1" applyAlignment="1" applyProtection="1">
      <alignment horizontal="center"/>
      <protection locked="0"/>
    </xf>
    <xf numFmtId="9" fontId="36" fillId="0" borderId="48" xfId="10" applyFont="1" applyBorder="1" applyAlignment="1" applyProtection="1">
      <alignment horizontal="center"/>
    </xf>
    <xf numFmtId="0" fontId="37" fillId="0" borderId="0" xfId="7" applyFont="1"/>
    <xf numFmtId="4" fontId="50" fillId="14" borderId="43" xfId="7" applyNumberFormat="1" applyFont="1" applyFill="1" applyBorder="1"/>
    <xf numFmtId="9" fontId="50" fillId="14" borderId="43" xfId="10" applyFont="1" applyFill="1" applyBorder="1" applyAlignment="1" applyProtection="1">
      <alignment horizontal="center"/>
    </xf>
    <xf numFmtId="0" fontId="36" fillId="16" borderId="0" xfId="7" applyFont="1" applyFill="1" applyAlignment="1" applyProtection="1">
      <alignment vertical="justify"/>
      <protection locked="0"/>
    </xf>
    <xf numFmtId="0" fontId="36" fillId="0" borderId="0" xfId="7" applyFont="1" applyAlignment="1" applyProtection="1">
      <alignment vertical="top"/>
      <protection locked="0"/>
    </xf>
    <xf numFmtId="0" fontId="33" fillId="0" borderId="0" xfId="7" applyFont="1" applyAlignment="1" applyProtection="1">
      <alignment vertical="justify"/>
      <protection locked="0"/>
    </xf>
    <xf numFmtId="0" fontId="51" fillId="12" borderId="18" xfId="7" applyFont="1" applyFill="1" applyBorder="1" applyAlignment="1" applyProtection="1">
      <alignment horizontal="center" vertical="center" wrapText="1"/>
      <protection locked="0"/>
    </xf>
    <xf numFmtId="0" fontId="51" fillId="12" borderId="19" xfId="7" applyFont="1" applyFill="1" applyBorder="1" applyAlignment="1" applyProtection="1">
      <alignment horizontal="center" vertical="center" wrapText="1"/>
      <protection locked="0"/>
    </xf>
    <xf numFmtId="0" fontId="36" fillId="0" borderId="92" xfId="7" applyFont="1" applyBorder="1" applyAlignment="1" applyProtection="1">
      <alignment vertical="center" wrapText="1"/>
      <protection locked="0"/>
    </xf>
    <xf numFmtId="37" fontId="35" fillId="0" borderId="8" xfId="5" applyNumberFormat="1" applyFont="1" applyFill="1" applyBorder="1" applyAlignment="1" applyProtection="1">
      <alignment horizontal="right" vertical="center"/>
    </xf>
    <xf numFmtId="43" fontId="46" fillId="0" borderId="8" xfId="5" applyFont="1" applyBorder="1" applyAlignment="1" applyProtection="1">
      <alignment horizontal="right" vertical="center"/>
    </xf>
    <xf numFmtId="16" fontId="34" fillId="0" borderId="0" xfId="7" applyNumberFormat="1" applyFont="1" applyAlignment="1" applyProtection="1">
      <alignment horizontal="center"/>
      <protection locked="0"/>
    </xf>
    <xf numFmtId="0" fontId="36" fillId="0" borderId="92" xfId="7" applyFont="1" applyBorder="1" applyAlignment="1" applyProtection="1">
      <alignment horizontal="left" vertical="center" wrapText="1"/>
      <protection locked="0"/>
    </xf>
    <xf numFmtId="10" fontId="35" fillId="0" borderId="8" xfId="7" applyNumberFormat="1" applyFont="1" applyBorder="1" applyAlignment="1">
      <alignment horizontal="right" vertical="center"/>
    </xf>
    <xf numFmtId="0" fontId="36" fillId="0" borderId="92" xfId="7" applyFont="1" applyBorder="1" applyAlignment="1" applyProtection="1">
      <alignment vertical="justify"/>
      <protection locked="0"/>
    </xf>
    <xf numFmtId="3" fontId="35" fillId="0" borderId="8" xfId="7" applyNumberFormat="1" applyFont="1" applyBorder="1" applyAlignment="1">
      <alignment horizontal="right" vertical="center"/>
    </xf>
    <xf numFmtId="0" fontId="55" fillId="15" borderId="23" xfId="7" applyFont="1" applyFill="1" applyBorder="1" applyAlignment="1" applyProtection="1">
      <alignment vertical="center"/>
      <protection locked="0"/>
    </xf>
    <xf numFmtId="43" fontId="0" fillId="0" borderId="0" xfId="0" applyNumberFormat="1" applyProtection="1">
      <protection locked="0"/>
    </xf>
    <xf numFmtId="0" fontId="0" fillId="0" borderId="0" xfId="0" applyAlignment="1" applyProtection="1">
      <alignment horizontal="center"/>
      <protection locked="0"/>
    </xf>
    <xf numFmtId="0" fontId="36" fillId="0" borderId="41" xfId="7" applyFont="1" applyBorder="1" applyProtection="1">
      <protection locked="0"/>
    </xf>
    <xf numFmtId="4" fontId="35" fillId="0" borderId="24" xfId="7" applyNumberFormat="1" applyFont="1" applyBorder="1" applyAlignment="1">
      <alignment horizontal="right" vertical="center"/>
    </xf>
    <xf numFmtId="0" fontId="35" fillId="0" borderId="0" xfId="7" applyFont="1" applyAlignment="1" applyProtection="1">
      <alignment vertical="justify"/>
      <protection locked="0"/>
    </xf>
    <xf numFmtId="43" fontId="36" fillId="0" borderId="7" xfId="7" applyNumberFormat="1" applyFont="1" applyBorder="1"/>
    <xf numFmtId="43" fontId="36" fillId="20" borderId="7" xfId="5" applyFont="1" applyFill="1" applyBorder="1" applyAlignment="1" applyProtection="1">
      <alignment vertical="justify"/>
    </xf>
    <xf numFmtId="43" fontId="56" fillId="0" borderId="7" xfId="7" applyNumberFormat="1" applyFont="1" applyBorder="1" applyAlignment="1">
      <alignment vertical="justify"/>
    </xf>
    <xf numFmtId="10" fontId="36" fillId="0" borderId="7" xfId="10" applyNumberFormat="1" applyFont="1" applyBorder="1" applyAlignment="1" applyProtection="1">
      <alignment horizontal="center" vertical="justify"/>
    </xf>
    <xf numFmtId="43" fontId="56" fillId="0" borderId="7" xfId="10" applyNumberFormat="1" applyFont="1" applyBorder="1" applyAlignment="1" applyProtection="1">
      <alignment horizontal="center" vertical="justify"/>
    </xf>
    <xf numFmtId="3" fontId="36" fillId="13" borderId="7" xfId="10" applyNumberFormat="1" applyFont="1" applyFill="1" applyBorder="1" applyAlignment="1" applyProtection="1">
      <alignment horizontal="center" vertical="justify"/>
      <protection locked="0"/>
    </xf>
    <xf numFmtId="43" fontId="36" fillId="0" borderId="8" xfId="7" applyNumberFormat="1" applyFont="1" applyBorder="1"/>
    <xf numFmtId="43" fontId="36" fillId="20" borderId="8" xfId="5" applyFont="1" applyFill="1" applyBorder="1" applyAlignment="1" applyProtection="1">
      <alignment vertical="justify"/>
    </xf>
    <xf numFmtId="43" fontId="36" fillId="0" borderId="8" xfId="7" applyNumberFormat="1" applyFont="1" applyBorder="1" applyAlignment="1">
      <alignment vertical="justify"/>
    </xf>
    <xf numFmtId="10" fontId="36" fillId="0" borderId="8" xfId="10" applyNumberFormat="1" applyFont="1" applyBorder="1" applyAlignment="1" applyProtection="1">
      <alignment horizontal="center" vertical="justify"/>
    </xf>
    <xf numFmtId="43" fontId="36" fillId="0" borderId="8" xfId="10" applyNumberFormat="1" applyFont="1" applyBorder="1" applyAlignment="1" applyProtection="1">
      <alignment horizontal="center" vertical="justify"/>
    </xf>
    <xf numFmtId="43" fontId="36" fillId="0" borderId="8" xfId="8" applyNumberFormat="1" applyFont="1" applyBorder="1"/>
    <xf numFmtId="43" fontId="36" fillId="0" borderId="8" xfId="8" applyNumberFormat="1" applyFont="1" applyBorder="1" applyAlignment="1">
      <alignment vertical="justify"/>
    </xf>
    <xf numFmtId="43" fontId="36" fillId="20" borderId="8" xfId="6" applyFont="1" applyFill="1" applyBorder="1" applyAlignment="1" applyProtection="1">
      <alignment vertical="justify"/>
    </xf>
    <xf numFmtId="10" fontId="36" fillId="0" borderId="8" xfId="11" applyNumberFormat="1" applyFont="1" applyBorder="1" applyAlignment="1" applyProtection="1">
      <alignment horizontal="center" vertical="justify"/>
    </xf>
    <xf numFmtId="43" fontId="36" fillId="0" borderId="8" xfId="11" applyNumberFormat="1" applyFont="1" applyBorder="1" applyAlignment="1" applyProtection="1">
      <alignment horizontal="center" vertical="justify"/>
    </xf>
    <xf numFmtId="43" fontId="36" fillId="0" borderId="48" xfId="7" applyNumberFormat="1" applyFont="1" applyBorder="1"/>
    <xf numFmtId="43" fontId="36" fillId="20" borderId="48" xfId="6" applyFont="1" applyFill="1" applyBorder="1" applyAlignment="1" applyProtection="1">
      <alignment vertical="justify"/>
    </xf>
    <xf numFmtId="43" fontId="36" fillId="0" borderId="48" xfId="7" applyNumberFormat="1" applyFont="1" applyBorder="1" applyAlignment="1">
      <alignment vertical="justify"/>
    </xf>
    <xf numFmtId="10" fontId="36" fillId="0" borderId="48" xfId="10" applyNumberFormat="1" applyFont="1" applyBorder="1" applyAlignment="1" applyProtection="1">
      <alignment horizontal="center" vertical="justify"/>
    </xf>
    <xf numFmtId="43" fontId="36" fillId="0" borderId="48" xfId="10" applyNumberFormat="1" applyFont="1" applyBorder="1" applyAlignment="1" applyProtection="1">
      <alignment horizontal="center" vertical="justify"/>
    </xf>
    <xf numFmtId="43" fontId="50" fillId="14" borderId="43" xfId="7" applyNumberFormat="1" applyFont="1" applyFill="1" applyBorder="1"/>
    <xf numFmtId="43" fontId="50" fillId="14" borderId="43" xfId="5" applyFont="1" applyFill="1" applyBorder="1" applyAlignment="1" applyProtection="1"/>
    <xf numFmtId="10" fontId="50" fillId="14" borderId="43" xfId="10" applyNumberFormat="1" applyFont="1" applyFill="1" applyBorder="1" applyAlignment="1" applyProtection="1">
      <alignment horizontal="center"/>
    </xf>
    <xf numFmtId="43" fontId="50" fillId="14" borderId="43" xfId="10" applyNumberFormat="1" applyFont="1" applyFill="1" applyBorder="1" applyAlignment="1" applyProtection="1">
      <alignment horizontal="center"/>
    </xf>
    <xf numFmtId="3" fontId="50" fillId="14" borderId="43" xfId="10" applyNumberFormat="1" applyFont="1" applyFill="1" applyBorder="1" applyAlignment="1" applyProtection="1">
      <alignment horizontal="center"/>
    </xf>
    <xf numFmtId="39" fontId="50" fillId="14" borderId="43" xfId="5" applyNumberFormat="1" applyFont="1" applyFill="1" applyBorder="1" applyAlignment="1" applyProtection="1"/>
    <xf numFmtId="9" fontId="36" fillId="0" borderId="0" xfId="10" applyFont="1" applyAlignment="1" applyProtection="1">
      <alignment vertical="justify"/>
      <protection locked="0"/>
    </xf>
    <xf numFmtId="0" fontId="51" fillId="12" borderId="21" xfId="7" applyFont="1" applyFill="1" applyBorder="1" applyAlignment="1" applyProtection="1">
      <alignment horizontal="center" vertical="center" wrapText="1"/>
      <protection locked="0"/>
    </xf>
    <xf numFmtId="0" fontId="51" fillId="0" borderId="0" xfId="7" applyFont="1" applyAlignment="1" applyProtection="1">
      <alignment horizontal="center" vertical="center" wrapText="1"/>
      <protection locked="0"/>
    </xf>
    <xf numFmtId="0" fontId="51" fillId="12" borderId="18" xfId="7" applyFont="1" applyFill="1" applyBorder="1" applyAlignment="1">
      <alignment horizontal="center" vertical="center" wrapText="1"/>
    </xf>
    <xf numFmtId="0" fontId="51" fillId="12" borderId="19" xfId="7" applyFont="1" applyFill="1" applyBorder="1" applyAlignment="1">
      <alignment horizontal="center" vertical="center" wrapText="1"/>
    </xf>
    <xf numFmtId="0" fontId="51" fillId="12" borderId="21" xfId="7" applyFont="1" applyFill="1" applyBorder="1" applyAlignment="1">
      <alignment horizontal="center" vertical="center" wrapText="1"/>
    </xf>
    <xf numFmtId="10" fontId="45" fillId="0" borderId="23" xfId="10" applyNumberFormat="1" applyFont="1" applyBorder="1" applyAlignment="1" applyProtection="1">
      <alignment horizontal="center" vertical="center"/>
    </xf>
    <xf numFmtId="9" fontId="45" fillId="0" borderId="0" xfId="10" applyFont="1" applyFill="1" applyBorder="1" applyAlignment="1" applyProtection="1">
      <alignment horizontal="center" vertical="center"/>
    </xf>
    <xf numFmtId="0" fontId="36" fillId="0" borderId="92" xfId="7" applyFont="1" applyBorder="1" applyAlignment="1">
      <alignment vertical="center" wrapText="1"/>
    </xf>
    <xf numFmtId="10" fontId="46" fillId="0" borderId="8" xfId="2" applyNumberFormat="1" applyFont="1" applyBorder="1" applyAlignment="1" applyProtection="1">
      <alignment horizontal="right" vertical="center"/>
    </xf>
    <xf numFmtId="0" fontId="36" fillId="0" borderId="13" xfId="7" applyFont="1" applyBorder="1" applyAlignment="1">
      <alignment vertical="center" wrapText="1"/>
    </xf>
    <xf numFmtId="37" fontId="35" fillId="0" borderId="14" xfId="5" applyNumberFormat="1" applyFont="1" applyFill="1" applyBorder="1" applyAlignment="1" applyProtection="1">
      <alignment horizontal="right" vertical="center"/>
    </xf>
    <xf numFmtId="10" fontId="45" fillId="0" borderId="16" xfId="10" applyNumberFormat="1" applyFont="1" applyBorder="1" applyAlignment="1" applyProtection="1">
      <alignment horizontal="center" vertical="center"/>
    </xf>
    <xf numFmtId="10" fontId="45" fillId="0" borderId="26" xfId="10" applyNumberFormat="1" applyFont="1" applyBorder="1" applyAlignment="1" applyProtection="1">
      <alignment horizontal="center" vertical="center"/>
    </xf>
    <xf numFmtId="0" fontId="44" fillId="19" borderId="44" xfId="7" applyFont="1" applyFill="1" applyBorder="1" applyAlignment="1" applyProtection="1">
      <alignment horizontal="center" vertical="center" wrapText="1"/>
      <protection locked="0"/>
    </xf>
    <xf numFmtId="0" fontId="44" fillId="0" borderId="0" xfId="7" applyFont="1" applyAlignment="1" applyProtection="1">
      <alignment horizontal="center" vertical="center" wrapText="1"/>
      <protection locked="0"/>
    </xf>
    <xf numFmtId="0" fontId="44" fillId="21" borderId="39" xfId="7" applyFont="1" applyFill="1" applyBorder="1" applyAlignment="1" applyProtection="1">
      <alignment horizontal="center" vertical="center" wrapText="1"/>
      <protection locked="0"/>
    </xf>
    <xf numFmtId="0" fontId="44" fillId="21" borderId="7" xfId="7" applyFont="1" applyFill="1" applyBorder="1" applyAlignment="1" applyProtection="1">
      <alignment horizontal="center" vertical="center" wrapText="1"/>
      <protection locked="0"/>
    </xf>
    <xf numFmtId="0" fontId="44" fillId="21" borderId="40" xfId="7" applyFont="1" applyFill="1" applyBorder="1" applyAlignment="1" applyProtection="1">
      <alignment horizontal="center" vertical="center" wrapText="1"/>
      <protection locked="0"/>
    </xf>
    <xf numFmtId="0" fontId="44" fillId="21" borderId="18" xfId="7" applyFont="1" applyFill="1" applyBorder="1" applyAlignment="1" applyProtection="1">
      <alignment horizontal="center" vertical="center" wrapText="1"/>
      <protection locked="0"/>
    </xf>
    <xf numFmtId="10" fontId="36" fillId="0" borderId="40" xfId="10" applyNumberFormat="1" applyFont="1" applyBorder="1" applyProtection="1"/>
    <xf numFmtId="9" fontId="36" fillId="0" borderId="0" xfId="10" applyFont="1" applyFill="1" applyBorder="1" applyProtection="1"/>
    <xf numFmtId="43" fontId="36" fillId="0" borderId="92" xfId="1" applyFont="1" applyFill="1" applyBorder="1" applyProtection="1">
      <protection locked="0"/>
    </xf>
    <xf numFmtId="10" fontId="36" fillId="0" borderId="8" xfId="2" applyNumberFormat="1" applyFont="1" applyBorder="1" applyAlignment="1" applyProtection="1">
      <alignment horizontal="center"/>
    </xf>
    <xf numFmtId="43" fontId="36" fillId="0" borderId="92" xfId="1" applyFont="1" applyBorder="1" applyAlignment="1" applyProtection="1">
      <alignment horizontal="center"/>
    </xf>
    <xf numFmtId="10" fontId="36" fillId="0" borderId="23" xfId="10" applyNumberFormat="1" applyFont="1" applyBorder="1" applyProtection="1"/>
    <xf numFmtId="10" fontId="36" fillId="0" borderId="8" xfId="10" applyNumberFormat="1" applyFont="1" applyBorder="1" applyAlignment="1" applyProtection="1">
      <alignment horizontal="center"/>
    </xf>
    <xf numFmtId="10" fontId="36" fillId="0" borderId="23" xfId="11" applyNumberFormat="1" applyFont="1" applyBorder="1" applyProtection="1"/>
    <xf numFmtId="9" fontId="36" fillId="0" borderId="0" xfId="11" applyFont="1" applyFill="1" applyBorder="1" applyProtection="1"/>
    <xf numFmtId="10" fontId="36" fillId="0" borderId="8" xfId="11" applyNumberFormat="1" applyFont="1" applyBorder="1" applyAlignment="1" applyProtection="1">
      <alignment horizontal="center"/>
    </xf>
    <xf numFmtId="10" fontId="36" fillId="0" borderId="97" xfId="10" applyNumberFormat="1" applyFont="1" applyBorder="1" applyProtection="1"/>
    <xf numFmtId="9" fontId="36" fillId="0" borderId="24" xfId="10" applyFont="1" applyBorder="1" applyAlignment="1" applyProtection="1">
      <alignment horizontal="center"/>
    </xf>
    <xf numFmtId="10" fontId="50" fillId="14" borderId="44" xfId="10" applyNumberFormat="1" applyFont="1" applyFill="1" applyBorder="1" applyAlignment="1" applyProtection="1"/>
    <xf numFmtId="9" fontId="37" fillId="0" borderId="0" xfId="10" applyFont="1" applyFill="1" applyBorder="1" applyAlignment="1" applyProtection="1"/>
    <xf numFmtId="4" fontId="37" fillId="14" borderId="13" xfId="5" applyNumberFormat="1" applyFont="1" applyFill="1" applyBorder="1" applyAlignment="1" applyProtection="1"/>
    <xf numFmtId="4" fontId="37" fillId="14" borderId="14" xfId="5" applyNumberFormat="1" applyFont="1" applyFill="1" applyBorder="1" applyAlignment="1" applyProtection="1"/>
    <xf numFmtId="9" fontId="37" fillId="14" borderId="14" xfId="10" applyFont="1" applyFill="1" applyBorder="1" applyAlignment="1" applyProtection="1">
      <alignment horizontal="center"/>
    </xf>
    <xf numFmtId="4" fontId="37" fillId="14" borderId="16" xfId="5" applyNumberFormat="1" applyFont="1" applyFill="1" applyBorder="1" applyAlignment="1" applyProtection="1"/>
    <xf numFmtId="165" fontId="36" fillId="0" borderId="0" xfId="7" applyNumberFormat="1" applyFont="1" applyAlignment="1" applyProtection="1">
      <alignment vertical="justify"/>
      <protection locked="0"/>
    </xf>
    <xf numFmtId="0" fontId="56" fillId="0" borderId="0" xfId="7" applyFont="1" applyAlignment="1" applyProtection="1">
      <alignment horizontal="center"/>
      <protection locked="0"/>
    </xf>
    <xf numFmtId="43" fontId="36" fillId="0" borderId="0" xfId="5" applyFont="1" applyFill="1" applyBorder="1"/>
    <xf numFmtId="43" fontId="49" fillId="0" borderId="0" xfId="5" applyFont="1" applyFill="1" applyBorder="1"/>
    <xf numFmtId="0" fontId="57" fillId="0" borderId="0" xfId="7" applyFont="1" applyProtection="1">
      <protection locked="0"/>
    </xf>
    <xf numFmtId="43" fontId="57" fillId="0" borderId="0" xfId="7" applyNumberFormat="1" applyFont="1" applyAlignment="1" applyProtection="1">
      <alignment horizontal="center"/>
      <protection locked="0"/>
    </xf>
    <xf numFmtId="0" fontId="57" fillId="0" borderId="0" xfId="7" applyFont="1" applyAlignment="1" applyProtection="1">
      <alignment horizontal="center"/>
      <protection locked="0"/>
    </xf>
    <xf numFmtId="43" fontId="53" fillId="0" borderId="0" xfId="1" applyFont="1" applyFill="1" applyBorder="1" applyAlignment="1"/>
    <xf numFmtId="10" fontId="48" fillId="0" borderId="0" xfId="0" applyNumberFormat="1" applyFont="1" applyAlignment="1">
      <alignment horizontal="center"/>
    </xf>
    <xf numFmtId="0" fontId="34" fillId="0" borderId="0" xfId="0" applyFont="1"/>
    <xf numFmtId="0" fontId="44" fillId="21" borderId="19" xfId="7" applyFont="1" applyFill="1" applyBorder="1" applyAlignment="1" applyProtection="1">
      <alignment horizontal="center" vertical="center" wrapText="1"/>
      <protection locked="0"/>
    </xf>
    <xf numFmtId="0" fontId="44" fillId="21" borderId="21" xfId="7" applyFont="1" applyFill="1" applyBorder="1" applyAlignment="1" applyProtection="1">
      <alignment horizontal="center" vertical="center" wrapText="1"/>
      <protection locked="0"/>
    </xf>
    <xf numFmtId="10" fontId="36" fillId="0" borderId="8" xfId="2" applyNumberFormat="1" applyFont="1" applyFill="1" applyBorder="1" applyAlignment="1" applyProtection="1">
      <alignment horizontal="center"/>
    </xf>
    <xf numFmtId="9" fontId="36" fillId="0" borderId="0" xfId="2" applyFont="1" applyFill="1" applyBorder="1" applyAlignment="1" applyProtection="1">
      <alignment horizontal="center"/>
    </xf>
    <xf numFmtId="10" fontId="36" fillId="0" borderId="24" xfId="2" applyNumberFormat="1" applyFont="1" applyFill="1" applyBorder="1" applyAlignment="1" applyProtection="1">
      <alignment horizontal="center"/>
    </xf>
    <xf numFmtId="43" fontId="37" fillId="14" borderId="14" xfId="10" applyNumberFormat="1" applyFont="1" applyFill="1" applyBorder="1" applyAlignment="1" applyProtection="1">
      <alignment horizontal="center"/>
    </xf>
    <xf numFmtId="166" fontId="37" fillId="14" borderId="14" xfId="2" applyNumberFormat="1" applyFont="1" applyFill="1" applyBorder="1" applyAlignment="1" applyProtection="1">
      <alignment horizontal="center"/>
    </xf>
    <xf numFmtId="4" fontId="37" fillId="14" borderId="42" xfId="5" applyNumberFormat="1" applyFont="1" applyFill="1" applyBorder="1" applyAlignment="1" applyProtection="1"/>
    <xf numFmtId="10" fontId="37" fillId="14" borderId="44" xfId="2" applyNumberFormat="1" applyFont="1" applyFill="1" applyBorder="1" applyAlignment="1" applyProtection="1">
      <alignment horizontal="center"/>
    </xf>
    <xf numFmtId="9" fontId="37" fillId="0" borderId="0" xfId="2" applyFont="1" applyFill="1" applyBorder="1" applyAlignment="1" applyProtection="1">
      <alignment horizontal="center"/>
    </xf>
    <xf numFmtId="1" fontId="21" fillId="0" borderId="8" xfId="0" applyNumberFormat="1" applyFont="1" applyBorder="1" applyAlignment="1" applyProtection="1">
      <alignment horizontal="center"/>
      <protection locked="0"/>
    </xf>
    <xf numFmtId="167" fontId="37" fillId="14" borderId="42" xfId="5" applyNumberFormat="1" applyFont="1" applyFill="1" applyBorder="1" applyAlignment="1" applyProtection="1"/>
    <xf numFmtId="167" fontId="37" fillId="14" borderId="43" xfId="5" applyNumberFormat="1" applyFont="1" applyFill="1" applyBorder="1" applyAlignment="1" applyProtection="1"/>
    <xf numFmtId="10" fontId="37" fillId="14" borderId="43" xfId="10" applyNumberFormat="1" applyFont="1" applyFill="1" applyBorder="1" applyAlignment="1" applyProtection="1"/>
    <xf numFmtId="0" fontId="55" fillId="0" borderId="0" xfId="7" applyFont="1" applyProtection="1">
      <protection locked="0"/>
    </xf>
    <xf numFmtId="0" fontId="40" fillId="0" borderId="0" xfId="7" applyFont="1" applyAlignment="1" applyProtection="1">
      <alignment horizontal="center"/>
      <protection locked="0"/>
    </xf>
    <xf numFmtId="10" fontId="37" fillId="14" borderId="44" xfId="7" applyNumberFormat="1" applyFont="1" applyFill="1" applyBorder="1"/>
    <xf numFmtId="3" fontId="37" fillId="14" borderId="43" xfId="5" applyNumberFormat="1" applyFont="1" applyFill="1" applyBorder="1" applyAlignment="1" applyProtection="1"/>
    <xf numFmtId="10" fontId="37" fillId="14" borderId="44" xfId="10" applyNumberFormat="1" applyFont="1" applyFill="1" applyBorder="1" applyAlignment="1" applyProtection="1"/>
    <xf numFmtId="3" fontId="37" fillId="14" borderId="10" xfId="5" applyNumberFormat="1" applyFont="1" applyFill="1" applyBorder="1" applyAlignment="1" applyProtection="1"/>
    <xf numFmtId="10" fontId="37" fillId="14" borderId="12" xfId="10" applyNumberFormat="1" applyFont="1" applyFill="1" applyBorder="1" applyAlignment="1" applyProtection="1"/>
    <xf numFmtId="167" fontId="37" fillId="12" borderId="42" xfId="5" applyNumberFormat="1" applyFont="1" applyFill="1" applyBorder="1" applyAlignment="1">
      <alignment vertical="justify"/>
    </xf>
    <xf numFmtId="167" fontId="37" fillId="12" borderId="43" xfId="5" applyNumberFormat="1" applyFont="1" applyFill="1" applyBorder="1" applyAlignment="1">
      <alignment vertical="justify"/>
    </xf>
    <xf numFmtId="9" fontId="37" fillId="12" borderId="43" xfId="10" applyFont="1" applyFill="1" applyBorder="1" applyAlignment="1">
      <alignment vertical="justify"/>
    </xf>
    <xf numFmtId="167" fontId="37" fillId="12" borderId="43" xfId="5" applyNumberFormat="1" applyFont="1" applyFill="1" applyBorder="1"/>
    <xf numFmtId="9" fontId="37" fillId="12" borderId="43" xfId="10" applyFont="1" applyFill="1" applyBorder="1"/>
    <xf numFmtId="9" fontId="37" fillId="12" borderId="44" xfId="10" applyFont="1" applyFill="1" applyBorder="1" applyAlignment="1">
      <alignment vertical="justify"/>
    </xf>
    <xf numFmtId="0" fontId="58" fillId="0" borderId="0" xfId="7" applyFont="1"/>
    <xf numFmtId="43" fontId="57" fillId="0" borderId="0" xfId="7" applyNumberFormat="1" applyFont="1" applyProtection="1">
      <protection locked="0"/>
    </xf>
    <xf numFmtId="9" fontId="36" fillId="0" borderId="0" xfId="2" applyFont="1" applyBorder="1" applyProtection="1">
      <protection locked="0"/>
    </xf>
    <xf numFmtId="0" fontId="21" fillId="0" borderId="0" xfId="0" applyFont="1"/>
    <xf numFmtId="0" fontId="59" fillId="0" borderId="0" xfId="0" applyFont="1"/>
    <xf numFmtId="43" fontId="21" fillId="0" borderId="0" xfId="0" applyNumberFormat="1" applyFont="1"/>
    <xf numFmtId="3" fontId="21" fillId="0" borderId="0" xfId="0" applyNumberFormat="1" applyFont="1" applyAlignment="1">
      <alignment horizontal="center"/>
    </xf>
    <xf numFmtId="43" fontId="21" fillId="0" borderId="0" xfId="9" applyNumberFormat="1"/>
    <xf numFmtId="43" fontId="21" fillId="0" borderId="0" xfId="1" applyFont="1" applyFill="1" applyProtection="1"/>
    <xf numFmtId="0" fontId="21" fillId="0" borderId="0" xfId="9"/>
    <xf numFmtId="168" fontId="21" fillId="0" borderId="0" xfId="9" applyNumberFormat="1"/>
    <xf numFmtId="17" fontId="21" fillId="0" borderId="18" xfId="9" applyNumberFormat="1" applyBorder="1" applyAlignment="1">
      <alignment horizontal="center"/>
    </xf>
    <xf numFmtId="43" fontId="21" fillId="0" borderId="19" xfId="9" applyNumberFormat="1" applyBorder="1" applyAlignment="1">
      <alignment horizontal="center"/>
    </xf>
    <xf numFmtId="3" fontId="21" fillId="0" borderId="19" xfId="9" applyNumberFormat="1" applyBorder="1" applyAlignment="1">
      <alignment horizontal="center"/>
    </xf>
    <xf numFmtId="0" fontId="21" fillId="26" borderId="92" xfId="9" applyFill="1" applyBorder="1"/>
    <xf numFmtId="43" fontId="21" fillId="26" borderId="8" xfId="9" applyNumberFormat="1" applyFill="1" applyBorder="1"/>
    <xf numFmtId="3" fontId="59" fillId="26" borderId="8" xfId="9" applyNumberFormat="1" applyFont="1" applyFill="1" applyBorder="1" applyAlignment="1">
      <alignment horizontal="center"/>
    </xf>
    <xf numFmtId="0" fontId="59" fillId="26" borderId="92" xfId="9" applyFont="1" applyFill="1" applyBorder="1" applyAlignment="1">
      <alignment horizontal="center"/>
    </xf>
    <xf numFmtId="43" fontId="59" fillId="26" borderId="8" xfId="9" applyNumberFormat="1" applyFont="1" applyFill="1" applyBorder="1" applyAlignment="1">
      <alignment horizontal="center"/>
    </xf>
    <xf numFmtId="16" fontId="21" fillId="0" borderId="92" xfId="9" applyNumberFormat="1" applyBorder="1" applyAlignment="1">
      <alignment horizontal="left"/>
    </xf>
    <xf numFmtId="43" fontId="21" fillId="0" borderId="8" xfId="0" applyNumberFormat="1" applyFont="1" applyBorder="1" applyAlignment="1">
      <alignment horizontal="center"/>
    </xf>
    <xf numFmtId="43" fontId="21" fillId="15" borderId="8" xfId="9" applyNumberFormat="1" applyFill="1" applyBorder="1" applyAlignment="1">
      <alignment horizontal="center"/>
    </xf>
    <xf numFmtId="3" fontId="21" fillId="0" borderId="8" xfId="0" applyNumberFormat="1" applyFont="1" applyBorder="1" applyAlignment="1">
      <alignment horizontal="center"/>
    </xf>
    <xf numFmtId="16" fontId="61" fillId="27" borderId="39" xfId="9" applyNumberFormat="1" applyFont="1" applyFill="1" applyBorder="1" applyAlignment="1">
      <alignment horizontal="left"/>
    </xf>
    <xf numFmtId="43" fontId="61" fillId="27" borderId="7" xfId="0" applyNumberFormat="1" applyFont="1" applyFill="1" applyBorder="1" applyAlignment="1">
      <alignment horizontal="center"/>
    </xf>
    <xf numFmtId="3" fontId="61" fillId="27" borderId="7" xfId="0" applyNumberFormat="1" applyFont="1" applyFill="1" applyBorder="1" applyAlignment="1">
      <alignment horizontal="center"/>
    </xf>
    <xf numFmtId="16" fontId="62" fillId="0" borderId="92" xfId="9" applyNumberFormat="1" applyFont="1" applyBorder="1" applyAlignment="1">
      <alignment horizontal="left"/>
    </xf>
    <xf numFmtId="43" fontId="21" fillId="0" borderId="8" xfId="9" applyNumberFormat="1" applyBorder="1" applyAlignment="1">
      <alignment horizontal="center"/>
    </xf>
    <xf numFmtId="16" fontId="59" fillId="27" borderId="92" xfId="9" applyNumberFormat="1" applyFont="1" applyFill="1" applyBorder="1" applyAlignment="1">
      <alignment horizontal="left"/>
    </xf>
    <xf numFmtId="43" fontId="59" fillId="27" borderId="8" xfId="9" applyNumberFormat="1" applyFont="1" applyFill="1" applyBorder="1"/>
    <xf numFmtId="43" fontId="21" fillId="0" borderId="8" xfId="9" applyNumberFormat="1" applyBorder="1"/>
    <xf numFmtId="3" fontId="21" fillId="0" borderId="8" xfId="9" applyNumberFormat="1" applyBorder="1" applyAlignment="1">
      <alignment horizontal="center"/>
    </xf>
    <xf numFmtId="16" fontId="21" fillId="0" borderId="41" xfId="9" applyNumberFormat="1" applyBorder="1" applyAlignment="1">
      <alignment horizontal="left"/>
    </xf>
    <xf numFmtId="43" fontId="59" fillId="0" borderId="24" xfId="9" applyNumberFormat="1" applyFont="1" applyBorder="1"/>
    <xf numFmtId="3" fontId="59" fillId="0" borderId="24" xfId="9" applyNumberFormat="1" applyFont="1" applyBorder="1" applyAlignment="1">
      <alignment horizontal="center"/>
    </xf>
    <xf numFmtId="16" fontId="21" fillId="0" borderId="0" xfId="9" applyNumberFormat="1" applyAlignment="1">
      <alignment horizontal="left"/>
    </xf>
    <xf numFmtId="2" fontId="21" fillId="0" borderId="0" xfId="9" applyNumberFormat="1" applyAlignment="1">
      <alignment horizontal="left"/>
    </xf>
    <xf numFmtId="43" fontId="21" fillId="0" borderId="0" xfId="1" applyFont="1" applyFill="1" applyBorder="1" applyProtection="1"/>
    <xf numFmtId="43" fontId="21" fillId="0" borderId="21" xfId="9" applyNumberFormat="1" applyBorder="1" applyAlignment="1">
      <alignment horizontal="center"/>
    </xf>
    <xf numFmtId="43" fontId="21" fillId="26" borderId="23" xfId="9" applyNumberFormat="1" applyFill="1" applyBorder="1"/>
    <xf numFmtId="43" fontId="59" fillId="27" borderId="100" xfId="1" applyFont="1" applyFill="1" applyBorder="1" applyAlignment="1" applyProtection="1">
      <alignment horizontal="center"/>
    </xf>
    <xf numFmtId="43" fontId="59" fillId="26" borderId="23" xfId="9" applyNumberFormat="1" applyFont="1" applyFill="1" applyBorder="1" applyAlignment="1">
      <alignment horizontal="center"/>
    </xf>
    <xf numFmtId="43" fontId="59" fillId="27" borderId="102" xfId="1" applyFont="1" applyFill="1" applyBorder="1" applyAlignment="1" applyProtection="1">
      <alignment horizontal="center"/>
    </xf>
    <xf numFmtId="43" fontId="21" fillId="15" borderId="8" xfId="0" applyNumberFormat="1" applyFont="1" applyFill="1" applyBorder="1" applyAlignment="1">
      <alignment horizontal="center"/>
    </xf>
    <xf numFmtId="43" fontId="21" fillId="0" borderId="23" xfId="0" applyNumberFormat="1" applyFont="1" applyBorder="1" applyAlignment="1" applyProtection="1">
      <alignment horizontal="center"/>
      <protection locked="0"/>
    </xf>
    <xf numFmtId="43" fontId="21" fillId="0" borderId="8" xfId="1" applyFont="1" applyFill="1" applyBorder="1" applyProtection="1"/>
    <xf numFmtId="43" fontId="61" fillId="27" borderId="40" xfId="0" applyNumberFormat="1" applyFont="1" applyFill="1" applyBorder="1" applyAlignment="1">
      <alignment horizontal="center"/>
    </xf>
    <xf numFmtId="43" fontId="59" fillId="27" borderId="8" xfId="1" applyFont="1" applyFill="1" applyBorder="1" applyAlignment="1" applyProtection="1">
      <alignment horizontal="center"/>
    </xf>
    <xf numFmtId="43" fontId="62" fillId="0" borderId="8" xfId="0" applyNumberFormat="1" applyFont="1" applyBorder="1" applyAlignment="1">
      <alignment horizontal="center"/>
    </xf>
    <xf numFmtId="43" fontId="21" fillId="0" borderId="23" xfId="0" applyNumberFormat="1" applyFont="1" applyBorder="1" applyAlignment="1">
      <alignment horizontal="center"/>
    </xf>
    <xf numFmtId="43" fontId="62" fillId="0" borderId="0" xfId="1" applyFont="1" applyFill="1" applyBorder="1" applyProtection="1"/>
    <xf numFmtId="43" fontId="59" fillId="27" borderId="23" xfId="9" applyNumberFormat="1" applyFont="1" applyFill="1" applyBorder="1"/>
    <xf numFmtId="43" fontId="59" fillId="27" borderId="8" xfId="1" applyFont="1" applyFill="1" applyBorder="1" applyProtection="1"/>
    <xf numFmtId="43" fontId="21" fillId="0" borderId="23" xfId="9" applyNumberFormat="1" applyBorder="1"/>
    <xf numFmtId="43" fontId="21" fillId="0" borderId="24" xfId="9" applyNumberFormat="1" applyBorder="1"/>
    <xf numFmtId="43" fontId="59" fillId="0" borderId="26" xfId="9" applyNumberFormat="1" applyFont="1" applyBorder="1"/>
    <xf numFmtId="43" fontId="59" fillId="0" borderId="8" xfId="1" applyFont="1" applyFill="1" applyBorder="1" applyProtection="1"/>
    <xf numFmtId="43" fontId="21" fillId="0" borderId="0" xfId="1" applyFont="1" applyFill="1" applyBorder="1" applyAlignment="1" applyProtection="1">
      <alignment horizontal="center"/>
    </xf>
    <xf numFmtId="43" fontId="59" fillId="27" borderId="104" xfId="1" applyFont="1" applyFill="1" applyBorder="1" applyAlignment="1" applyProtection="1">
      <alignment horizontal="center"/>
    </xf>
    <xf numFmtId="43" fontId="21" fillId="0" borderId="8" xfId="1" applyFont="1" applyFill="1" applyBorder="1" applyProtection="1">
      <protection locked="0"/>
    </xf>
    <xf numFmtId="43" fontId="59" fillId="27" borderId="8" xfId="0" applyNumberFormat="1" applyFont="1" applyFill="1" applyBorder="1" applyAlignment="1">
      <alignment horizontal="center"/>
    </xf>
    <xf numFmtId="43" fontId="59" fillId="0" borderId="8" xfId="9" applyNumberFormat="1" applyFont="1" applyBorder="1"/>
    <xf numFmtId="168" fontId="21" fillId="0" borderId="0" xfId="0" applyNumberFormat="1" applyFont="1"/>
    <xf numFmtId="0" fontId="59" fillId="27" borderId="100" xfId="0" applyFont="1" applyFill="1" applyBorder="1" applyAlignment="1">
      <alignment horizontal="center"/>
    </xf>
    <xf numFmtId="0" fontId="59" fillId="27" borderId="102" xfId="0" applyFont="1" applyFill="1" applyBorder="1" applyAlignment="1">
      <alignment horizontal="center"/>
    </xf>
    <xf numFmtId="43" fontId="21" fillId="15" borderId="8" xfId="0" applyNumberFormat="1" applyFont="1" applyFill="1" applyBorder="1"/>
    <xf numFmtId="43" fontId="21" fillId="15" borderId="7" xfId="0" applyNumberFormat="1" applyFont="1" applyFill="1" applyBorder="1"/>
    <xf numFmtId="0" fontId="62" fillId="0" borderId="0" xfId="0" applyFont="1"/>
    <xf numFmtId="43" fontId="21" fillId="27" borderId="8" xfId="0" applyNumberFormat="1" applyFont="1" applyFill="1" applyBorder="1"/>
    <xf numFmtId="43" fontId="59" fillId="26" borderId="23" xfId="9" applyNumberFormat="1" applyFont="1" applyFill="1" applyBorder="1" applyAlignment="1" applyProtection="1">
      <alignment horizontal="center"/>
      <protection locked="0"/>
    </xf>
    <xf numFmtId="43" fontId="61" fillId="27" borderId="40" xfId="0" applyNumberFormat="1" applyFont="1" applyFill="1" applyBorder="1" applyAlignment="1" applyProtection="1">
      <alignment horizontal="center"/>
      <protection locked="0"/>
    </xf>
    <xf numFmtId="43" fontId="59" fillId="27" borderId="23" xfId="9" applyNumberFormat="1" applyFont="1" applyFill="1" applyBorder="1" applyProtection="1">
      <protection locked="0"/>
    </xf>
    <xf numFmtId="43" fontId="21" fillId="0" borderId="23" xfId="9" applyNumberFormat="1" applyBorder="1" applyProtection="1">
      <protection locked="0"/>
    </xf>
    <xf numFmtId="43" fontId="59" fillId="0" borderId="26" xfId="9" applyNumberFormat="1" applyFont="1" applyBorder="1" applyProtection="1">
      <protection locked="0"/>
    </xf>
    <xf numFmtId="43" fontId="59" fillId="27" borderId="102" xfId="1" applyFont="1" applyFill="1" applyBorder="1" applyAlignment="1" applyProtection="1">
      <alignment horizontal="center"/>
      <protection locked="0"/>
    </xf>
    <xf numFmtId="0" fontId="32" fillId="0" borderId="0" xfId="7" applyAlignment="1">
      <alignment wrapText="1"/>
    </xf>
    <xf numFmtId="0" fontId="32" fillId="0" borderId="0" xfId="7"/>
    <xf numFmtId="0" fontId="63" fillId="0" borderId="0" xfId="7" applyFont="1"/>
    <xf numFmtId="0" fontId="32" fillId="0" borderId="0" xfId="7" applyAlignment="1">
      <alignment horizontal="center"/>
    </xf>
    <xf numFmtId="0" fontId="64" fillId="0" borderId="0" xfId="7" applyFont="1" applyAlignment="1">
      <alignment horizontal="center"/>
    </xf>
    <xf numFmtId="169" fontId="32" fillId="0" borderId="0" xfId="7" applyNumberFormat="1" applyAlignment="1">
      <alignment horizontal="center"/>
    </xf>
    <xf numFmtId="170" fontId="32" fillId="0" borderId="0" xfId="7" applyNumberFormat="1" applyAlignment="1">
      <alignment horizontal="center"/>
    </xf>
    <xf numFmtId="1" fontId="32" fillId="0" borderId="0" xfId="7" applyNumberFormat="1" applyAlignment="1">
      <alignment horizontal="center"/>
    </xf>
    <xf numFmtId="43" fontId="0" fillId="0" borderId="0" xfId="5" applyFont="1" applyFill="1" applyAlignment="1">
      <alignment horizontal="center"/>
    </xf>
    <xf numFmtId="43" fontId="0" fillId="0" borderId="0" xfId="5" applyFont="1" applyFill="1"/>
    <xf numFmtId="10" fontId="32" fillId="0" borderId="0" xfId="7" applyNumberFormat="1"/>
    <xf numFmtId="0" fontId="65" fillId="0" borderId="0" xfId="7" applyFont="1"/>
    <xf numFmtId="170" fontId="64" fillId="0" borderId="0" xfId="7" applyNumberFormat="1" applyFont="1" applyAlignment="1">
      <alignment horizontal="center"/>
    </xf>
    <xf numFmtId="169" fontId="32" fillId="14" borderId="0" xfId="7" applyNumberFormat="1" applyFill="1" applyAlignment="1">
      <alignment horizontal="center"/>
    </xf>
    <xf numFmtId="170" fontId="66" fillId="15" borderId="70" xfId="7" applyNumberFormat="1" applyFont="1" applyFill="1" applyBorder="1" applyAlignment="1">
      <alignment horizontal="right"/>
    </xf>
    <xf numFmtId="0" fontId="67" fillId="15" borderId="12" xfId="7" applyFont="1" applyFill="1" applyBorder="1" applyAlignment="1">
      <alignment horizontal="left" vertical="center" wrapText="1"/>
    </xf>
    <xf numFmtId="0" fontId="67" fillId="0" borderId="0" xfId="7" applyFont="1"/>
    <xf numFmtId="170" fontId="66" fillId="15" borderId="7" xfId="7" applyNumberFormat="1" applyFont="1" applyFill="1" applyBorder="1" applyAlignment="1">
      <alignment horizontal="center"/>
    </xf>
    <xf numFmtId="0" fontId="68" fillId="15" borderId="7" xfId="7" applyFont="1" applyFill="1" applyBorder="1" applyAlignment="1">
      <alignment horizontal="left"/>
    </xf>
    <xf numFmtId="170" fontId="66" fillId="15" borderId="8" xfId="7" applyNumberFormat="1" applyFont="1" applyFill="1" applyBorder="1" applyAlignment="1">
      <alignment horizontal="center"/>
    </xf>
    <xf numFmtId="0" fontId="68" fillId="15" borderId="8" xfId="7" applyFont="1" applyFill="1" applyBorder="1" applyAlignment="1">
      <alignment horizontal="left"/>
    </xf>
    <xf numFmtId="0" fontId="67" fillId="28" borderId="35" xfId="7" applyFont="1" applyFill="1" applyBorder="1" applyAlignment="1">
      <alignment horizontal="center" wrapText="1"/>
    </xf>
    <xf numFmtId="169" fontId="67" fillId="28" borderId="14" xfId="7" applyNumberFormat="1" applyFont="1" applyFill="1" applyBorder="1" applyAlignment="1">
      <alignment horizontal="center" wrapText="1"/>
    </xf>
    <xf numFmtId="170" fontId="67" fillId="28" borderId="14" xfId="7" applyNumberFormat="1" applyFont="1" applyFill="1" applyBorder="1" applyAlignment="1">
      <alignment horizontal="center" wrapText="1"/>
    </xf>
    <xf numFmtId="170" fontId="69" fillId="28" borderId="14" xfId="7" applyNumberFormat="1" applyFont="1" applyFill="1" applyBorder="1" applyAlignment="1">
      <alignment horizontal="center" wrapText="1"/>
    </xf>
    <xf numFmtId="0" fontId="67" fillId="28" borderId="14" xfId="7" applyFont="1" applyFill="1" applyBorder="1" applyAlignment="1">
      <alignment horizontal="center" wrapText="1"/>
    </xf>
    <xf numFmtId="16" fontId="32" fillId="0" borderId="29" xfId="7" applyNumberFormat="1" applyBorder="1"/>
    <xf numFmtId="169" fontId="32" fillId="0" borderId="105" xfId="7" applyNumberFormat="1" applyBorder="1"/>
    <xf numFmtId="0" fontId="32" fillId="0" borderId="105" xfId="7" applyBorder="1" applyAlignment="1">
      <alignment horizontal="center"/>
    </xf>
    <xf numFmtId="0" fontId="32" fillId="0" borderId="7" xfId="7" applyBorder="1" applyAlignment="1">
      <alignment horizontal="center"/>
    </xf>
    <xf numFmtId="0" fontId="32" fillId="0" borderId="106" xfId="7" applyBorder="1" applyAlignment="1">
      <alignment horizontal="center"/>
    </xf>
    <xf numFmtId="0" fontId="64" fillId="0" borderId="106" xfId="7" applyFont="1" applyBorder="1" applyAlignment="1">
      <alignment horizontal="center"/>
    </xf>
    <xf numFmtId="0" fontId="0" fillId="0" borderId="19" xfId="5" applyNumberFormat="1" applyFont="1" applyFill="1" applyBorder="1" applyAlignment="1">
      <alignment horizontal="center"/>
    </xf>
    <xf numFmtId="16" fontId="32" fillId="0" borderId="32" xfId="7" applyNumberFormat="1" applyBorder="1"/>
    <xf numFmtId="169" fontId="32" fillId="0" borderId="8" xfId="7" applyNumberFormat="1" applyBorder="1"/>
    <xf numFmtId="0" fontId="32" fillId="0" borderId="8" xfId="7" applyBorder="1" applyAlignment="1">
      <alignment horizontal="center"/>
    </xf>
    <xf numFmtId="0" fontId="64" fillId="0" borderId="48" xfId="7" applyFont="1" applyBorder="1" applyAlignment="1">
      <alignment horizontal="center"/>
    </xf>
    <xf numFmtId="169" fontId="0" fillId="0" borderId="8" xfId="5" applyNumberFormat="1" applyFont="1" applyFill="1" applyBorder="1" applyAlignment="1">
      <alignment horizontal="center"/>
    </xf>
    <xf numFmtId="16" fontId="32" fillId="0" borderId="47" xfId="7" applyNumberFormat="1" applyBorder="1"/>
    <xf numFmtId="0" fontId="32" fillId="0" borderId="48" xfId="7" applyBorder="1" applyAlignment="1">
      <alignment horizontal="center"/>
    </xf>
    <xf numFmtId="0" fontId="64" fillId="0" borderId="8" xfId="7" applyFont="1" applyBorder="1" applyAlignment="1">
      <alignment horizontal="center"/>
    </xf>
    <xf numFmtId="0" fontId="0" fillId="0" borderId="8" xfId="5" applyNumberFormat="1" applyFont="1" applyFill="1" applyBorder="1" applyAlignment="1">
      <alignment horizontal="center"/>
    </xf>
    <xf numFmtId="169" fontId="32" fillId="0" borderId="48" xfId="7" applyNumberFormat="1" applyBorder="1"/>
    <xf numFmtId="0" fontId="70" fillId="0" borderId="48" xfId="7" applyFont="1" applyBorder="1" applyAlignment="1">
      <alignment horizontal="center"/>
    </xf>
    <xf numFmtId="1" fontId="0" fillId="0" borderId="48" xfId="5" applyNumberFormat="1" applyFont="1" applyFill="1" applyBorder="1" applyAlignment="1">
      <alignment horizontal="center"/>
    </xf>
    <xf numFmtId="1" fontId="0" fillId="0" borderId="0" xfId="5" applyNumberFormat="1" applyFont="1" applyFill="1" applyAlignment="1">
      <alignment horizontal="center"/>
    </xf>
    <xf numFmtId="10" fontId="0" fillId="0" borderId="0" xfId="5" applyNumberFormat="1" applyFont="1" applyFill="1" applyAlignment="1">
      <alignment horizontal="center"/>
    </xf>
    <xf numFmtId="43" fontId="67" fillId="29" borderId="14" xfId="5" applyFont="1" applyFill="1" applyBorder="1" applyAlignment="1">
      <alignment horizontal="center" wrapText="1"/>
    </xf>
    <xf numFmtId="10" fontId="67" fillId="29" borderId="14" xfId="5" applyNumberFormat="1" applyFont="1" applyFill="1" applyBorder="1" applyAlignment="1">
      <alignment horizontal="center" wrapText="1"/>
    </xf>
    <xf numFmtId="0" fontId="0" fillId="0" borderId="19" xfId="0" applyBorder="1" applyAlignment="1">
      <alignment horizontal="center"/>
    </xf>
    <xf numFmtId="1" fontId="0" fillId="0" borderId="105" xfId="0" applyNumberFormat="1" applyBorder="1" applyAlignment="1">
      <alignment horizontal="center"/>
    </xf>
    <xf numFmtId="43" fontId="0" fillId="0" borderId="105" xfId="5" applyFont="1" applyFill="1" applyBorder="1" applyAlignment="1">
      <alignment horizontal="center"/>
    </xf>
    <xf numFmtId="1" fontId="0" fillId="0" borderId="107" xfId="5" applyNumberFormat="1" applyFont="1" applyFill="1" applyBorder="1" applyAlignment="1">
      <alignment horizontal="center"/>
    </xf>
    <xf numFmtId="43" fontId="19" fillId="0" borderId="7" xfId="5" applyFont="1" applyFill="1" applyBorder="1" applyProtection="1"/>
    <xf numFmtId="10" fontId="0" fillId="0" borderId="105" xfId="5" applyNumberFormat="1" applyFont="1" applyFill="1" applyBorder="1"/>
    <xf numFmtId="0" fontId="0" fillId="0" borderId="108" xfId="0" applyBorder="1" applyAlignment="1">
      <alignment horizontal="center"/>
    </xf>
    <xf numFmtId="1" fontId="0" fillId="0" borderId="48" xfId="0" applyNumberFormat="1" applyBorder="1" applyAlignment="1">
      <alignment horizontal="center"/>
    </xf>
    <xf numFmtId="43" fontId="0" fillId="0" borderId="48" xfId="5" applyFont="1" applyFill="1" applyBorder="1" applyAlignment="1">
      <alignment horizontal="center"/>
    </xf>
    <xf numFmtId="43" fontId="0" fillId="0" borderId="46" xfId="5" applyFont="1" applyFill="1" applyBorder="1" applyAlignment="1">
      <alignment horizontal="center"/>
    </xf>
    <xf numFmtId="43" fontId="19" fillId="0" borderId="8" xfId="5" applyFont="1" applyFill="1" applyBorder="1" applyProtection="1"/>
    <xf numFmtId="10" fontId="0" fillId="0" borderId="8" xfId="5" applyNumberFormat="1" applyFont="1" applyFill="1" applyBorder="1"/>
    <xf numFmtId="1" fontId="0" fillId="0" borderId="8" xfId="0" applyNumberFormat="1" applyBorder="1" applyAlignment="1">
      <alignment horizontal="center"/>
    </xf>
    <xf numFmtId="43" fontId="0" fillId="0" borderId="8" xfId="5" applyFont="1" applyFill="1" applyBorder="1" applyAlignment="1">
      <alignment horizontal="center"/>
    </xf>
    <xf numFmtId="1" fontId="0" fillId="0" borderId="8" xfId="5" applyNumberFormat="1" applyFont="1" applyFill="1" applyBorder="1" applyAlignment="1">
      <alignment horizontal="center"/>
    </xf>
    <xf numFmtId="43" fontId="0" fillId="0" borderId="22" xfId="5" applyFont="1" applyFill="1" applyBorder="1" applyAlignment="1">
      <alignment horizontal="center"/>
    </xf>
    <xf numFmtId="43" fontId="19" fillId="0" borderId="48" xfId="5" applyFont="1" applyFill="1" applyBorder="1" applyProtection="1"/>
    <xf numFmtId="170" fontId="0" fillId="0" borderId="48" xfId="7" applyNumberFormat="1" applyFont="1" applyBorder="1" applyAlignment="1">
      <alignment horizontal="center"/>
    </xf>
    <xf numFmtId="1" fontId="0" fillId="0" borderId="48" xfId="7" applyNumberFormat="1" applyFont="1" applyBorder="1" applyAlignment="1">
      <alignment horizontal="center"/>
    </xf>
    <xf numFmtId="10" fontId="0" fillId="0" borderId="48" xfId="5" applyNumberFormat="1" applyFont="1" applyFill="1" applyBorder="1"/>
    <xf numFmtId="0" fontId="67" fillId="15" borderId="14" xfId="7" applyFont="1" applyFill="1" applyBorder="1" applyAlignment="1">
      <alignment horizontal="center" wrapText="1"/>
    </xf>
    <xf numFmtId="43" fontId="20" fillId="0" borderId="105" xfId="5" applyFont="1" applyFill="1" applyBorder="1"/>
    <xf numFmtId="43" fontId="71" fillId="0" borderId="7" xfId="7" applyNumberFormat="1" applyFont="1" applyBorder="1"/>
    <xf numFmtId="0" fontId="32" fillId="0" borderId="7" xfId="7" applyBorder="1"/>
    <xf numFmtId="43" fontId="20" fillId="0" borderId="8" xfId="5" applyFont="1" applyFill="1" applyBorder="1"/>
    <xf numFmtId="43" fontId="71" fillId="0" borderId="8" xfId="7" applyNumberFormat="1" applyFont="1" applyBorder="1"/>
    <xf numFmtId="43" fontId="71" fillId="0" borderId="48" xfId="7" applyNumberFormat="1" applyFont="1" applyBorder="1"/>
    <xf numFmtId="43" fontId="19" fillId="0" borderId="48" xfId="5" applyFont="1" applyFill="1" applyBorder="1"/>
    <xf numFmtId="0" fontId="32" fillId="0" borderId="48" xfId="7" applyBorder="1"/>
    <xf numFmtId="0" fontId="67" fillId="14" borderId="14" xfId="7" applyFont="1" applyFill="1" applyBorder="1" applyAlignment="1">
      <alignment horizontal="center" vertical="center" wrapText="1"/>
    </xf>
    <xf numFmtId="0" fontId="67" fillId="14" borderId="14" xfId="7" applyFont="1" applyFill="1" applyBorder="1" applyAlignment="1">
      <alignment horizontal="center" wrapText="1"/>
    </xf>
    <xf numFmtId="0" fontId="72" fillId="0" borderId="7" xfId="7" applyFont="1" applyBorder="1" applyAlignment="1">
      <alignment horizontal="center"/>
    </xf>
    <xf numFmtId="0" fontId="32" fillId="0" borderId="8" xfId="7" applyBorder="1"/>
    <xf numFmtId="0" fontId="72" fillId="0" borderId="8" xfId="7" applyFont="1" applyBorder="1" applyAlignment="1">
      <alignment horizontal="center"/>
    </xf>
    <xf numFmtId="0" fontId="72" fillId="0" borderId="48" xfId="7" applyFont="1" applyBorder="1" applyAlignment="1">
      <alignment horizontal="center"/>
    </xf>
    <xf numFmtId="0" fontId="67" fillId="30" borderId="15" xfId="7" applyFont="1" applyFill="1" applyBorder="1" applyAlignment="1">
      <alignment horizontal="center" vertical="center" wrapText="1"/>
    </xf>
    <xf numFmtId="0" fontId="32" fillId="0" borderId="38" xfId="7" applyBorder="1"/>
    <xf numFmtId="0" fontId="32" fillId="0" borderId="22" xfId="7" applyBorder="1"/>
    <xf numFmtId="0" fontId="32" fillId="0" borderId="46" xfId="7" applyBorder="1"/>
    <xf numFmtId="14" fontId="32" fillId="0" borderId="0" xfId="7" applyNumberFormat="1" applyAlignment="1">
      <alignment horizontal="center"/>
    </xf>
    <xf numFmtId="14" fontId="64" fillId="0" borderId="0" xfId="7" applyNumberFormat="1" applyFont="1" applyAlignment="1">
      <alignment horizontal="center"/>
    </xf>
    <xf numFmtId="43" fontId="6" fillId="0" borderId="0" xfId="5" applyFont="1" applyFill="1"/>
    <xf numFmtId="0" fontId="32" fillId="0" borderId="0" xfId="7" applyAlignment="1">
      <alignment vertical="center" wrapText="1"/>
    </xf>
    <xf numFmtId="43" fontId="32" fillId="0" borderId="0" xfId="1" applyFont="1" applyFill="1"/>
    <xf numFmtId="0" fontId="32" fillId="0" borderId="0" xfId="7" applyAlignment="1">
      <alignment horizontal="center" vertical="center"/>
    </xf>
    <xf numFmtId="169" fontId="63" fillId="14" borderId="0" xfId="7" applyNumberFormat="1" applyFont="1" applyFill="1" applyAlignment="1">
      <alignment horizontal="center"/>
    </xf>
    <xf numFmtId="0" fontId="67" fillId="28" borderId="5" xfId="7" applyFont="1" applyFill="1" applyBorder="1" applyAlignment="1">
      <alignment horizontal="center" vertical="center" wrapText="1"/>
    </xf>
    <xf numFmtId="169" fontId="67" fillId="28" borderId="70" xfId="7" applyNumberFormat="1" applyFont="1" applyFill="1" applyBorder="1" applyAlignment="1">
      <alignment horizontal="center" vertical="center" wrapText="1"/>
    </xf>
    <xf numFmtId="170" fontId="67" fillId="28" borderId="109" xfId="7" applyNumberFormat="1" applyFont="1" applyFill="1" applyBorder="1" applyAlignment="1">
      <alignment horizontal="center" vertical="center" wrapText="1"/>
    </xf>
    <xf numFmtId="170" fontId="67" fillId="28" borderId="14" xfId="7" applyNumberFormat="1" applyFont="1" applyFill="1" applyBorder="1" applyAlignment="1">
      <alignment horizontal="center" vertical="center" wrapText="1"/>
    </xf>
    <xf numFmtId="170" fontId="69" fillId="28" borderId="14" xfId="7" applyNumberFormat="1" applyFont="1" applyFill="1" applyBorder="1" applyAlignment="1">
      <alignment horizontal="center" vertical="center" wrapText="1"/>
    </xf>
    <xf numFmtId="0" fontId="67" fillId="28" borderId="14" xfId="7" applyFont="1" applyFill="1" applyBorder="1" applyAlignment="1">
      <alignment horizontal="center" vertical="center" wrapText="1"/>
    </xf>
    <xf numFmtId="16" fontId="32" fillId="0" borderId="29" xfId="7" applyNumberFormat="1" applyBorder="1" applyAlignment="1">
      <alignment horizontal="center"/>
    </xf>
    <xf numFmtId="169" fontId="32" fillId="0" borderId="7" xfId="7" applyNumberFormat="1" applyBorder="1"/>
    <xf numFmtId="0" fontId="32" fillId="0" borderId="108" xfId="7" applyBorder="1" applyAlignment="1">
      <alignment horizontal="center"/>
    </xf>
    <xf numFmtId="0" fontId="70" fillId="0" borderId="106" xfId="7" applyFont="1" applyBorder="1" applyAlignment="1">
      <alignment horizontal="center"/>
    </xf>
    <xf numFmtId="1" fontId="0" fillId="0" borderId="105" xfId="5" applyNumberFormat="1" applyFont="1" applyFill="1" applyBorder="1" applyAlignment="1">
      <alignment horizontal="center"/>
    </xf>
    <xf numFmtId="0" fontId="70" fillId="0" borderId="8" xfId="7" applyFont="1" applyBorder="1" applyAlignment="1">
      <alignment horizontal="center"/>
    </xf>
    <xf numFmtId="0" fontId="67" fillId="28" borderId="108" xfId="7" applyFont="1" applyFill="1" applyBorder="1" applyAlignment="1">
      <alignment horizontal="center" vertical="center" wrapText="1"/>
    </xf>
    <xf numFmtId="170" fontId="67" fillId="28" borderId="108" xfId="7" applyNumberFormat="1" applyFont="1" applyFill="1" applyBorder="1" applyAlignment="1">
      <alignment horizontal="center" vertical="center" wrapText="1"/>
    </xf>
    <xf numFmtId="43" fontId="67" fillId="29" borderId="14" xfId="5" applyFont="1" applyFill="1" applyBorder="1" applyAlignment="1">
      <alignment horizontal="center" vertical="center" wrapText="1"/>
    </xf>
    <xf numFmtId="10" fontId="67" fillId="29" borderId="14" xfId="5" applyNumberFormat="1" applyFont="1" applyFill="1" applyBorder="1" applyAlignment="1">
      <alignment horizontal="center" vertical="center" wrapText="1"/>
    </xf>
    <xf numFmtId="0" fontId="31" fillId="0" borderId="8" xfId="0" applyFont="1" applyBorder="1" applyAlignment="1">
      <alignment horizontal="center"/>
    </xf>
    <xf numFmtId="1" fontId="31" fillId="0" borderId="8" xfId="0" applyNumberFormat="1" applyFont="1" applyBorder="1" applyAlignment="1">
      <alignment horizontal="center"/>
    </xf>
    <xf numFmtId="1" fontId="31" fillId="0" borderId="8" xfId="5" applyNumberFormat="1" applyFont="1" applyFill="1" applyBorder="1" applyAlignment="1">
      <alignment horizontal="center"/>
    </xf>
    <xf numFmtId="43" fontId="19" fillId="0" borderId="22" xfId="5" applyFont="1" applyFill="1" applyBorder="1" applyAlignment="1">
      <alignment horizontal="center"/>
    </xf>
    <xf numFmtId="1" fontId="19" fillId="0" borderId="8" xfId="0" applyNumberFormat="1" applyFont="1" applyBorder="1" applyAlignment="1">
      <alignment horizontal="center"/>
    </xf>
    <xf numFmtId="2" fontId="0" fillId="0" borderId="8" xfId="5" applyNumberFormat="1" applyFont="1" applyFill="1" applyBorder="1" applyAlignment="1">
      <alignment horizontal="center"/>
    </xf>
    <xf numFmtId="0" fontId="67" fillId="15" borderId="14" xfId="7" applyFont="1" applyFill="1" applyBorder="1" applyAlignment="1">
      <alignment horizontal="center" vertical="center" wrapText="1"/>
    </xf>
    <xf numFmtId="43" fontId="32" fillId="0" borderId="7" xfId="1" applyFont="1" applyFill="1" applyBorder="1"/>
    <xf numFmtId="43" fontId="32" fillId="0" borderId="7" xfId="1" applyFont="1" applyFill="1" applyBorder="1" applyAlignment="1">
      <alignment horizontal="center"/>
    </xf>
    <xf numFmtId="43" fontId="19" fillId="0" borderId="8" xfId="5" applyFont="1" applyFill="1" applyBorder="1"/>
    <xf numFmtId="43" fontId="32" fillId="0" borderId="8" xfId="1" applyFont="1" applyFill="1" applyBorder="1"/>
    <xf numFmtId="43" fontId="67" fillId="0" borderId="0" xfId="1" applyFont="1" applyFill="1"/>
    <xf numFmtId="0" fontId="67" fillId="0" borderId="0" xfId="7" applyFont="1" applyAlignment="1">
      <alignment horizontal="center" vertical="center"/>
    </xf>
    <xf numFmtId="43" fontId="67" fillId="15" borderId="14" xfId="1" applyFont="1" applyFill="1" applyBorder="1" applyAlignment="1">
      <alignment horizontal="center" vertical="center" wrapText="1"/>
    </xf>
    <xf numFmtId="0" fontId="32" fillId="0" borderId="7" xfId="7" applyBorder="1" applyAlignment="1">
      <alignment horizontal="center" vertical="center"/>
    </xf>
    <xf numFmtId="0" fontId="32" fillId="0" borderId="48" xfId="7" applyBorder="1" applyAlignment="1">
      <alignment horizontal="center" vertical="center"/>
    </xf>
    <xf numFmtId="0" fontId="32" fillId="0" borderId="8" xfId="7" applyBorder="1" applyAlignment="1">
      <alignment horizontal="center" vertical="center"/>
    </xf>
    <xf numFmtId="0" fontId="21" fillId="0" borderId="0" xfId="0" applyFont="1" applyProtection="1">
      <protection locked="0"/>
    </xf>
    <xf numFmtId="43" fontId="21" fillId="0" borderId="0" xfId="9" applyNumberFormat="1" applyProtection="1">
      <protection locked="0"/>
    </xf>
    <xf numFmtId="1" fontId="21" fillId="0" borderId="0" xfId="9" applyNumberFormat="1" applyAlignment="1" applyProtection="1">
      <alignment horizontal="center"/>
      <protection locked="0"/>
    </xf>
    <xf numFmtId="1" fontId="21" fillId="0" borderId="0" xfId="9" applyNumberFormat="1" applyProtection="1">
      <protection locked="0"/>
    </xf>
    <xf numFmtId="41" fontId="21" fillId="0" borderId="0" xfId="9" applyNumberFormat="1" applyProtection="1">
      <protection locked="0"/>
    </xf>
    <xf numFmtId="43" fontId="21" fillId="0" borderId="0" xfId="1" applyFont="1" applyFill="1" applyProtection="1">
      <protection locked="0"/>
    </xf>
    <xf numFmtId="0" fontId="21" fillId="0" borderId="0" xfId="9" applyProtection="1">
      <protection locked="0"/>
    </xf>
    <xf numFmtId="168" fontId="21" fillId="0" borderId="0" xfId="9" applyNumberFormat="1" applyProtection="1">
      <protection locked="0"/>
    </xf>
    <xf numFmtId="17" fontId="21" fillId="0" borderId="8" xfId="9" applyNumberFormat="1" applyBorder="1" applyAlignment="1" applyProtection="1">
      <alignment horizontal="centerContinuous"/>
      <protection locked="0"/>
    </xf>
    <xf numFmtId="43" fontId="21" fillId="0" borderId="8" xfId="9" applyNumberFormat="1" applyBorder="1" applyAlignment="1" applyProtection="1">
      <alignment horizontal="centerContinuous"/>
      <protection locked="0"/>
    </xf>
    <xf numFmtId="1" fontId="21" fillId="0" borderId="8" xfId="9" applyNumberFormat="1" applyBorder="1" applyAlignment="1" applyProtection="1">
      <alignment horizontal="center"/>
      <protection locked="0"/>
    </xf>
    <xf numFmtId="43" fontId="74" fillId="27" borderId="8" xfId="9" applyNumberFormat="1" applyFont="1" applyFill="1" applyBorder="1" applyProtection="1">
      <protection locked="0"/>
    </xf>
    <xf numFmtId="1" fontId="73" fillId="27" borderId="8" xfId="9" applyNumberFormat="1" applyFont="1" applyFill="1" applyBorder="1" applyAlignment="1" applyProtection="1">
      <alignment horizontal="center"/>
      <protection locked="0"/>
    </xf>
    <xf numFmtId="43" fontId="73" fillId="27" borderId="8" xfId="9" applyNumberFormat="1" applyFont="1" applyFill="1" applyBorder="1" applyAlignment="1" applyProtection="1">
      <alignment horizontal="center"/>
      <protection locked="0"/>
    </xf>
    <xf numFmtId="43" fontId="21" fillId="9" borderId="8" xfId="9" applyNumberFormat="1" applyFill="1" applyBorder="1" applyAlignment="1">
      <alignment horizontal="center"/>
    </xf>
    <xf numFmtId="43" fontId="75" fillId="0" borderId="8" xfId="1" applyFont="1" applyFill="1" applyBorder="1" applyAlignment="1" applyProtection="1">
      <alignment vertical="justify"/>
      <protection locked="0"/>
    </xf>
    <xf numFmtId="16" fontId="59" fillId="31" borderId="8" xfId="9" applyNumberFormat="1" applyFont="1" applyFill="1" applyBorder="1" applyAlignment="1">
      <alignment horizontal="left"/>
    </xf>
    <xf numFmtId="43" fontId="59" fillId="31" borderId="8" xfId="0" applyNumberFormat="1" applyFont="1" applyFill="1" applyBorder="1" applyAlignment="1">
      <alignment horizontal="center"/>
    </xf>
    <xf numFmtId="43" fontId="59" fillId="31" borderId="8" xfId="9" applyNumberFormat="1" applyFont="1" applyFill="1" applyBorder="1" applyAlignment="1">
      <alignment horizontal="center"/>
    </xf>
    <xf numFmtId="3" fontId="59" fillId="31" borderId="8" xfId="1" applyNumberFormat="1" applyFont="1" applyFill="1" applyBorder="1" applyAlignment="1" applyProtection="1">
      <alignment horizontal="center"/>
    </xf>
    <xf numFmtId="16" fontId="21" fillId="0" borderId="8" xfId="9" applyNumberFormat="1" applyBorder="1" applyAlignment="1">
      <alignment horizontal="left"/>
    </xf>
    <xf numFmtId="43" fontId="59" fillId="31" borderId="8" xfId="9" applyNumberFormat="1" applyFont="1" applyFill="1" applyBorder="1"/>
    <xf numFmtId="16" fontId="21" fillId="0" borderId="8" xfId="9" applyNumberFormat="1" applyBorder="1" applyAlignment="1" applyProtection="1">
      <alignment horizontal="left"/>
      <protection locked="0"/>
    </xf>
    <xf numFmtId="43" fontId="21" fillId="0" borderId="8" xfId="9" applyNumberFormat="1" applyBorder="1" applyProtection="1">
      <protection locked="0"/>
    </xf>
    <xf numFmtId="43" fontId="21" fillId="0" borderId="8" xfId="9" applyNumberFormat="1" applyBorder="1" applyAlignment="1" applyProtection="1">
      <alignment horizontal="center"/>
      <protection locked="0"/>
    </xf>
    <xf numFmtId="3" fontId="21" fillId="0" borderId="8" xfId="9" applyNumberFormat="1" applyBorder="1" applyAlignment="1" applyProtection="1">
      <alignment horizontal="center"/>
      <protection locked="0"/>
    </xf>
    <xf numFmtId="3" fontId="59" fillId="31" borderId="8" xfId="9" applyNumberFormat="1" applyFont="1" applyFill="1" applyBorder="1" applyAlignment="1">
      <alignment horizontal="center"/>
    </xf>
    <xf numFmtId="16" fontId="21" fillId="0" borderId="0" xfId="9" applyNumberFormat="1" applyAlignment="1" applyProtection="1">
      <alignment horizontal="left"/>
      <protection locked="0"/>
    </xf>
    <xf numFmtId="43" fontId="21" fillId="0" borderId="0" xfId="0" applyNumberFormat="1" applyFont="1" applyProtection="1">
      <protection locked="0"/>
    </xf>
    <xf numFmtId="1" fontId="21" fillId="0" borderId="0" xfId="0" applyNumberFormat="1" applyFont="1" applyAlignment="1" applyProtection="1">
      <alignment horizontal="center"/>
      <protection locked="0"/>
    </xf>
    <xf numFmtId="0" fontId="32" fillId="0" borderId="0" xfId="0" applyFont="1" applyAlignment="1" applyProtection="1">
      <alignment horizontal="center" vertical="center"/>
      <protection locked="0"/>
    </xf>
    <xf numFmtId="17" fontId="59" fillId="0" borderId="0" xfId="9" applyNumberFormat="1" applyFont="1" applyAlignment="1" applyProtection="1">
      <alignment horizontal="center"/>
      <protection locked="0"/>
    </xf>
    <xf numFmtId="43" fontId="21" fillId="0" borderId="0" xfId="1" applyFont="1" applyFill="1" applyBorder="1" applyProtection="1">
      <protection locked="0"/>
    </xf>
    <xf numFmtId="3" fontId="21" fillId="0" borderId="0" xfId="0" applyNumberFormat="1" applyFont="1" applyAlignment="1" applyProtection="1">
      <alignment horizontal="center"/>
      <protection locked="0"/>
    </xf>
    <xf numFmtId="3" fontId="59" fillId="0" borderId="0" xfId="9" applyNumberFormat="1" applyFont="1" applyAlignment="1" applyProtection="1">
      <alignment horizontal="center"/>
      <protection locked="0"/>
    </xf>
    <xf numFmtId="43" fontId="59" fillId="31" borderId="48" xfId="1" applyFont="1" applyFill="1" applyBorder="1" applyAlignment="1" applyProtection="1">
      <alignment horizontal="center"/>
      <protection locked="0"/>
    </xf>
    <xf numFmtId="43" fontId="59" fillId="31" borderId="7" xfId="1" applyFont="1" applyFill="1" applyBorder="1" applyAlignment="1" applyProtection="1">
      <alignment horizontal="center"/>
      <protection locked="0"/>
    </xf>
    <xf numFmtId="43" fontId="21" fillId="9" borderId="8" xfId="0" applyNumberFormat="1" applyFont="1" applyFill="1" applyBorder="1" applyAlignment="1">
      <alignment horizontal="center"/>
    </xf>
    <xf numFmtId="43" fontId="59" fillId="31" borderId="8" xfId="1" applyFont="1" applyFill="1" applyBorder="1" applyAlignment="1" applyProtection="1">
      <alignment horizontal="center"/>
    </xf>
    <xf numFmtId="1" fontId="59" fillId="31" borderId="8" xfId="1" applyNumberFormat="1" applyFont="1" applyFill="1" applyBorder="1" applyAlignment="1" applyProtection="1">
      <alignment horizontal="center"/>
    </xf>
    <xf numFmtId="43" fontId="59" fillId="0" borderId="0" xfId="1" applyFont="1" applyFill="1" applyBorder="1" applyAlignment="1" applyProtection="1">
      <alignment horizontal="center"/>
    </xf>
    <xf numFmtId="43" fontId="59" fillId="31" borderId="8" xfId="1" applyFont="1" applyFill="1" applyBorder="1" applyProtection="1"/>
    <xf numFmtId="3" fontId="21" fillId="0" borderId="0" xfId="9" applyNumberFormat="1" applyAlignment="1" applyProtection="1">
      <alignment horizontal="center"/>
      <protection locked="0"/>
    </xf>
    <xf numFmtId="1" fontId="59" fillId="31" borderId="8" xfId="9" applyNumberFormat="1" applyFont="1" applyFill="1" applyBorder="1" applyAlignment="1">
      <alignment horizontal="center"/>
    </xf>
    <xf numFmtId="43" fontId="59" fillId="0" borderId="0" xfId="9" applyNumberFormat="1" applyFont="1"/>
    <xf numFmtId="43" fontId="59" fillId="31" borderId="104" xfId="1" applyFont="1" applyFill="1" applyBorder="1" applyAlignment="1" applyProtection="1">
      <alignment horizontal="center"/>
      <protection locked="0"/>
    </xf>
    <xf numFmtId="43" fontId="59" fillId="31" borderId="102" xfId="1" applyFont="1" applyFill="1" applyBorder="1" applyAlignment="1" applyProtection="1">
      <alignment horizontal="center"/>
      <protection locked="0"/>
    </xf>
    <xf numFmtId="43" fontId="21" fillId="0" borderId="0" xfId="1" applyFont="1" applyFill="1" applyBorder="1" applyAlignment="1" applyProtection="1">
      <alignment horizontal="center"/>
      <protection locked="0"/>
    </xf>
    <xf numFmtId="43" fontId="21" fillId="0" borderId="0" xfId="1" applyFont="1" applyFill="1" applyAlignment="1" applyProtection="1">
      <alignment horizontal="center"/>
      <protection locked="0"/>
    </xf>
    <xf numFmtId="168" fontId="21" fillId="0" borderId="0" xfId="0" applyNumberFormat="1" applyFont="1" applyProtection="1">
      <protection locked="0"/>
    </xf>
    <xf numFmtId="0" fontId="59" fillId="31" borderId="100" xfId="0" applyFont="1" applyFill="1" applyBorder="1" applyAlignment="1" applyProtection="1">
      <alignment horizontal="center"/>
      <protection locked="0"/>
    </xf>
    <xf numFmtId="0" fontId="59" fillId="31" borderId="102" xfId="0" applyFont="1" applyFill="1" applyBorder="1" applyAlignment="1" applyProtection="1">
      <alignment horizontal="center"/>
      <protection locked="0"/>
    </xf>
    <xf numFmtId="43" fontId="21" fillId="9" borderId="8" xfId="0" applyNumberFormat="1" applyFont="1" applyFill="1" applyBorder="1"/>
    <xf numFmtId="43" fontId="59" fillId="0" borderId="0" xfId="1" applyFont="1" applyFill="1" applyBorder="1" applyProtection="1"/>
    <xf numFmtId="0" fontId="21" fillId="0" borderId="8" xfId="0" applyFont="1" applyBorder="1"/>
    <xf numFmtId="43" fontId="59" fillId="31" borderId="8" xfId="0" applyNumberFormat="1" applyFont="1" applyFill="1" applyBorder="1"/>
    <xf numFmtId="16" fontId="11" fillId="2" borderId="17" xfId="0" quotePrefix="1" applyNumberFormat="1" applyFont="1" applyFill="1" applyBorder="1"/>
    <xf numFmtId="43" fontId="35" fillId="0" borderId="0" xfId="7" applyNumberFormat="1" applyFont="1" applyProtection="1">
      <protection locked="0"/>
    </xf>
    <xf numFmtId="0" fontId="80" fillId="0" borderId="0" xfId="0" applyFont="1"/>
    <xf numFmtId="0" fontId="79" fillId="0" borderId="0" xfId="0" applyFont="1"/>
    <xf numFmtId="0" fontId="81" fillId="0" borderId="0" xfId="0" applyFont="1"/>
    <xf numFmtId="0" fontId="82" fillId="12" borderId="77" xfId="0" applyFont="1" applyFill="1" applyBorder="1" applyAlignment="1">
      <alignment horizontal="center"/>
    </xf>
    <xf numFmtId="0" fontId="82" fillId="12" borderId="78" xfId="0" applyFont="1" applyFill="1" applyBorder="1" applyAlignment="1">
      <alignment horizontal="center"/>
    </xf>
    <xf numFmtId="0" fontId="82" fillId="12" borderId="53" xfId="0" applyFont="1" applyFill="1" applyBorder="1" applyAlignment="1">
      <alignment horizontal="center"/>
    </xf>
    <xf numFmtId="0" fontId="82" fillId="12" borderId="54" xfId="0" applyFont="1" applyFill="1" applyBorder="1" applyAlignment="1">
      <alignment horizontal="center"/>
    </xf>
    <xf numFmtId="0" fontId="82" fillId="12" borderId="55" xfId="0" applyFont="1" applyFill="1" applyBorder="1" applyAlignment="1">
      <alignment horizontal="center"/>
    </xf>
    <xf numFmtId="0" fontId="82" fillId="12" borderId="35" xfId="0" applyFont="1" applyFill="1" applyBorder="1" applyAlignment="1">
      <alignment horizontal="center"/>
    </xf>
    <xf numFmtId="0" fontId="83" fillId="0" borderId="80" xfId="0" applyFont="1" applyBorder="1"/>
    <xf numFmtId="4" fontId="84" fillId="6" borderId="81" xfId="0" applyNumberFormat="1" applyFont="1" applyFill="1" applyBorder="1"/>
    <xf numFmtId="4" fontId="84" fillId="13" borderId="81" xfId="0" applyNumberFormat="1" applyFont="1" applyFill="1" applyBorder="1"/>
    <xf numFmtId="4" fontId="85" fillId="0" borderId="83" xfId="0" applyNumberFormat="1" applyFont="1" applyBorder="1"/>
    <xf numFmtId="4" fontId="84" fillId="13" borderId="83" xfId="0" applyNumberFormat="1" applyFont="1" applyFill="1" applyBorder="1"/>
    <xf numFmtId="9" fontId="84" fillId="0" borderId="86" xfId="0" applyNumberFormat="1" applyFont="1" applyBorder="1"/>
    <xf numFmtId="9" fontId="84" fillId="0" borderId="87" xfId="0" applyNumberFormat="1" applyFont="1" applyBorder="1"/>
    <xf numFmtId="0" fontId="83" fillId="0" borderId="62" xfId="0" applyFont="1" applyBorder="1"/>
    <xf numFmtId="4" fontId="84" fillId="6" borderId="64" xfId="0" applyNumberFormat="1" applyFont="1" applyFill="1" applyBorder="1"/>
    <xf numFmtId="4" fontId="84" fillId="13" borderId="64" xfId="0" applyNumberFormat="1" applyFont="1" applyFill="1" applyBorder="1"/>
    <xf numFmtId="4" fontId="85" fillId="0" borderId="64" xfId="0" applyNumberFormat="1" applyFont="1" applyBorder="1"/>
    <xf numFmtId="4" fontId="85" fillId="0" borderId="84" xfId="0" applyNumberFormat="1" applyFont="1" applyBorder="1"/>
    <xf numFmtId="4" fontId="84" fillId="13" borderId="84" xfId="0" applyNumberFormat="1" applyFont="1" applyFill="1" applyBorder="1"/>
    <xf numFmtId="9" fontId="84" fillId="0" borderId="88" xfId="0" applyNumberFormat="1" applyFont="1" applyBorder="1"/>
    <xf numFmtId="9" fontId="85" fillId="0" borderId="89" xfId="0" applyNumberFormat="1" applyFont="1" applyBorder="1"/>
    <xf numFmtId="4" fontId="86" fillId="0" borderId="64" xfId="0" applyNumberFormat="1" applyFont="1" applyBorder="1"/>
    <xf numFmtId="9" fontId="84" fillId="0" borderId="65" xfId="0" applyNumberFormat="1" applyFont="1" applyBorder="1" applyAlignment="1">
      <alignment horizontal="center"/>
    </xf>
    <xf numFmtId="9" fontId="85" fillId="0" borderId="65" xfId="0" applyNumberFormat="1" applyFont="1" applyBorder="1" applyAlignment="1">
      <alignment horizontal="center"/>
    </xf>
    <xf numFmtId="9" fontId="84" fillId="0" borderId="89" xfId="0" applyNumberFormat="1" applyFont="1" applyBorder="1"/>
    <xf numFmtId="9" fontId="85" fillId="0" borderId="88" xfId="0" applyNumberFormat="1" applyFont="1" applyBorder="1"/>
    <xf numFmtId="0" fontId="83" fillId="0" borderId="66" xfId="0" applyFont="1" applyBorder="1"/>
    <xf numFmtId="4" fontId="84" fillId="13" borderId="67" xfId="0" applyNumberFormat="1" applyFont="1" applyFill="1" applyBorder="1"/>
    <xf numFmtId="4" fontId="85" fillId="0" borderId="67" xfId="0" applyNumberFormat="1" applyFont="1" applyBorder="1"/>
    <xf numFmtId="9" fontId="85" fillId="0" borderId="68" xfId="0" applyNumberFormat="1" applyFont="1" applyBorder="1" applyAlignment="1">
      <alignment horizontal="center"/>
    </xf>
    <xf numFmtId="4" fontId="85" fillId="0" borderId="85" xfId="0" applyNumberFormat="1" applyFont="1" applyBorder="1"/>
    <xf numFmtId="4" fontId="84" fillId="13" borderId="85" xfId="0" applyNumberFormat="1" applyFont="1" applyFill="1" applyBorder="1"/>
    <xf numFmtId="9" fontId="85" fillId="0" borderId="90" xfId="0" applyNumberFormat="1" applyFont="1" applyBorder="1"/>
    <xf numFmtId="9" fontId="85" fillId="0" borderId="91" xfId="0" applyNumberFormat="1" applyFont="1" applyBorder="1"/>
    <xf numFmtId="0" fontId="91" fillId="14" borderId="42" xfId="0" applyFont="1" applyFill="1" applyBorder="1"/>
    <xf numFmtId="4" fontId="91" fillId="14" borderId="43" xfId="0" applyNumberFormat="1" applyFont="1" applyFill="1" applyBorder="1"/>
    <xf numFmtId="9" fontId="91" fillId="14" borderId="43" xfId="0" applyNumberFormat="1" applyFont="1" applyFill="1" applyBorder="1"/>
    <xf numFmtId="10" fontId="91" fillId="14" borderId="43" xfId="0" applyNumberFormat="1" applyFont="1" applyFill="1" applyBorder="1"/>
    <xf numFmtId="9" fontId="92" fillId="14" borderId="43" xfId="0" applyNumberFormat="1" applyFont="1" applyFill="1" applyBorder="1" applyAlignment="1">
      <alignment horizontal="center"/>
    </xf>
    <xf numFmtId="9" fontId="86" fillId="14" borderId="43" xfId="0" applyNumberFormat="1" applyFont="1" applyFill="1" applyBorder="1"/>
    <xf numFmtId="9" fontId="86" fillId="14" borderId="44" xfId="0" applyNumberFormat="1" applyFont="1" applyFill="1" applyBorder="1"/>
    <xf numFmtId="4" fontId="93" fillId="0" borderId="0" xfId="0" applyNumberFormat="1" applyFont="1"/>
    <xf numFmtId="0" fontId="93" fillId="0" borderId="0" xfId="0" applyFont="1" applyAlignment="1">
      <alignment horizontal="center"/>
    </xf>
    <xf numFmtId="4" fontId="94" fillId="0" borderId="0" xfId="0" applyNumberFormat="1" applyFont="1"/>
    <xf numFmtId="4" fontId="95" fillId="0" borderId="0" xfId="0" applyNumberFormat="1" applyFont="1"/>
    <xf numFmtId="4" fontId="88" fillId="0" borderId="0" xfId="7" applyNumberFormat="1" applyFont="1" applyAlignment="1" applyProtection="1">
      <alignment vertical="justify"/>
      <protection locked="0"/>
    </xf>
    <xf numFmtId="0" fontId="88" fillId="0" borderId="0" xfId="7" applyFont="1" applyAlignment="1" applyProtection="1">
      <alignment vertical="justify"/>
      <protection locked="0"/>
    </xf>
    <xf numFmtId="0" fontId="96" fillId="0" borderId="56" xfId="0" applyFont="1" applyBorder="1"/>
    <xf numFmtId="3" fontId="97" fillId="6" borderId="57" xfId="5" applyNumberFormat="1" applyFont="1" applyFill="1" applyBorder="1" applyAlignment="1" applyProtection="1">
      <alignment horizontal="center" vertical="center"/>
      <protection locked="0"/>
    </xf>
    <xf numFmtId="3" fontId="98" fillId="13" borderId="58" xfId="5" applyNumberFormat="1" applyFont="1" applyFill="1" applyBorder="1" applyAlignment="1" applyProtection="1">
      <alignment horizontal="center" vertical="center"/>
      <protection locked="0"/>
    </xf>
    <xf numFmtId="43" fontId="99" fillId="0" borderId="58" xfId="5" applyFont="1" applyBorder="1" applyAlignment="1" applyProtection="1">
      <alignment vertical="center"/>
    </xf>
    <xf numFmtId="3" fontId="99" fillId="0" borderId="58" xfId="7" applyNumberFormat="1" applyFont="1" applyBorder="1" applyAlignment="1" applyProtection="1">
      <alignment horizontal="center" vertical="center"/>
      <protection locked="0"/>
    </xf>
    <xf numFmtId="3" fontId="98" fillId="13" borderId="58" xfId="7" applyNumberFormat="1" applyFont="1" applyFill="1" applyBorder="1" applyAlignment="1" applyProtection="1">
      <alignment horizontal="center" vertical="center"/>
      <protection locked="0"/>
    </xf>
    <xf numFmtId="9" fontId="84" fillId="0" borderId="74" xfId="0" applyNumberFormat="1" applyFont="1" applyBorder="1"/>
    <xf numFmtId="0" fontId="96" fillId="0" borderId="60" xfId="0" applyFont="1" applyBorder="1"/>
    <xf numFmtId="3" fontId="98" fillId="13" borderId="57" xfId="5" applyNumberFormat="1" applyFont="1" applyFill="1" applyBorder="1" applyAlignment="1" applyProtection="1">
      <alignment horizontal="center" vertical="center"/>
      <protection locked="0"/>
    </xf>
    <xf numFmtId="43" fontId="99" fillId="0" borderId="57" xfId="5" applyFont="1" applyBorder="1" applyAlignment="1" applyProtection="1">
      <alignment vertical="center"/>
    </xf>
    <xf numFmtId="3" fontId="99" fillId="0" borderId="57" xfId="7" applyNumberFormat="1" applyFont="1" applyBorder="1" applyAlignment="1" applyProtection="1">
      <alignment horizontal="center" vertical="center"/>
      <protection locked="0"/>
    </xf>
    <xf numFmtId="3" fontId="98" fillId="13" borderId="57" xfId="7" applyNumberFormat="1" applyFont="1" applyFill="1" applyBorder="1" applyAlignment="1" applyProtection="1">
      <alignment horizontal="center" vertical="center"/>
      <protection locked="0"/>
    </xf>
    <xf numFmtId="9" fontId="84" fillId="0" borderId="75" xfId="0" applyNumberFormat="1" applyFont="1" applyBorder="1"/>
    <xf numFmtId="9" fontId="85" fillId="0" borderId="75" xfId="0" applyNumberFormat="1" applyFont="1" applyBorder="1"/>
    <xf numFmtId="0" fontId="96" fillId="0" borderId="62" xfId="0" applyFont="1" applyBorder="1"/>
    <xf numFmtId="3" fontId="97" fillId="0" borderId="63" xfId="1" applyNumberFormat="1" applyFont="1" applyBorder="1" applyAlignment="1">
      <alignment horizontal="center"/>
    </xf>
    <xf numFmtId="3" fontId="84" fillId="13" borderId="63" xfId="1" applyNumberFormat="1" applyFont="1" applyFill="1" applyBorder="1" applyAlignment="1">
      <alignment horizontal="center"/>
    </xf>
    <xf numFmtId="3" fontId="84" fillId="13" borderId="63" xfId="0" applyNumberFormat="1" applyFont="1" applyFill="1" applyBorder="1" applyAlignment="1">
      <alignment horizontal="center"/>
    </xf>
    <xf numFmtId="3" fontId="85" fillId="0" borderId="57" xfId="0" applyNumberFormat="1" applyFont="1" applyBorder="1" applyAlignment="1">
      <alignment horizontal="center"/>
    </xf>
    <xf numFmtId="3" fontId="84" fillId="13" borderId="57" xfId="0" applyNumberFormat="1" applyFont="1" applyFill="1" applyBorder="1" applyAlignment="1">
      <alignment horizontal="center"/>
    </xf>
    <xf numFmtId="3" fontId="97" fillId="0" borderId="64" xfId="1" applyNumberFormat="1" applyFont="1" applyBorder="1" applyAlignment="1">
      <alignment horizontal="center"/>
    </xf>
    <xf numFmtId="3" fontId="84" fillId="13" borderId="64" xfId="1" applyNumberFormat="1" applyFont="1" applyFill="1" applyBorder="1" applyAlignment="1">
      <alignment horizontal="center"/>
    </xf>
    <xf numFmtId="3" fontId="84" fillId="13" borderId="64" xfId="0" applyNumberFormat="1" applyFont="1" applyFill="1" applyBorder="1" applyAlignment="1">
      <alignment horizontal="center"/>
    </xf>
    <xf numFmtId="0" fontId="96" fillId="0" borderId="66" xfId="0" applyFont="1" applyBorder="1"/>
    <xf numFmtId="3" fontId="97" fillId="0" borderId="67" xfId="1" applyNumberFormat="1" applyFont="1" applyBorder="1" applyAlignment="1">
      <alignment horizontal="center"/>
    </xf>
    <xf numFmtId="3" fontId="84" fillId="13" borderId="67" xfId="1" applyNumberFormat="1" applyFont="1" applyFill="1" applyBorder="1" applyAlignment="1">
      <alignment horizontal="center"/>
    </xf>
    <xf numFmtId="3" fontId="84" fillId="13" borderId="67" xfId="0" applyNumberFormat="1" applyFont="1" applyFill="1" applyBorder="1" applyAlignment="1">
      <alignment horizontal="center"/>
    </xf>
    <xf numFmtId="43" fontId="99" fillId="0" borderId="69" xfId="5" applyFont="1" applyBorder="1" applyAlignment="1" applyProtection="1">
      <alignment vertical="center"/>
    </xf>
    <xf numFmtId="3" fontId="85" fillId="0" borderId="69" xfId="0" applyNumberFormat="1" applyFont="1" applyBorder="1" applyAlignment="1">
      <alignment horizontal="center"/>
    </xf>
    <xf numFmtId="3" fontId="84" fillId="13" borderId="69" xfId="0" applyNumberFormat="1" applyFont="1" applyFill="1" applyBorder="1" applyAlignment="1">
      <alignment horizontal="center"/>
    </xf>
    <xf numFmtId="9" fontId="85" fillId="0" borderId="76" xfId="0" applyNumberFormat="1" applyFont="1" applyBorder="1"/>
    <xf numFmtId="0" fontId="100" fillId="14" borderId="70" xfId="0" applyFont="1" applyFill="1" applyBorder="1"/>
    <xf numFmtId="3" fontId="84" fillId="14" borderId="70" xfId="1" applyNumberFormat="1" applyFont="1" applyFill="1" applyBorder="1" applyAlignment="1">
      <alignment horizontal="center"/>
    </xf>
    <xf numFmtId="9" fontId="84" fillId="14" borderId="70" xfId="0" applyNumberFormat="1" applyFont="1" applyFill="1" applyBorder="1"/>
    <xf numFmtId="37" fontId="84" fillId="14" borderId="70" xfId="1" applyNumberFormat="1" applyFont="1" applyFill="1" applyBorder="1"/>
    <xf numFmtId="14" fontId="5" fillId="0" borderId="8" xfId="0" applyNumberFormat="1" applyFont="1" applyBorder="1" applyAlignment="1">
      <alignment horizontal="center"/>
    </xf>
    <xf numFmtId="0" fontId="4" fillId="0" borderId="8" xfId="0" applyFont="1" applyBorder="1" applyAlignment="1">
      <alignment horizontal="center"/>
    </xf>
    <xf numFmtId="14" fontId="3" fillId="0" borderId="8" xfId="0" applyNumberFormat="1" applyFont="1" applyBorder="1" applyAlignment="1">
      <alignment horizontal="center"/>
    </xf>
    <xf numFmtId="0" fontId="2" fillId="0" borderId="8" xfId="0" applyFont="1" applyBorder="1" applyAlignment="1">
      <alignment horizontal="center"/>
    </xf>
    <xf numFmtId="40" fontId="46" fillId="0" borderId="20" xfId="5" applyNumberFormat="1" applyFont="1" applyBorder="1" applyAlignment="1" applyProtection="1">
      <alignment vertical="center"/>
    </xf>
    <xf numFmtId="9" fontId="46" fillId="0" borderId="22" xfId="10" applyFont="1" applyBorder="1" applyAlignment="1" applyProtection="1">
      <alignment vertical="center"/>
    </xf>
    <xf numFmtId="9" fontId="35" fillId="18" borderId="22" xfId="10" applyFont="1" applyFill="1" applyBorder="1" applyAlignment="1" applyProtection="1">
      <alignment vertical="center"/>
      <protection locked="0"/>
    </xf>
    <xf numFmtId="9" fontId="35" fillId="18" borderId="22" xfId="2" applyFont="1" applyFill="1" applyBorder="1" applyAlignment="1" applyProtection="1">
      <alignment vertical="center"/>
      <protection locked="0"/>
    </xf>
    <xf numFmtId="10" fontId="54" fillId="18" borderId="22" xfId="10" applyNumberFormat="1" applyFont="1" applyFill="1" applyBorder="1" applyAlignment="1" applyProtection="1">
      <alignment vertical="center"/>
    </xf>
    <xf numFmtId="43" fontId="55" fillId="0" borderId="114" xfId="5" applyFont="1" applyFill="1" applyBorder="1" applyAlignment="1" applyProtection="1">
      <alignment vertical="center"/>
      <protection locked="0"/>
    </xf>
    <xf numFmtId="40" fontId="55" fillId="0" borderId="116" xfId="5" applyNumberFormat="1" applyFont="1" applyFill="1" applyBorder="1" applyAlignment="1" applyProtection="1">
      <alignment vertical="center"/>
    </xf>
    <xf numFmtId="40" fontId="35" fillId="0" borderId="116" xfId="5" applyNumberFormat="1" applyFont="1" applyFill="1" applyBorder="1" applyAlignment="1" applyProtection="1">
      <alignment vertical="center"/>
    </xf>
    <xf numFmtId="10" fontId="55" fillId="0" borderId="119" xfId="10" applyNumberFormat="1" applyFont="1" applyFill="1" applyBorder="1" applyAlignment="1" applyProtection="1">
      <alignment vertical="center"/>
    </xf>
    <xf numFmtId="43" fontId="36" fillId="8" borderId="8" xfId="1" applyFont="1" applyFill="1" applyBorder="1" applyProtection="1">
      <protection locked="0"/>
    </xf>
    <xf numFmtId="43" fontId="36" fillId="8" borderId="23" xfId="1" applyFont="1" applyFill="1" applyBorder="1" applyAlignment="1" applyProtection="1">
      <alignment horizontal="center"/>
    </xf>
    <xf numFmtId="43" fontId="36" fillId="8" borderId="26" xfId="1" applyFont="1" applyFill="1" applyBorder="1" applyAlignment="1" applyProtection="1">
      <alignment horizontal="center"/>
    </xf>
    <xf numFmtId="43" fontId="36" fillId="8" borderId="8" xfId="1" applyFont="1" applyFill="1" applyBorder="1" applyAlignment="1" applyProtection="1">
      <alignment horizontal="center"/>
    </xf>
    <xf numFmtId="43" fontId="36" fillId="0" borderId="115" xfId="1" applyFont="1" applyBorder="1" applyAlignment="1" applyProtection="1">
      <alignment horizontal="center"/>
    </xf>
    <xf numFmtId="10" fontId="36" fillId="0" borderId="111" xfId="2" applyNumberFormat="1" applyFont="1" applyBorder="1" applyAlignment="1" applyProtection="1">
      <alignment horizontal="center"/>
    </xf>
    <xf numFmtId="43" fontId="36" fillId="0" borderId="117" xfId="1" applyFont="1" applyBorder="1" applyAlignment="1" applyProtection="1">
      <alignment horizontal="center"/>
    </xf>
    <xf numFmtId="10" fontId="36" fillId="0" borderId="118" xfId="2" applyNumberFormat="1" applyFont="1" applyBorder="1" applyAlignment="1" applyProtection="1">
      <alignment horizontal="center"/>
    </xf>
    <xf numFmtId="4" fontId="37" fillId="14" borderId="7" xfId="5" applyNumberFormat="1" applyFont="1" applyFill="1" applyBorder="1" applyAlignment="1" applyProtection="1"/>
    <xf numFmtId="10" fontId="37" fillId="14" borderId="7" xfId="10" applyNumberFormat="1" applyFont="1" applyFill="1" applyBorder="1" applyAlignment="1" applyProtection="1">
      <alignment horizontal="center"/>
    </xf>
    <xf numFmtId="0" fontId="44" fillId="22" borderId="112" xfId="7" applyFont="1" applyFill="1" applyBorder="1" applyAlignment="1" applyProtection="1">
      <alignment horizontal="center" vertical="center" wrapText="1"/>
      <protection locked="0"/>
    </xf>
    <xf numFmtId="0" fontId="44" fillId="22" borderId="27" xfId="7" applyFont="1" applyFill="1" applyBorder="1" applyAlignment="1" applyProtection="1">
      <alignment horizontal="center" vertical="center" wrapText="1"/>
      <protection locked="0"/>
    </xf>
    <xf numFmtId="0" fontId="44" fillId="22" borderId="114" xfId="7" applyFont="1" applyFill="1" applyBorder="1" applyAlignment="1" applyProtection="1">
      <alignment horizontal="center" vertical="center" wrapText="1"/>
      <protection locked="0"/>
    </xf>
    <xf numFmtId="43" fontId="36" fillId="0" borderId="115" xfId="1" applyFont="1" applyFill="1" applyBorder="1" applyProtection="1">
      <protection locked="0"/>
    </xf>
    <xf numFmtId="43" fontId="36" fillId="13" borderId="111" xfId="1" applyFont="1" applyFill="1" applyBorder="1" applyProtection="1"/>
    <xf numFmtId="10" fontId="36" fillId="0" borderId="116" xfId="10" applyNumberFormat="1" applyFont="1" applyBorder="1" applyAlignment="1" applyProtection="1">
      <alignment horizontal="center"/>
    </xf>
    <xf numFmtId="10" fontId="36" fillId="0" borderId="116" xfId="11" applyNumberFormat="1" applyFont="1" applyBorder="1" applyAlignment="1" applyProtection="1">
      <alignment horizontal="center"/>
    </xf>
    <xf numFmtId="43" fontId="36" fillId="0" borderId="117" xfId="1" applyFont="1" applyFill="1" applyBorder="1" applyProtection="1">
      <protection locked="0"/>
    </xf>
    <xf numFmtId="43" fontId="36" fillId="13" borderId="118" xfId="1" applyFont="1" applyFill="1" applyBorder="1" applyProtection="1"/>
    <xf numFmtId="10" fontId="36" fillId="0" borderId="119" xfId="10" applyNumberFormat="1" applyFont="1" applyBorder="1" applyAlignment="1" applyProtection="1">
      <alignment horizontal="center"/>
    </xf>
    <xf numFmtId="0" fontId="44" fillId="23" borderId="112" xfId="7" applyFont="1" applyFill="1" applyBorder="1" applyAlignment="1" applyProtection="1">
      <alignment horizontal="center" vertical="center" wrapText="1"/>
      <protection locked="0"/>
    </xf>
    <xf numFmtId="0" fontId="44" fillId="23" borderId="113" xfId="7" applyFont="1" applyFill="1" applyBorder="1" applyAlignment="1" applyProtection="1">
      <alignment horizontal="center" vertical="center" wrapText="1"/>
      <protection locked="0"/>
    </xf>
    <xf numFmtId="0" fontId="44" fillId="23" borderId="114" xfId="7" applyFont="1" applyFill="1" applyBorder="1" applyAlignment="1" applyProtection="1">
      <alignment horizontal="center" vertical="center" wrapText="1"/>
      <protection locked="0"/>
    </xf>
    <xf numFmtId="1" fontId="21" fillId="0" borderId="115" xfId="0" applyNumberFormat="1" applyFont="1" applyBorder="1" applyAlignment="1" applyProtection="1">
      <alignment horizontal="center"/>
      <protection locked="0"/>
    </xf>
    <xf numFmtId="167" fontId="36" fillId="20" borderId="111" xfId="5" applyNumberFormat="1" applyFont="1" applyFill="1" applyBorder="1" applyAlignment="1" applyProtection="1">
      <alignment vertical="justify"/>
    </xf>
    <xf numFmtId="10" fontId="36" fillId="0" borderId="111" xfId="10" applyNumberFormat="1" applyFont="1" applyBorder="1" applyProtection="1"/>
    <xf numFmtId="3" fontId="21" fillId="0" borderId="111" xfId="0" applyNumberFormat="1" applyFont="1" applyBorder="1" applyAlignment="1" applyProtection="1">
      <alignment horizontal="center"/>
      <protection locked="0"/>
    </xf>
    <xf numFmtId="3" fontId="36" fillId="20" borderId="111" xfId="0" applyNumberFormat="1" applyFont="1" applyFill="1" applyBorder="1"/>
    <xf numFmtId="10" fontId="36" fillId="0" borderId="116" xfId="10" applyNumberFormat="1" applyFont="1" applyBorder="1" applyProtection="1"/>
    <xf numFmtId="1" fontId="21" fillId="0" borderId="111" xfId="0" applyNumberFormat="1" applyFont="1" applyBorder="1" applyAlignment="1" applyProtection="1">
      <alignment horizontal="center"/>
      <protection locked="0"/>
    </xf>
    <xf numFmtId="167" fontId="36" fillId="20" borderId="111" xfId="6" applyNumberFormat="1" applyFont="1" applyFill="1" applyBorder="1" applyAlignment="1" applyProtection="1">
      <alignment vertical="justify"/>
    </xf>
    <xf numFmtId="10" fontId="36" fillId="0" borderId="111" xfId="11" applyNumberFormat="1" applyFont="1" applyBorder="1" applyProtection="1"/>
    <xf numFmtId="10" fontId="36" fillId="0" borderId="116" xfId="11" applyNumberFormat="1" applyFont="1" applyBorder="1" applyProtection="1"/>
    <xf numFmtId="1" fontId="21" fillId="0" borderId="117" xfId="0" applyNumberFormat="1" applyFont="1" applyBorder="1" applyAlignment="1" applyProtection="1">
      <alignment horizontal="center"/>
      <protection locked="0"/>
    </xf>
    <xf numFmtId="167" fontId="36" fillId="20" borderId="118" xfId="6" applyNumberFormat="1" applyFont="1" applyFill="1" applyBorder="1" applyAlignment="1" applyProtection="1">
      <alignment vertical="justify"/>
    </xf>
    <xf numFmtId="10" fontId="36" fillId="0" borderId="118" xfId="10" applyNumberFormat="1" applyFont="1" applyBorder="1" applyProtection="1"/>
    <xf numFmtId="3" fontId="21" fillId="0" borderId="118" xfId="0" applyNumberFormat="1" applyFont="1" applyBorder="1" applyAlignment="1" applyProtection="1">
      <alignment horizontal="center"/>
      <protection locked="0"/>
    </xf>
    <xf numFmtId="3" fontId="36" fillId="20" borderId="118" xfId="0" applyNumberFormat="1" applyFont="1" applyFill="1" applyBorder="1"/>
    <xf numFmtId="10" fontId="36" fillId="0" borderId="119" xfId="10" applyNumberFormat="1" applyFont="1" applyBorder="1" applyProtection="1"/>
    <xf numFmtId="0" fontId="44" fillId="2" borderId="112" xfId="7" applyFont="1" applyFill="1" applyBorder="1" applyAlignment="1" applyProtection="1">
      <alignment horizontal="center" vertical="center" wrapText="1"/>
      <protection locked="0"/>
    </xf>
    <xf numFmtId="0" fontId="44" fillId="2" borderId="113" xfId="7" applyFont="1" applyFill="1" applyBorder="1" applyAlignment="1" applyProtection="1">
      <alignment horizontal="center" vertical="center" wrapText="1"/>
      <protection locked="0"/>
    </xf>
    <xf numFmtId="0" fontId="44" fillId="2" borderId="114" xfId="7" applyFont="1" applyFill="1" applyBorder="1" applyAlignment="1" applyProtection="1">
      <alignment horizontal="center" vertical="center" wrapText="1"/>
      <protection locked="0"/>
    </xf>
    <xf numFmtId="3" fontId="21" fillId="0" borderId="115" xfId="0" applyNumberFormat="1" applyFont="1" applyBorder="1" applyAlignment="1" applyProtection="1">
      <alignment horizontal="center"/>
      <protection locked="0"/>
    </xf>
    <xf numFmtId="3" fontId="36" fillId="20" borderId="111" xfId="7" applyNumberFormat="1" applyFont="1" applyFill="1" applyBorder="1"/>
    <xf numFmtId="3" fontId="36" fillId="0" borderId="111" xfId="7" applyNumberFormat="1" applyFont="1" applyBorder="1"/>
    <xf numFmtId="3" fontId="36" fillId="13" borderId="111" xfId="7" applyNumberFormat="1" applyFont="1" applyFill="1" applyBorder="1"/>
    <xf numFmtId="3" fontId="36" fillId="0" borderId="111" xfId="8" applyNumberFormat="1" applyFont="1" applyBorder="1"/>
    <xf numFmtId="3" fontId="36" fillId="13" borderId="111" xfId="8" applyNumberFormat="1" applyFont="1" applyFill="1" applyBorder="1"/>
    <xf numFmtId="3" fontId="21" fillId="0" borderId="117" xfId="0" applyNumberFormat="1" applyFont="1" applyBorder="1" applyAlignment="1" applyProtection="1">
      <alignment horizontal="center"/>
      <protection locked="0"/>
    </xf>
    <xf numFmtId="3" fontId="36" fillId="20" borderId="118" xfId="8" applyNumberFormat="1" applyFont="1" applyFill="1" applyBorder="1"/>
    <xf numFmtId="3" fontId="36" fillId="0" borderId="118" xfId="7" applyNumberFormat="1" applyFont="1" applyBorder="1"/>
    <xf numFmtId="3" fontId="36" fillId="13" borderId="118" xfId="7" applyNumberFormat="1" applyFont="1" applyFill="1" applyBorder="1"/>
    <xf numFmtId="0" fontId="44" fillId="17" borderId="112" xfId="7" applyFont="1" applyFill="1" applyBorder="1" applyAlignment="1" applyProtection="1">
      <alignment horizontal="center" vertical="center" wrapText="1"/>
      <protection locked="0"/>
    </xf>
    <xf numFmtId="0" fontId="44" fillId="17" borderId="113" xfId="7" applyFont="1" applyFill="1" applyBorder="1" applyAlignment="1" applyProtection="1">
      <alignment horizontal="center" vertical="center" wrapText="1"/>
      <protection locked="0"/>
    </xf>
    <xf numFmtId="0" fontId="44" fillId="17" borderId="114" xfId="7" applyFont="1" applyFill="1" applyBorder="1" applyAlignment="1" applyProtection="1">
      <alignment horizontal="center" vertical="center" wrapText="1"/>
      <protection locked="0"/>
    </xf>
    <xf numFmtId="3" fontId="36" fillId="0" borderId="115" xfId="7" applyNumberFormat="1" applyFont="1" applyBorder="1" applyProtection="1">
      <protection locked="0"/>
    </xf>
    <xf numFmtId="3" fontId="36" fillId="13" borderId="111" xfId="7" applyNumberFormat="1" applyFont="1" applyFill="1" applyBorder="1" applyProtection="1">
      <protection locked="0"/>
    </xf>
    <xf numFmtId="3" fontId="36" fillId="0" borderId="115" xfId="8" applyNumberFormat="1" applyFont="1" applyBorder="1" applyProtection="1">
      <protection locked="0"/>
    </xf>
    <xf numFmtId="3" fontId="36" fillId="13" borderId="111" xfId="8" applyNumberFormat="1" applyFont="1" applyFill="1" applyBorder="1" applyProtection="1">
      <protection locked="0"/>
    </xf>
    <xf numFmtId="3" fontId="36" fillId="0" borderId="117" xfId="7" applyNumberFormat="1" applyFont="1" applyBorder="1" applyProtection="1">
      <protection locked="0"/>
    </xf>
    <xf numFmtId="3" fontId="36" fillId="13" borderId="118" xfId="7" applyNumberFormat="1" applyFont="1" applyFill="1" applyBorder="1" applyProtection="1">
      <protection locked="0"/>
    </xf>
    <xf numFmtId="0" fontId="44" fillId="24" borderId="112" xfId="7" applyFont="1" applyFill="1" applyBorder="1" applyAlignment="1">
      <alignment horizontal="center" vertical="center" wrapText="1"/>
    </xf>
    <xf numFmtId="0" fontId="44" fillId="24" borderId="113" xfId="7" applyFont="1" applyFill="1" applyBorder="1" applyAlignment="1">
      <alignment horizontal="center" vertical="center" wrapText="1"/>
    </xf>
    <xf numFmtId="0" fontId="44" fillId="24" borderId="114" xfId="7" applyFont="1" applyFill="1" applyBorder="1" applyAlignment="1">
      <alignment horizontal="center" vertical="center" wrapText="1"/>
    </xf>
    <xf numFmtId="167" fontId="36" fillId="0" borderId="115" xfId="4" applyNumberFormat="1" applyFont="1" applyFill="1" applyBorder="1" applyProtection="1">
      <protection locked="0"/>
    </xf>
    <xf numFmtId="167" fontId="36" fillId="13" borderId="111" xfId="6" applyNumberFormat="1" applyFont="1" applyFill="1" applyBorder="1" applyAlignment="1" applyProtection="1">
      <alignment vertical="justify"/>
      <protection locked="0"/>
    </xf>
    <xf numFmtId="9" fontId="36" fillId="0" borderId="111" xfId="2" applyFont="1" applyBorder="1"/>
    <xf numFmtId="3" fontId="36" fillId="0" borderId="111" xfId="0" applyNumberFormat="1" applyFont="1" applyBorder="1" applyProtection="1">
      <protection locked="0"/>
    </xf>
    <xf numFmtId="0" fontId="36" fillId="13" borderId="111" xfId="8" applyFont="1" applyFill="1" applyBorder="1" applyProtection="1">
      <protection locked="0"/>
    </xf>
    <xf numFmtId="9" fontId="36" fillId="0" borderId="111" xfId="10" applyFont="1" applyBorder="1"/>
    <xf numFmtId="9" fontId="36" fillId="13" borderId="111" xfId="2" applyFont="1" applyFill="1" applyBorder="1"/>
    <xf numFmtId="9" fontId="36" fillId="0" borderId="116" xfId="10" applyFont="1" applyBorder="1"/>
    <xf numFmtId="9" fontId="36" fillId="0" borderId="111" xfId="11" applyFont="1" applyBorder="1"/>
    <xf numFmtId="167" fontId="37" fillId="0" borderId="115" xfId="4" applyNumberFormat="1" applyFont="1" applyFill="1" applyBorder="1" applyProtection="1">
      <protection locked="0"/>
    </xf>
    <xf numFmtId="3" fontId="37" fillId="0" borderId="111" xfId="0" applyNumberFormat="1" applyFont="1" applyBorder="1" applyProtection="1">
      <protection locked="0"/>
    </xf>
    <xf numFmtId="9" fontId="36" fillId="0" borderId="116" xfId="11" applyFont="1" applyBorder="1"/>
    <xf numFmtId="9" fontId="36" fillId="0" borderId="111" xfId="11" applyFont="1" applyFill="1" applyBorder="1"/>
    <xf numFmtId="9" fontId="36" fillId="0" borderId="111" xfId="2" applyFont="1" applyFill="1" applyBorder="1"/>
    <xf numFmtId="9" fontId="36" fillId="0" borderId="116" xfId="11" applyFont="1" applyFill="1" applyBorder="1"/>
    <xf numFmtId="0" fontId="36" fillId="0" borderId="111" xfId="8" applyFont="1" applyBorder="1"/>
    <xf numFmtId="0" fontId="36" fillId="13" borderId="111" xfId="8" applyFont="1" applyFill="1" applyBorder="1"/>
    <xf numFmtId="167" fontId="36" fillId="0" borderId="117" xfId="5" applyNumberFormat="1" applyFont="1" applyFill="1" applyBorder="1" applyAlignment="1" applyProtection="1">
      <alignment vertical="justify"/>
      <protection locked="0"/>
    </xf>
    <xf numFmtId="167" fontId="36" fillId="13" borderId="118" xfId="5" applyNumberFormat="1" applyFont="1" applyFill="1" applyBorder="1" applyAlignment="1" applyProtection="1">
      <alignment vertical="justify"/>
      <protection locked="0"/>
    </xf>
    <xf numFmtId="9" fontId="36" fillId="0" borderId="118" xfId="10" applyFont="1" applyBorder="1"/>
    <xf numFmtId="0" fontId="36" fillId="0" borderId="118" xfId="7" applyFont="1" applyBorder="1" applyProtection="1">
      <protection locked="0"/>
    </xf>
    <xf numFmtId="0" fontId="36" fillId="13" borderId="118" xfId="7" applyFont="1" applyFill="1" applyBorder="1" applyProtection="1">
      <protection locked="0"/>
    </xf>
    <xf numFmtId="0" fontId="36" fillId="13" borderId="118" xfId="7" applyFont="1" applyFill="1" applyBorder="1"/>
    <xf numFmtId="9" fontId="36" fillId="0" borderId="119" xfId="10" applyFont="1" applyBorder="1"/>
    <xf numFmtId="0" fontId="44" fillId="25" borderId="112" xfId="7" applyFont="1" applyFill="1" applyBorder="1" applyAlignment="1" applyProtection="1">
      <alignment horizontal="center" vertical="center" wrapText="1"/>
      <protection locked="0"/>
    </xf>
    <xf numFmtId="0" fontId="44" fillId="25" borderId="113" xfId="7" applyFont="1" applyFill="1" applyBorder="1" applyAlignment="1" applyProtection="1">
      <alignment horizontal="center" vertical="center" wrapText="1"/>
      <protection locked="0"/>
    </xf>
    <xf numFmtId="0" fontId="44" fillId="25" borderId="114" xfId="7" applyFont="1" applyFill="1" applyBorder="1" applyAlignment="1" applyProtection="1">
      <alignment horizontal="center" vertical="center" wrapText="1"/>
      <protection locked="0"/>
    </xf>
    <xf numFmtId="10" fontId="101" fillId="0" borderId="116" xfId="10" applyNumberFormat="1" applyFont="1" applyFill="1" applyBorder="1" applyAlignment="1" applyProtection="1">
      <alignment horizontal="right" vertical="center"/>
    </xf>
    <xf numFmtId="10" fontId="46" fillId="0" borderId="16" xfId="2" applyNumberFormat="1" applyFont="1" applyBorder="1" applyAlignment="1" applyProtection="1">
      <alignment vertical="center"/>
    </xf>
    <xf numFmtId="4" fontId="102" fillId="14" borderId="16" xfId="5" applyNumberFormat="1" applyFont="1" applyFill="1" applyBorder="1" applyAlignment="1" applyProtection="1"/>
    <xf numFmtId="0" fontId="0" fillId="0" borderId="111" xfId="0" applyBorder="1" applyAlignment="1">
      <alignment horizontal="center"/>
    </xf>
    <xf numFmtId="43" fontId="0" fillId="0" borderId="111" xfId="1" applyFont="1" applyBorder="1"/>
    <xf numFmtId="43" fontId="0" fillId="0" borderId="111" xfId="1" applyFont="1" applyBorder="1" applyAlignment="1">
      <alignment horizontal="right"/>
    </xf>
    <xf numFmtId="16" fontId="21" fillId="34" borderId="111" xfId="9" applyNumberFormat="1" applyFill="1" applyBorder="1" applyAlignment="1">
      <alignment horizontal="left"/>
    </xf>
    <xf numFmtId="43" fontId="104" fillId="0" borderId="111" xfId="0" applyNumberFormat="1" applyFont="1" applyBorder="1" applyAlignment="1" applyProtection="1">
      <alignment horizontal="center"/>
      <protection locked="0"/>
    </xf>
    <xf numFmtId="43" fontId="21" fillId="34" borderId="111" xfId="9" applyNumberFormat="1" applyFill="1" applyBorder="1" applyAlignment="1">
      <alignment horizontal="center"/>
    </xf>
    <xf numFmtId="3" fontId="104" fillId="0" borderId="111" xfId="0" applyNumberFormat="1" applyFont="1" applyBorder="1" applyAlignment="1" applyProtection="1">
      <alignment horizontal="center"/>
      <protection locked="0"/>
    </xf>
    <xf numFmtId="43" fontId="104" fillId="34" borderId="111" xfId="0" applyNumberFormat="1" applyFont="1" applyFill="1" applyBorder="1" applyAlignment="1">
      <alignment horizontal="center"/>
    </xf>
    <xf numFmtId="3" fontId="104" fillId="0" borderId="0" xfId="0" applyNumberFormat="1" applyFont="1" applyAlignment="1" applyProtection="1">
      <alignment horizontal="center"/>
      <protection locked="0"/>
    </xf>
    <xf numFmtId="43" fontId="104" fillId="0" borderId="111" xfId="1" applyFont="1" applyFill="1" applyBorder="1" applyProtection="1">
      <protection locked="0"/>
    </xf>
    <xf numFmtId="43" fontId="104" fillId="34" borderId="111" xfId="0" applyNumberFormat="1" applyFont="1" applyFill="1" applyBorder="1"/>
    <xf numFmtId="43" fontId="104" fillId="34" borderId="7" xfId="0" applyNumberFormat="1" applyFont="1" applyFill="1" applyBorder="1"/>
    <xf numFmtId="0" fontId="104" fillId="0" borderId="0" xfId="0" applyFont="1" applyProtection="1">
      <protection locked="0"/>
    </xf>
    <xf numFmtId="0" fontId="0" fillId="0" borderId="118" xfId="0" applyBorder="1" applyAlignment="1">
      <alignment horizontal="center"/>
    </xf>
    <xf numFmtId="0" fontId="6" fillId="0" borderId="48" xfId="0" applyFont="1" applyBorder="1" applyAlignment="1">
      <alignment horizontal="center"/>
    </xf>
    <xf numFmtId="16" fontId="0" fillId="0" borderId="112" xfId="0" applyNumberFormat="1" applyBorder="1"/>
    <xf numFmtId="43" fontId="0" fillId="0" borderId="113" xfId="1" applyFont="1" applyBorder="1" applyAlignment="1">
      <alignment horizontal="right"/>
    </xf>
    <xf numFmtId="16" fontId="0" fillId="0" borderId="115" xfId="0" applyNumberFormat="1" applyBorder="1"/>
    <xf numFmtId="16" fontId="0" fillId="0" borderId="117" xfId="0" applyNumberFormat="1" applyBorder="1"/>
    <xf numFmtId="43" fontId="0" fillId="0" borderId="113" xfId="0" applyNumberFormat="1" applyBorder="1"/>
    <xf numFmtId="43" fontId="0" fillId="0" borderId="118" xfId="1" applyFont="1" applyBorder="1"/>
    <xf numFmtId="4" fontId="85" fillId="0" borderId="82" xfId="0" applyNumberFormat="1" applyFont="1" applyBorder="1"/>
    <xf numFmtId="4" fontId="85" fillId="0" borderId="65" xfId="0" applyNumberFormat="1" applyFont="1" applyBorder="1"/>
    <xf numFmtId="9" fontId="87" fillId="0" borderId="59" xfId="0" applyNumberFormat="1" applyFont="1" applyBorder="1" applyAlignment="1">
      <alignment horizontal="center"/>
    </xf>
    <xf numFmtId="9" fontId="89" fillId="0" borderId="61" xfId="0" applyNumberFormat="1" applyFont="1" applyBorder="1" applyAlignment="1">
      <alignment horizontal="center"/>
    </xf>
    <xf numFmtId="9" fontId="90" fillId="0" borderId="61" xfId="0" applyNumberFormat="1" applyFont="1" applyBorder="1" applyAlignment="1">
      <alignment horizontal="center"/>
    </xf>
    <xf numFmtId="4" fontId="86" fillId="0" borderId="63" xfId="0" applyNumberFormat="1" applyFont="1" applyBorder="1"/>
    <xf numFmtId="4" fontId="85" fillId="0" borderId="0" xfId="0" applyNumberFormat="1" applyFont="1"/>
    <xf numFmtId="43" fontId="95" fillId="0" borderId="0" xfId="5" applyFont="1" applyBorder="1" applyAlignment="1" applyProtection="1">
      <alignment vertical="center"/>
      <protection locked="0"/>
    </xf>
    <xf numFmtId="10" fontId="0" fillId="35" borderId="114" xfId="2" applyNumberFormat="1" applyFont="1" applyFill="1" applyBorder="1" applyAlignment="1">
      <alignment horizontal="center"/>
    </xf>
    <xf numFmtId="10" fontId="0" fillId="35" borderId="116" xfId="2" applyNumberFormat="1" applyFont="1" applyFill="1" applyBorder="1" applyAlignment="1">
      <alignment horizontal="center"/>
    </xf>
    <xf numFmtId="10" fontId="0" fillId="35" borderId="119" xfId="2" applyNumberFormat="1" applyFont="1" applyFill="1" applyBorder="1" applyAlignment="1">
      <alignment horizontal="center"/>
    </xf>
    <xf numFmtId="0" fontId="105" fillId="14" borderId="13" xfId="7" applyFont="1" applyFill="1" applyBorder="1"/>
    <xf numFmtId="43" fontId="105" fillId="14" borderId="14" xfId="7" applyNumberFormat="1" applyFont="1" applyFill="1" applyBorder="1"/>
    <xf numFmtId="10" fontId="106" fillId="14" borderId="6" xfId="2" applyNumberFormat="1" applyFont="1" applyFill="1" applyBorder="1"/>
    <xf numFmtId="0" fontId="107" fillId="0" borderId="0" xfId="0" applyFont="1"/>
    <xf numFmtId="0" fontId="26" fillId="0" borderId="112" xfId="0" applyFont="1" applyBorder="1"/>
    <xf numFmtId="0" fontId="26" fillId="0" borderId="113" xfId="0" applyFont="1" applyBorder="1" applyAlignment="1">
      <alignment horizontal="center"/>
    </xf>
    <xf numFmtId="0" fontId="26" fillId="0" borderId="114" xfId="0" applyFont="1" applyBorder="1" applyAlignment="1">
      <alignment horizontal="center"/>
    </xf>
    <xf numFmtId="0" fontId="26" fillId="0" borderId="115" xfId="0" applyFont="1" applyBorder="1"/>
    <xf numFmtId="43" fontId="26" fillId="0" borderId="111" xfId="0" applyNumberFormat="1" applyFont="1" applyBorder="1"/>
    <xf numFmtId="0" fontId="26" fillId="0" borderId="117" xfId="0" applyFont="1" applyBorder="1"/>
    <xf numFmtId="43" fontId="26" fillId="0" borderId="118" xfId="0" applyNumberFormat="1" applyFont="1" applyBorder="1"/>
    <xf numFmtId="44" fontId="26" fillId="36" borderId="0" xfId="0" applyNumberFormat="1" applyFont="1" applyFill="1" applyAlignment="1">
      <alignment horizontal="centerContinuous"/>
    </xf>
    <xf numFmtId="44" fontId="107" fillId="36" borderId="0" xfId="0" applyNumberFormat="1" applyFont="1" applyFill="1" applyAlignment="1">
      <alignment horizontal="centerContinuous"/>
    </xf>
    <xf numFmtId="0" fontId="108" fillId="6" borderId="46" xfId="0" applyFont="1" applyFill="1" applyBorder="1" applyAlignment="1">
      <alignment vertical="center"/>
    </xf>
    <xf numFmtId="39" fontId="84" fillId="14" borderId="70" xfId="1" applyNumberFormat="1" applyFont="1" applyFill="1" applyBorder="1"/>
    <xf numFmtId="10" fontId="84" fillId="0" borderId="59" xfId="0" applyNumberFormat="1" applyFont="1" applyBorder="1"/>
    <xf numFmtId="10" fontId="84" fillId="0" borderId="61" xfId="0" applyNumberFormat="1" applyFont="1" applyBorder="1"/>
    <xf numFmtId="10" fontId="85" fillId="0" borderId="61" xfId="0" applyNumberFormat="1" applyFont="1" applyBorder="1"/>
    <xf numFmtId="10" fontId="85" fillId="0" borderId="71" xfId="0" applyNumberFormat="1" applyFont="1" applyBorder="1"/>
    <xf numFmtId="10" fontId="84" fillId="14" borderId="70" xfId="0" applyNumberFormat="1" applyFont="1" applyFill="1" applyBorder="1"/>
    <xf numFmtId="10" fontId="85" fillId="0" borderId="65" xfId="0" applyNumberFormat="1" applyFont="1" applyBorder="1"/>
    <xf numFmtId="10" fontId="85" fillId="0" borderId="68" xfId="0" applyNumberFormat="1" applyFont="1" applyBorder="1"/>
    <xf numFmtId="10" fontId="85" fillId="0" borderId="64" xfId="0" applyNumberFormat="1" applyFont="1" applyBorder="1"/>
    <xf numFmtId="10" fontId="85" fillId="0" borderId="67" xfId="0" applyNumberFormat="1" applyFont="1" applyBorder="1"/>
    <xf numFmtId="10" fontId="99" fillId="0" borderId="58" xfId="2" applyNumberFormat="1" applyFont="1" applyBorder="1" applyAlignment="1">
      <alignment vertical="center"/>
    </xf>
    <xf numFmtId="10" fontId="99" fillId="0" borderId="57" xfId="2" applyNumberFormat="1" applyFont="1" applyBorder="1" applyAlignment="1">
      <alignment vertical="center"/>
    </xf>
    <xf numFmtId="10" fontId="99" fillId="0" borderId="69" xfId="2" applyNumberFormat="1" applyFont="1" applyBorder="1" applyAlignment="1">
      <alignment vertical="center"/>
    </xf>
    <xf numFmtId="10" fontId="84" fillId="14" borderId="70" xfId="2" applyNumberFormat="1" applyFont="1" applyFill="1" applyBorder="1" applyAlignment="1">
      <alignment horizontal="center"/>
    </xf>
    <xf numFmtId="10" fontId="84" fillId="14" borderId="70" xfId="0" applyNumberFormat="1" applyFont="1" applyFill="1" applyBorder="1" applyAlignment="1">
      <alignment horizontal="center"/>
    </xf>
    <xf numFmtId="10" fontId="84" fillId="0" borderId="59" xfId="0" applyNumberFormat="1" applyFont="1" applyBorder="1" applyAlignment="1">
      <alignment horizontal="center"/>
    </xf>
    <xf numFmtId="10" fontId="84" fillId="0" borderId="61" xfId="0" applyNumberFormat="1" applyFont="1" applyBorder="1" applyAlignment="1">
      <alignment horizontal="center"/>
    </xf>
    <xf numFmtId="10" fontId="85" fillId="0" borderId="71" xfId="0" applyNumberFormat="1" applyFont="1" applyBorder="1" applyAlignment="1">
      <alignment horizontal="center"/>
    </xf>
    <xf numFmtId="16" fontId="6" fillId="0" borderId="42" xfId="0" applyNumberFormat="1" applyFont="1" applyBorder="1" applyAlignment="1">
      <alignment horizontal="right"/>
    </xf>
    <xf numFmtId="3" fontId="6" fillId="0" borderId="43" xfId="0" applyNumberFormat="1" applyFont="1" applyBorder="1" applyAlignment="1">
      <alignment horizontal="center"/>
    </xf>
    <xf numFmtId="3" fontId="21" fillId="0" borderId="113" xfId="0" applyNumberFormat="1" applyFont="1" applyBorder="1" applyAlignment="1" applyProtection="1">
      <alignment horizontal="center"/>
      <protection locked="0"/>
    </xf>
    <xf numFmtId="3" fontId="0" fillId="0" borderId="113" xfId="0" applyNumberFormat="1" applyBorder="1" applyAlignment="1">
      <alignment horizontal="center"/>
    </xf>
    <xf numFmtId="0" fontId="0" fillId="0" borderId="113" xfId="0" applyBorder="1" applyAlignment="1">
      <alignment horizontal="center"/>
    </xf>
    <xf numFmtId="0" fontId="0" fillId="0" borderId="114" xfId="0" applyBorder="1" applyAlignment="1">
      <alignment horizontal="center"/>
    </xf>
    <xf numFmtId="0" fontId="0" fillId="0" borderId="116" xfId="0" applyBorder="1" applyAlignment="1">
      <alignment horizontal="center"/>
    </xf>
    <xf numFmtId="3" fontId="0" fillId="0" borderId="14" xfId="0" applyNumberFormat="1" applyBorder="1" applyAlignment="1">
      <alignment horizontal="center"/>
    </xf>
    <xf numFmtId="0" fontId="0" fillId="0" borderId="119" xfId="0" applyBorder="1" applyAlignment="1">
      <alignment horizontal="center"/>
    </xf>
    <xf numFmtId="0" fontId="109" fillId="12" borderId="53" xfId="0" applyFont="1" applyFill="1" applyBorder="1" applyAlignment="1">
      <alignment horizontal="center"/>
    </xf>
    <xf numFmtId="0" fontId="109" fillId="12" borderId="54" xfId="0" applyFont="1" applyFill="1" applyBorder="1" applyAlignment="1">
      <alignment horizontal="center"/>
    </xf>
    <xf numFmtId="3" fontId="110" fillId="6" borderId="0" xfId="0" applyNumberFormat="1" applyFont="1" applyFill="1"/>
    <xf numFmtId="3" fontId="110" fillId="32" borderId="0" xfId="0" applyNumberFormat="1" applyFont="1" applyFill="1"/>
    <xf numFmtId="10" fontId="98" fillId="0" borderId="109" xfId="0" applyNumberFormat="1" applyFont="1" applyBorder="1"/>
    <xf numFmtId="0" fontId="110" fillId="0" borderId="0" xfId="0" applyFont="1"/>
    <xf numFmtId="0" fontId="110" fillId="32" borderId="0" xfId="0" applyFont="1" applyFill="1"/>
    <xf numFmtId="37" fontId="98" fillId="14" borderId="70" xfId="1" applyNumberFormat="1" applyFont="1" applyFill="1" applyBorder="1"/>
    <xf numFmtId="10" fontId="98" fillId="14" borderId="70" xfId="0" applyNumberFormat="1" applyFont="1" applyFill="1" applyBorder="1"/>
    <xf numFmtId="43" fontId="104" fillId="0" borderId="0" xfId="0" applyNumberFormat="1" applyFont="1" applyProtection="1">
      <protection locked="0"/>
    </xf>
    <xf numFmtId="0" fontId="0" fillId="0" borderId="111" xfId="0" applyBorder="1"/>
    <xf numFmtId="0" fontId="0" fillId="38" borderId="111" xfId="0" applyFill="1" applyBorder="1"/>
    <xf numFmtId="14" fontId="0" fillId="0" borderId="111" xfId="0" applyNumberFormat="1" applyBorder="1"/>
    <xf numFmtId="0" fontId="0" fillId="39" borderId="111" xfId="0" applyFill="1" applyBorder="1"/>
    <xf numFmtId="0" fontId="0" fillId="39" borderId="7" xfId="0" applyFill="1" applyBorder="1"/>
    <xf numFmtId="0" fontId="0" fillId="40" borderId="111" xfId="0" applyFill="1" applyBorder="1"/>
    <xf numFmtId="43" fontId="0" fillId="0" borderId="0" xfId="1" applyFont="1"/>
    <xf numFmtId="43" fontId="0" fillId="38" borderId="111" xfId="1" applyFont="1" applyFill="1" applyBorder="1"/>
    <xf numFmtId="43" fontId="0" fillId="0" borderId="0" xfId="1" applyFont="1" applyBorder="1"/>
    <xf numFmtId="43" fontId="0" fillId="0" borderId="0" xfId="0" applyNumberFormat="1" applyAlignment="1" applyProtection="1">
      <alignment horizontal="center"/>
      <protection locked="0"/>
    </xf>
    <xf numFmtId="43" fontId="36" fillId="0" borderId="0" xfId="7" applyNumberFormat="1" applyFont="1" applyProtection="1">
      <protection locked="0"/>
    </xf>
    <xf numFmtId="0" fontId="6" fillId="41" borderId="0" xfId="0" quotePrefix="1" applyFont="1" applyFill="1" applyAlignment="1">
      <alignment horizontal="center" vertical="center"/>
    </xf>
    <xf numFmtId="0" fontId="6" fillId="41" borderId="111" xfId="0" applyFont="1" applyFill="1" applyBorder="1" applyAlignment="1">
      <alignment horizontal="center"/>
    </xf>
    <xf numFmtId="43" fontId="6" fillId="41" borderId="111" xfId="1" applyFont="1" applyFill="1" applyBorder="1" applyAlignment="1">
      <alignment horizontal="center"/>
    </xf>
    <xf numFmtId="0" fontId="6" fillId="41" borderId="0" xfId="0" applyFont="1" applyFill="1" applyAlignment="1">
      <alignment horizontal="center" vertical="center"/>
    </xf>
    <xf numFmtId="43" fontId="49" fillId="0" borderId="7" xfId="1" applyFont="1" applyBorder="1" applyProtection="1">
      <protection locked="0"/>
    </xf>
    <xf numFmtId="0" fontId="6" fillId="41" borderId="111" xfId="0" applyFont="1" applyFill="1" applyBorder="1" applyAlignment="1">
      <alignment horizontal="center" vertical="center"/>
    </xf>
    <xf numFmtId="4" fontId="0" fillId="0" borderId="111" xfId="0" applyNumberFormat="1" applyBorder="1"/>
    <xf numFmtId="43" fontId="49" fillId="0" borderId="111" xfId="1" applyFont="1" applyBorder="1" applyProtection="1">
      <protection locked="0"/>
    </xf>
    <xf numFmtId="4" fontId="0" fillId="42" borderId="111" xfId="0" applyNumberFormat="1" applyFill="1" applyBorder="1"/>
    <xf numFmtId="10" fontId="0" fillId="0" borderId="0" xfId="2" applyNumberFormat="1" applyFont="1"/>
    <xf numFmtId="0" fontId="116" fillId="15" borderId="111" xfId="0" applyFont="1" applyFill="1" applyBorder="1" applyAlignment="1">
      <alignment horizontal="center"/>
    </xf>
    <xf numFmtId="14" fontId="0" fillId="0" borderId="111" xfId="0" applyNumberFormat="1" applyBorder="1" applyAlignment="1">
      <alignment horizontal="center"/>
    </xf>
    <xf numFmtId="0" fontId="1" fillId="0" borderId="8" xfId="0" applyFont="1" applyBorder="1" applyAlignment="1">
      <alignment horizontal="center"/>
    </xf>
    <xf numFmtId="10" fontId="84" fillId="0" borderId="81" xfId="0" applyNumberFormat="1" applyFont="1" applyBorder="1"/>
    <xf numFmtId="10" fontId="84" fillId="0" borderId="64" xfId="0" applyNumberFormat="1" applyFont="1" applyBorder="1"/>
    <xf numFmtId="10" fontId="36" fillId="0" borderId="0" xfId="7" applyNumberFormat="1" applyFont="1" applyProtection="1">
      <protection locked="0"/>
    </xf>
    <xf numFmtId="16" fontId="36" fillId="0" borderId="0" xfId="7" applyNumberFormat="1" applyFont="1" applyProtection="1">
      <protection locked="0"/>
    </xf>
    <xf numFmtId="4" fontId="36" fillId="0" borderId="0" xfId="7" applyNumberFormat="1" applyFont="1" applyProtection="1">
      <protection locked="0"/>
    </xf>
    <xf numFmtId="17" fontId="36" fillId="0" borderId="0" xfId="7" applyNumberFormat="1" applyFont="1" applyProtection="1">
      <protection locked="0"/>
    </xf>
    <xf numFmtId="43" fontId="26" fillId="0" borderId="0" xfId="0" applyNumberFormat="1" applyFont="1"/>
    <xf numFmtId="1" fontId="22" fillId="0" borderId="22" xfId="9" applyNumberFormat="1" applyFont="1" applyBorder="1" applyAlignment="1" applyProtection="1">
      <alignment horizontal="center" vertical="center"/>
      <protection locked="0"/>
    </xf>
    <xf numFmtId="1" fontId="22" fillId="0" borderId="45" xfId="9" applyNumberFormat="1" applyFont="1" applyBorder="1" applyAlignment="1" applyProtection="1">
      <alignment horizontal="center" vertical="center"/>
      <protection locked="0"/>
    </xf>
    <xf numFmtId="1" fontId="22" fillId="0" borderId="32" xfId="9" applyNumberFormat="1" applyFont="1" applyBorder="1" applyAlignment="1" applyProtection="1">
      <alignment horizontal="center" vertical="center"/>
      <protection locked="0"/>
    </xf>
    <xf numFmtId="17" fontId="59" fillId="0" borderId="22" xfId="9" applyNumberFormat="1" applyFont="1" applyBorder="1" applyAlignment="1" applyProtection="1">
      <alignment horizontal="center"/>
      <protection locked="0"/>
    </xf>
    <xf numFmtId="17" fontId="59" fillId="0" borderId="45" xfId="9" applyNumberFormat="1" applyFont="1" applyBorder="1" applyAlignment="1" applyProtection="1">
      <alignment horizontal="center"/>
      <protection locked="0"/>
    </xf>
    <xf numFmtId="17" fontId="59" fillId="0" borderId="32" xfId="9" applyNumberFormat="1" applyFont="1" applyBorder="1" applyAlignment="1" applyProtection="1">
      <alignment horizontal="center"/>
      <protection locked="0"/>
    </xf>
    <xf numFmtId="43" fontId="73" fillId="27" borderId="22" xfId="9" applyNumberFormat="1" applyFont="1" applyFill="1" applyBorder="1" applyAlignment="1" applyProtection="1">
      <alignment horizontal="center"/>
      <protection locked="0"/>
    </xf>
    <xf numFmtId="43" fontId="73" fillId="27" borderId="32" xfId="9" applyNumberFormat="1" applyFont="1" applyFill="1" applyBorder="1" applyAlignment="1" applyProtection="1">
      <alignment horizontal="center"/>
      <protection locked="0"/>
    </xf>
    <xf numFmtId="3" fontId="73" fillId="27" borderId="8" xfId="9" applyNumberFormat="1" applyFont="1" applyFill="1" applyBorder="1" applyAlignment="1" applyProtection="1">
      <alignment horizontal="center"/>
      <protection locked="0"/>
    </xf>
    <xf numFmtId="43" fontId="59" fillId="31" borderId="22" xfId="1" applyFont="1" applyFill="1" applyBorder="1" applyAlignment="1" applyProtection="1">
      <alignment horizontal="center"/>
      <protection locked="0"/>
    </xf>
    <xf numFmtId="43" fontId="59" fillId="31" borderId="45" xfId="1" applyFont="1" applyFill="1" applyBorder="1" applyAlignment="1" applyProtection="1">
      <alignment horizontal="center"/>
      <protection locked="0"/>
    </xf>
    <xf numFmtId="43" fontId="59" fillId="31" borderId="32" xfId="1" applyFont="1" applyFill="1" applyBorder="1" applyAlignment="1" applyProtection="1">
      <alignment horizontal="center"/>
      <protection locked="0"/>
    </xf>
    <xf numFmtId="0" fontId="59" fillId="31" borderId="100" xfId="0" applyFont="1" applyFill="1" applyBorder="1" applyAlignment="1" applyProtection="1">
      <alignment horizontal="center" vertical="center" wrapText="1"/>
      <protection locked="0"/>
    </xf>
    <xf numFmtId="0" fontId="59" fillId="31" borderId="36" xfId="0" applyFont="1" applyFill="1" applyBorder="1" applyAlignment="1" applyProtection="1">
      <alignment horizontal="center" vertical="center" wrapText="1"/>
      <protection locked="0"/>
    </xf>
    <xf numFmtId="43" fontId="59" fillId="31" borderId="10" xfId="1" applyFont="1" applyFill="1" applyBorder="1" applyAlignment="1" applyProtection="1">
      <alignment horizontal="center"/>
      <protection locked="0"/>
    </xf>
    <xf numFmtId="43" fontId="59" fillId="31" borderId="11" xfId="1" applyFont="1" applyFill="1" applyBorder="1" applyAlignment="1" applyProtection="1">
      <alignment horizontal="center"/>
      <protection locked="0"/>
    </xf>
    <xf numFmtId="43" fontId="59" fillId="31" borderId="12" xfId="1" applyFont="1" applyFill="1" applyBorder="1" applyAlignment="1" applyProtection="1">
      <alignment horizontal="center"/>
      <protection locked="0"/>
    </xf>
    <xf numFmtId="0" fontId="73" fillId="27" borderId="48" xfId="9" applyFont="1" applyFill="1" applyBorder="1" applyAlignment="1" applyProtection="1">
      <alignment horizontal="center" vertical="center"/>
      <protection locked="0"/>
    </xf>
    <xf numFmtId="0" fontId="73" fillId="27" borderId="7" xfId="9" applyFont="1" applyFill="1" applyBorder="1" applyAlignment="1" applyProtection="1">
      <alignment horizontal="center" vertical="center"/>
      <protection locked="0"/>
    </xf>
    <xf numFmtId="43" fontId="59" fillId="31" borderId="3" xfId="1" applyFont="1" applyFill="1" applyBorder="1" applyAlignment="1" applyProtection="1">
      <alignment horizontal="center" vertical="center"/>
      <protection locked="0"/>
    </xf>
    <xf numFmtId="43" fontId="59" fillId="31" borderId="102" xfId="1" applyFont="1" applyFill="1" applyBorder="1" applyAlignment="1" applyProtection="1">
      <alignment horizontal="center" vertical="center"/>
      <protection locked="0"/>
    </xf>
    <xf numFmtId="43" fontId="59" fillId="31" borderId="100" xfId="1" applyFont="1" applyFill="1" applyBorder="1" applyAlignment="1" applyProtection="1">
      <alignment horizontal="center" vertical="center" wrapText="1"/>
      <protection locked="0"/>
    </xf>
    <xf numFmtId="43" fontId="59" fillId="31" borderId="102" xfId="1" applyFont="1" applyFill="1" applyBorder="1" applyAlignment="1" applyProtection="1">
      <alignment horizontal="center" vertical="center" wrapText="1"/>
      <protection locked="0"/>
    </xf>
    <xf numFmtId="0" fontId="67" fillId="0" borderId="0" xfId="7" applyFont="1" applyAlignment="1">
      <alignment horizontal="center"/>
    </xf>
    <xf numFmtId="9" fontId="67" fillId="29" borderId="9" xfId="5" applyNumberFormat="1" applyFont="1" applyFill="1" applyBorder="1" applyAlignment="1">
      <alignment horizontal="center"/>
    </xf>
    <xf numFmtId="9" fontId="67" fillId="29" borderId="3" xfId="5" applyNumberFormat="1" applyFont="1" applyFill="1" applyBorder="1" applyAlignment="1">
      <alignment horizontal="center"/>
    </xf>
    <xf numFmtId="0" fontId="67" fillId="15" borderId="9" xfId="7" applyFont="1" applyFill="1" applyBorder="1" applyAlignment="1">
      <alignment horizontal="center"/>
    </xf>
    <xf numFmtId="0" fontId="67" fillId="15" borderId="2" xfId="7" applyFont="1" applyFill="1" applyBorder="1" applyAlignment="1">
      <alignment horizontal="center"/>
    </xf>
    <xf numFmtId="0" fontId="67" fillId="15" borderId="3" xfId="7" applyFont="1" applyFill="1" applyBorder="1" applyAlignment="1">
      <alignment horizontal="center"/>
    </xf>
    <xf numFmtId="43" fontId="59" fillId="27" borderId="100" xfId="1" applyFont="1" applyFill="1" applyBorder="1" applyAlignment="1" applyProtection="1">
      <alignment horizontal="center" vertical="center"/>
    </xf>
    <xf numFmtId="43" fontId="59" fillId="27" borderId="102" xfId="1" applyFont="1" applyFill="1" applyBorder="1" applyAlignment="1" applyProtection="1">
      <alignment horizontal="center" vertical="center"/>
    </xf>
    <xf numFmtId="0" fontId="59" fillId="27" borderId="100" xfId="0" applyFont="1" applyFill="1" applyBorder="1" applyAlignment="1">
      <alignment horizontal="center" vertical="center"/>
    </xf>
    <xf numFmtId="0" fontId="59" fillId="27" borderId="36" xfId="0" applyFont="1" applyFill="1" applyBorder="1" applyAlignment="1">
      <alignment horizontal="center" vertical="center"/>
    </xf>
    <xf numFmtId="2" fontId="60" fillId="0" borderId="18" xfId="9" applyNumberFormat="1" applyFont="1" applyBorder="1" applyAlignment="1">
      <alignment horizontal="center"/>
    </xf>
    <xf numFmtId="2" fontId="60" fillId="0" borderId="19" xfId="9" applyNumberFormat="1" applyFont="1" applyBorder="1" applyAlignment="1">
      <alignment horizontal="center"/>
    </xf>
    <xf numFmtId="2" fontId="60" fillId="0" borderId="21" xfId="9" applyNumberFormat="1" applyFont="1" applyBorder="1" applyAlignment="1">
      <alignment horizontal="center"/>
    </xf>
    <xf numFmtId="17" fontId="59" fillId="0" borderId="98" xfId="9" applyNumberFormat="1" applyFont="1" applyBorder="1" applyAlignment="1">
      <alignment horizontal="center"/>
    </xf>
    <xf numFmtId="17" fontId="59" fillId="0" borderId="1" xfId="9" applyNumberFormat="1" applyFont="1" applyBorder="1" applyAlignment="1">
      <alignment horizontal="center"/>
    </xf>
    <xf numFmtId="17" fontId="59" fillId="0" borderId="99" xfId="9" applyNumberFormat="1" applyFont="1" applyBorder="1" applyAlignment="1">
      <alignment horizontal="center"/>
    </xf>
    <xf numFmtId="43" fontId="59" fillId="26" borderId="22" xfId="9" applyNumberFormat="1" applyFont="1" applyFill="1" applyBorder="1" applyAlignment="1">
      <alignment horizontal="center"/>
    </xf>
    <xf numFmtId="43" fontId="59" fillId="26" borderId="32" xfId="9" applyNumberFormat="1" applyFont="1" applyFill="1" applyBorder="1" applyAlignment="1">
      <alignment horizontal="center"/>
    </xf>
    <xf numFmtId="43" fontId="59" fillId="27" borderId="17" xfId="1" applyFont="1" applyFill="1" applyBorder="1" applyAlignment="1" applyProtection="1">
      <alignment horizontal="center"/>
    </xf>
    <xf numFmtId="43" fontId="59" fillId="27" borderId="101" xfId="1" applyFont="1" applyFill="1" applyBorder="1" applyAlignment="1" applyProtection="1">
      <alignment horizontal="center"/>
    </xf>
    <xf numFmtId="43" fontId="59" fillId="27" borderId="103" xfId="1" applyFont="1" applyFill="1" applyBorder="1" applyAlignment="1" applyProtection="1">
      <alignment horizontal="center"/>
    </xf>
    <xf numFmtId="43" fontId="59" fillId="27" borderId="10" xfId="1" applyFont="1" applyFill="1" applyBorder="1" applyAlignment="1" applyProtection="1">
      <alignment horizontal="center"/>
    </xf>
    <xf numFmtId="43" fontId="59" fillId="27" borderId="11" xfId="1" applyFont="1" applyFill="1" applyBorder="1" applyAlignment="1" applyProtection="1">
      <alignment horizontal="center"/>
    </xf>
    <xf numFmtId="43" fontId="59" fillId="27" borderId="12" xfId="1" applyFont="1" applyFill="1" applyBorder="1" applyAlignment="1" applyProtection="1">
      <alignment horizontal="center"/>
    </xf>
    <xf numFmtId="0" fontId="42" fillId="0" borderId="5" xfId="7" applyFont="1" applyBorder="1" applyAlignment="1" applyProtection="1">
      <alignment horizontal="center"/>
      <protection locked="0"/>
    </xf>
    <xf numFmtId="17" fontId="42" fillId="0" borderId="5" xfId="7" applyNumberFormat="1" applyFont="1" applyBorder="1" applyAlignment="1" applyProtection="1">
      <alignment horizontal="center"/>
      <protection locked="0"/>
    </xf>
    <xf numFmtId="0" fontId="43" fillId="17" borderId="18" xfId="7" applyFont="1" applyFill="1" applyBorder="1" applyAlignment="1">
      <alignment horizontal="left" vertical="center" wrapText="1"/>
    </xf>
    <xf numFmtId="0" fontId="43" fillId="17" borderId="19" xfId="7" applyFont="1" applyFill="1" applyBorder="1" applyAlignment="1">
      <alignment horizontal="left" vertical="center" wrapText="1"/>
    </xf>
    <xf numFmtId="0" fontId="44" fillId="17" borderId="19" xfId="7" applyFont="1" applyFill="1" applyBorder="1" applyAlignment="1">
      <alignment horizontal="left" vertical="center"/>
    </xf>
    <xf numFmtId="0" fontId="44" fillId="17" borderId="20" xfId="7" applyFont="1" applyFill="1" applyBorder="1" applyAlignment="1">
      <alignment horizontal="left" vertical="center"/>
    </xf>
    <xf numFmtId="0" fontId="52" fillId="33" borderId="112" xfId="7" applyFont="1" applyFill="1" applyBorder="1" applyAlignment="1">
      <alignment horizontal="left" vertical="center" wrapText="1"/>
    </xf>
    <xf numFmtId="0" fontId="52" fillId="33" borderId="113" xfId="7" applyFont="1" applyFill="1" applyBorder="1" applyAlignment="1">
      <alignment horizontal="left" vertical="center" wrapText="1"/>
    </xf>
    <xf numFmtId="0" fontId="44" fillId="17" borderId="92" xfId="7" applyFont="1" applyFill="1" applyBorder="1" applyAlignment="1">
      <alignment horizontal="left" vertical="center" wrapText="1"/>
    </xf>
    <xf numFmtId="0" fontId="44" fillId="17" borderId="8" xfId="7" applyFont="1" applyFill="1" applyBorder="1" applyAlignment="1">
      <alignment horizontal="left" vertical="center" wrapText="1"/>
    </xf>
    <xf numFmtId="0" fontId="44" fillId="17" borderId="8" xfId="7" applyFont="1" applyFill="1" applyBorder="1" applyAlignment="1">
      <alignment horizontal="left" vertical="center"/>
    </xf>
    <xf numFmtId="0" fontId="44" fillId="17" borderId="22" xfId="7" applyFont="1" applyFill="1" applyBorder="1" applyAlignment="1">
      <alignment horizontal="left" vertical="center"/>
    </xf>
    <xf numFmtId="0" fontId="52" fillId="33" borderId="115" xfId="7" applyFont="1" applyFill="1" applyBorder="1" applyAlignment="1">
      <alignment horizontal="left" vertical="center" wrapText="1"/>
    </xf>
    <xf numFmtId="0" fontId="52" fillId="33" borderId="111" xfId="7" applyFont="1" applyFill="1" applyBorder="1" applyAlignment="1">
      <alignment horizontal="left" vertical="center" wrapText="1"/>
    </xf>
    <xf numFmtId="0" fontId="47" fillId="17" borderId="92" xfId="7" applyFont="1" applyFill="1" applyBorder="1" applyAlignment="1">
      <alignment horizontal="left" vertical="center" wrapText="1"/>
    </xf>
    <xf numFmtId="0" fontId="47" fillId="17" borderId="8" xfId="7" applyFont="1" applyFill="1" applyBorder="1" applyAlignment="1">
      <alignment horizontal="left" vertical="center" wrapText="1"/>
    </xf>
    <xf numFmtId="0" fontId="44" fillId="33" borderId="8" xfId="7" applyFont="1" applyFill="1" applyBorder="1" applyAlignment="1">
      <alignment horizontal="left" vertical="center"/>
    </xf>
    <xf numFmtId="0" fontId="44" fillId="33" borderId="22" xfId="7" applyFont="1" applyFill="1" applyBorder="1" applyAlignment="1">
      <alignment horizontal="left" vertical="center"/>
    </xf>
    <xf numFmtId="0" fontId="52" fillId="33" borderId="115" xfId="7" applyFont="1" applyFill="1" applyBorder="1" applyAlignment="1">
      <alignment horizontal="left" vertical="center"/>
    </xf>
    <xf numFmtId="0" fontId="52" fillId="33" borderId="111" xfId="7" applyFont="1" applyFill="1" applyBorder="1" applyAlignment="1">
      <alignment horizontal="left" vertical="center"/>
    </xf>
    <xf numFmtId="0" fontId="44" fillId="17" borderId="93" xfId="7" applyFont="1" applyFill="1" applyBorder="1" applyAlignment="1">
      <alignment horizontal="left" vertical="center" wrapText="1"/>
    </xf>
    <xf numFmtId="0" fontId="44" fillId="17" borderId="45" xfId="7" applyFont="1" applyFill="1" applyBorder="1" applyAlignment="1">
      <alignment horizontal="left" vertical="center" wrapText="1"/>
    </xf>
    <xf numFmtId="0" fontId="44" fillId="17" borderId="32" xfId="7" applyFont="1" applyFill="1" applyBorder="1" applyAlignment="1">
      <alignment horizontal="left" vertical="center" wrapText="1"/>
    </xf>
    <xf numFmtId="0" fontId="52" fillId="33" borderId="117" xfId="7" applyFont="1" applyFill="1" applyBorder="1" applyAlignment="1" applyProtection="1">
      <alignment horizontal="left" vertical="center" wrapText="1"/>
      <protection locked="0"/>
    </xf>
    <xf numFmtId="0" fontId="52" fillId="33" borderId="118" xfId="7" applyFont="1" applyFill="1" applyBorder="1" applyAlignment="1" applyProtection="1">
      <alignment horizontal="left" vertical="center" wrapText="1"/>
      <protection locked="0"/>
    </xf>
    <xf numFmtId="0" fontId="44" fillId="17" borderId="22" xfId="7" applyFont="1" applyFill="1" applyBorder="1" applyAlignment="1">
      <alignment horizontal="left" vertical="center" wrapText="1"/>
    </xf>
    <xf numFmtId="0" fontId="36" fillId="0" borderId="2" xfId="7" applyFont="1" applyBorder="1" applyAlignment="1" applyProtection="1">
      <alignment horizontal="left" vertical="center"/>
      <protection locked="0"/>
    </xf>
    <xf numFmtId="0" fontId="44" fillId="17" borderId="13" xfId="7" applyFont="1" applyFill="1" applyBorder="1" applyAlignment="1">
      <alignment horizontal="left" vertical="center" wrapText="1"/>
    </xf>
    <xf numFmtId="0" fontId="44" fillId="17" borderId="14" xfId="7" applyFont="1" applyFill="1" applyBorder="1" applyAlignment="1">
      <alignment horizontal="left" vertical="center" wrapText="1"/>
    </xf>
    <xf numFmtId="0" fontId="48" fillId="21" borderId="0" xfId="7" applyFont="1" applyFill="1" applyAlignment="1" applyProtection="1">
      <alignment horizontal="center" vertical="center"/>
      <protection locked="0"/>
    </xf>
    <xf numFmtId="0" fontId="48" fillId="19" borderId="10" xfId="7" applyFont="1" applyFill="1" applyBorder="1" applyAlignment="1" applyProtection="1">
      <alignment horizontal="center"/>
      <protection locked="0"/>
    </xf>
    <xf numFmtId="0" fontId="48" fillId="19" borderId="11" xfId="7" applyFont="1" applyFill="1" applyBorder="1" applyAlignment="1" applyProtection="1">
      <alignment horizontal="center"/>
      <protection locked="0"/>
    </xf>
    <xf numFmtId="0" fontId="48" fillId="19" borderId="12" xfId="7" applyFont="1" applyFill="1" applyBorder="1" applyAlignment="1" applyProtection="1">
      <alignment horizontal="center"/>
      <protection locked="0"/>
    </xf>
    <xf numFmtId="0" fontId="37" fillId="0" borderId="94" xfId="0" applyFont="1" applyBorder="1" applyAlignment="1" applyProtection="1">
      <alignment horizontal="center"/>
      <protection locked="0"/>
    </xf>
    <xf numFmtId="0" fontId="37" fillId="0" borderId="95" xfId="0" applyFont="1" applyBorder="1" applyAlignment="1" applyProtection="1">
      <alignment horizontal="center"/>
      <protection locked="0"/>
    </xf>
    <xf numFmtId="0" fontId="37" fillId="0" borderId="96" xfId="0" applyFont="1" applyBorder="1" applyAlignment="1" applyProtection="1">
      <alignment horizontal="center"/>
      <protection locked="0"/>
    </xf>
    <xf numFmtId="0" fontId="55" fillId="0" borderId="10" xfId="0" applyFont="1" applyBorder="1" applyAlignment="1" applyProtection="1">
      <alignment horizontal="center"/>
      <protection locked="0"/>
    </xf>
    <xf numFmtId="0" fontId="55" fillId="0" borderId="11" xfId="0" applyFont="1" applyBorder="1" applyAlignment="1" applyProtection="1">
      <alignment horizontal="center"/>
      <protection locked="0"/>
    </xf>
    <xf numFmtId="0" fontId="55" fillId="0" borderId="12" xfId="0" applyFont="1" applyBorder="1" applyAlignment="1" applyProtection="1">
      <alignment horizontal="center"/>
      <protection locked="0"/>
    </xf>
    <xf numFmtId="0" fontId="44" fillId="21" borderId="2" xfId="7" applyFont="1" applyFill="1" applyBorder="1" applyAlignment="1" applyProtection="1">
      <alignment horizontal="center" vertical="center" wrapText="1"/>
      <protection locked="0"/>
    </xf>
    <xf numFmtId="0" fontId="44" fillId="21" borderId="0" xfId="7" applyFont="1" applyFill="1" applyAlignment="1" applyProtection="1">
      <alignment horizontal="center" vertical="center" wrapText="1"/>
      <protection locked="0"/>
    </xf>
    <xf numFmtId="0" fontId="44" fillId="19" borderId="42" xfId="7" applyFont="1" applyFill="1" applyBorder="1" applyAlignment="1" applyProtection="1">
      <alignment horizontal="center" vertical="center" wrapText="1"/>
      <protection locked="0"/>
    </xf>
    <xf numFmtId="0" fontId="44" fillId="19" borderId="43" xfId="7" applyFont="1" applyFill="1" applyBorder="1" applyAlignment="1" applyProtection="1">
      <alignment horizontal="center" vertical="center" wrapText="1"/>
      <protection locked="0"/>
    </xf>
    <xf numFmtId="0" fontId="44" fillId="17" borderId="120" xfId="7" applyFont="1" applyFill="1" applyBorder="1" applyAlignment="1">
      <alignment horizontal="left" vertical="center"/>
    </xf>
    <xf numFmtId="0" fontId="44" fillId="17" borderId="121" xfId="7" applyFont="1" applyFill="1" applyBorder="1" applyAlignment="1">
      <alignment horizontal="left" vertical="center"/>
    </xf>
    <xf numFmtId="43" fontId="36" fillId="0" borderId="122" xfId="7" applyNumberFormat="1" applyFont="1" applyBorder="1" applyAlignment="1" applyProtection="1">
      <alignment horizontal="center"/>
      <protection locked="0"/>
    </xf>
    <xf numFmtId="43" fontId="36" fillId="0" borderId="123" xfId="7" applyNumberFormat="1" applyFont="1" applyBorder="1" applyAlignment="1" applyProtection="1">
      <alignment horizontal="center"/>
      <protection locked="0"/>
    </xf>
    <xf numFmtId="0" fontId="50" fillId="14" borderId="42" xfId="7" applyFont="1" applyFill="1" applyBorder="1" applyAlignment="1">
      <alignment horizontal="center"/>
    </xf>
    <xf numFmtId="0" fontId="50" fillId="14" borderId="43" xfId="7" applyFont="1" applyFill="1" applyBorder="1" applyAlignment="1">
      <alignment horizontal="center"/>
    </xf>
    <xf numFmtId="0" fontId="37" fillId="0" borderId="0" xfId="7" applyFont="1" applyAlignment="1" applyProtection="1">
      <alignment horizontal="center"/>
      <protection locked="0"/>
    </xf>
    <xf numFmtId="0" fontId="44" fillId="21" borderId="9" xfId="7" applyFont="1" applyFill="1" applyBorder="1" applyAlignment="1" applyProtection="1">
      <alignment horizontal="center" vertical="center" wrapText="1"/>
      <protection locked="0"/>
    </xf>
    <xf numFmtId="0" fontId="44" fillId="21" borderId="30" xfId="7" applyFont="1" applyFill="1" applyBorder="1" applyAlignment="1" applyProtection="1">
      <alignment horizontal="center" vertical="center" wrapText="1"/>
      <protection locked="0"/>
    </xf>
    <xf numFmtId="10" fontId="26" fillId="37" borderId="97" xfId="2" applyNumberFormat="1" applyFont="1" applyFill="1" applyBorder="1" applyAlignment="1">
      <alignment horizontal="center" vertical="center"/>
    </xf>
    <xf numFmtId="10" fontId="26" fillId="37" borderId="125" xfId="2" applyNumberFormat="1" applyFont="1" applyFill="1" applyBorder="1" applyAlignment="1">
      <alignment horizontal="center" vertical="center"/>
    </xf>
    <xf numFmtId="0" fontId="6" fillId="15" borderId="126" xfId="0" applyFont="1" applyFill="1" applyBorder="1" applyAlignment="1">
      <alignment horizontal="center"/>
    </xf>
    <xf numFmtId="43" fontId="36" fillId="0" borderId="111" xfId="7" applyNumberFormat="1" applyFont="1" applyBorder="1" applyAlignment="1" applyProtection="1">
      <alignment horizontal="center"/>
      <protection locked="0"/>
    </xf>
    <xf numFmtId="0" fontId="50" fillId="14" borderId="14" xfId="7" applyFont="1" applyFill="1" applyBorder="1" applyAlignment="1">
      <alignment horizontal="center"/>
    </xf>
    <xf numFmtId="0" fontId="44" fillId="19" borderId="105" xfId="7" applyFont="1" applyFill="1" applyBorder="1" applyAlignment="1" applyProtection="1">
      <alignment horizontal="center" vertical="center" wrapText="1"/>
      <protection locked="0"/>
    </xf>
    <xf numFmtId="0" fontId="112" fillId="0" borderId="126" xfId="0" applyFont="1" applyBorder="1" applyAlignment="1">
      <alignment horizontal="center"/>
    </xf>
    <xf numFmtId="10" fontId="113" fillId="0" borderId="111" xfId="2" applyNumberFormat="1" applyFont="1" applyBorder="1" applyAlignment="1">
      <alignment horizontal="center" vertical="center"/>
    </xf>
    <xf numFmtId="0" fontId="82" fillId="12" borderId="51" xfId="0" applyFont="1" applyFill="1" applyBorder="1" applyAlignment="1">
      <alignment horizontal="center" vertical="center"/>
    </xf>
    <xf numFmtId="0" fontId="82" fillId="12" borderId="55" xfId="0" applyFont="1" applyFill="1" applyBorder="1" applyAlignment="1">
      <alignment horizontal="center" vertical="center"/>
    </xf>
    <xf numFmtId="0" fontId="82" fillId="12" borderId="72" xfId="0" applyFont="1" applyFill="1" applyBorder="1" applyAlignment="1">
      <alignment horizontal="center" vertical="center"/>
    </xf>
    <xf numFmtId="0" fontId="82" fillId="12" borderId="73" xfId="0" applyFont="1" applyFill="1" applyBorder="1" applyAlignment="1">
      <alignment horizontal="center" vertical="center"/>
    </xf>
    <xf numFmtId="0" fontId="82" fillId="12" borderId="79" xfId="0" applyFont="1" applyFill="1" applyBorder="1" applyAlignment="1">
      <alignment horizontal="center"/>
    </xf>
    <xf numFmtId="0" fontId="82" fillId="12" borderId="50" xfId="0" applyFont="1" applyFill="1" applyBorder="1" applyAlignment="1">
      <alignment horizontal="center"/>
    </xf>
    <xf numFmtId="0" fontId="79" fillId="0" borderId="0" xfId="0" applyFont="1" applyAlignment="1">
      <alignment horizontal="left"/>
    </xf>
    <xf numFmtId="0" fontId="8" fillId="0" borderId="0" xfId="0" applyFont="1" applyAlignment="1">
      <alignment horizontal="left"/>
    </xf>
    <xf numFmtId="0" fontId="82" fillId="12" borderId="49" xfId="0" applyFont="1" applyFill="1" applyBorder="1" applyAlignment="1">
      <alignment horizontal="center"/>
    </xf>
    <xf numFmtId="0" fontId="82" fillId="12" borderId="52" xfId="0" applyFont="1" applyFill="1" applyBorder="1" applyAlignment="1">
      <alignment horizontal="center"/>
    </xf>
    <xf numFmtId="0" fontId="82" fillId="11" borderId="9" xfId="0" applyFont="1" applyFill="1" applyBorder="1" applyAlignment="1">
      <alignment horizontal="center" vertical="center" wrapText="1"/>
    </xf>
    <xf numFmtId="0" fontId="82" fillId="11" borderId="4" xfId="0" applyFont="1" applyFill="1" applyBorder="1" applyAlignment="1">
      <alignment horizontal="center" vertical="center" wrapText="1"/>
    </xf>
    <xf numFmtId="0" fontId="82" fillId="12" borderId="124" xfId="0" applyFont="1" applyFill="1" applyBorder="1" applyAlignment="1">
      <alignment horizontal="center" vertical="center"/>
    </xf>
    <xf numFmtId="0" fontId="82" fillId="11" borderId="9" xfId="0" applyFont="1" applyFill="1" applyBorder="1" applyAlignment="1">
      <alignment horizontal="center" vertical="center"/>
    </xf>
    <xf numFmtId="0" fontId="82" fillId="11" borderId="4" xfId="0" applyFont="1" applyFill="1" applyBorder="1" applyAlignment="1">
      <alignment horizontal="center" vertical="center"/>
    </xf>
    <xf numFmtId="0" fontId="109" fillId="12" borderId="52" xfId="0" applyFont="1" applyFill="1" applyBorder="1" applyAlignment="1">
      <alignment horizontal="center"/>
    </xf>
    <xf numFmtId="0" fontId="109" fillId="12" borderId="50" xfId="0" applyFont="1" applyFill="1" applyBorder="1" applyAlignment="1">
      <alignment horizontal="center"/>
    </xf>
    <xf numFmtId="0" fontId="109" fillId="12" borderId="72" xfId="0" applyFont="1" applyFill="1" applyBorder="1" applyAlignment="1">
      <alignment horizontal="center" vertical="center"/>
    </xf>
    <xf numFmtId="0" fontId="109" fillId="12" borderId="110" xfId="0" applyFont="1" applyFill="1" applyBorder="1" applyAlignment="1">
      <alignment horizontal="center" vertical="center"/>
    </xf>
    <xf numFmtId="164" fontId="23" fillId="0" borderId="22" xfId="9" applyNumberFormat="1" applyFont="1" applyBorder="1" applyAlignment="1" applyProtection="1">
      <alignment horizontal="center" vertical="center"/>
      <protection locked="0"/>
    </xf>
    <xf numFmtId="164" fontId="23" fillId="0" borderId="45" xfId="9" applyNumberFormat="1" applyFont="1" applyBorder="1" applyAlignment="1" applyProtection="1">
      <alignment horizontal="center" vertical="center"/>
      <protection locked="0"/>
    </xf>
    <xf numFmtId="164" fontId="23" fillId="0" borderId="32" xfId="9" applyNumberFormat="1" applyFont="1" applyBorder="1" applyAlignment="1" applyProtection="1">
      <alignment horizontal="center" vertical="center"/>
      <protection locked="0"/>
    </xf>
    <xf numFmtId="0" fontId="25" fillId="0" borderId="10" xfId="0" applyFont="1" applyBorder="1" applyAlignment="1">
      <alignment horizontal="center"/>
    </xf>
    <xf numFmtId="0" fontId="25" fillId="0" borderId="11" xfId="0" applyFont="1" applyBorder="1" applyAlignment="1">
      <alignment horizontal="center"/>
    </xf>
    <xf numFmtId="0" fontId="25" fillId="0" borderId="12" xfId="0" applyFont="1" applyBorder="1" applyAlignment="1">
      <alignment horizontal="center"/>
    </xf>
    <xf numFmtId="0" fontId="18" fillId="0" borderId="0" xfId="0" applyFont="1" applyAlignment="1">
      <alignment horizontal="left"/>
    </xf>
    <xf numFmtId="0" fontId="18" fillId="0" borderId="5" xfId="0" applyFont="1" applyBorder="1" applyAlignment="1">
      <alignment horizontal="left"/>
    </xf>
    <xf numFmtId="0" fontId="10" fillId="4" borderId="10" xfId="0" applyFont="1" applyFill="1" applyBorder="1" applyAlignment="1">
      <alignment horizontal="center"/>
    </xf>
    <xf numFmtId="0" fontId="10" fillId="4" borderId="11" xfId="0" applyFont="1" applyFill="1" applyBorder="1" applyAlignment="1">
      <alignment horizontal="center"/>
    </xf>
    <xf numFmtId="0" fontId="10" fillId="4" borderId="12" xfId="0" applyFont="1" applyFill="1" applyBorder="1" applyAlignment="1">
      <alignment horizontal="center"/>
    </xf>
    <xf numFmtId="0" fontId="10" fillId="5" borderId="10" xfId="0" applyFont="1" applyFill="1" applyBorder="1" applyAlignment="1">
      <alignment horizontal="center"/>
    </xf>
    <xf numFmtId="0" fontId="10" fillId="5" borderId="11" xfId="0" applyFont="1" applyFill="1" applyBorder="1" applyAlignment="1">
      <alignment horizontal="center"/>
    </xf>
    <xf numFmtId="0" fontId="10" fillId="5" borderId="12" xfId="0" applyFont="1" applyFill="1" applyBorder="1" applyAlignment="1">
      <alignment horizontal="center"/>
    </xf>
    <xf numFmtId="0" fontId="10" fillId="3" borderId="10" xfId="0" applyFont="1" applyFill="1" applyBorder="1" applyAlignment="1">
      <alignment horizontal="center"/>
    </xf>
    <xf numFmtId="0" fontId="10" fillId="3" borderId="11" xfId="0" applyFont="1" applyFill="1" applyBorder="1" applyAlignment="1">
      <alignment horizontal="center"/>
    </xf>
    <xf numFmtId="0" fontId="10" fillId="3" borderId="12" xfId="0" applyFont="1" applyFill="1" applyBorder="1" applyAlignment="1">
      <alignment horizontal="center"/>
    </xf>
  </cellXfs>
  <cellStyles count="12">
    <cellStyle name="Comma" xfId="1" builtinId="3"/>
    <cellStyle name="Comma 10" xfId="4" xr:uid="{00000000-0005-0000-0000-000001000000}"/>
    <cellStyle name="Comma 2" xfId="5" xr:uid="{00000000-0005-0000-0000-000002000000}"/>
    <cellStyle name="Comma 2 2 2" xfId="6" xr:uid="{00000000-0005-0000-0000-000003000000}"/>
    <cellStyle name="Hyperlink" xfId="3" builtinId="8"/>
    <cellStyle name="Normal" xfId="0" builtinId="0"/>
    <cellStyle name="Normal 2" xfId="7" xr:uid="{00000000-0005-0000-0000-000006000000}"/>
    <cellStyle name="Normal 2 10" xfId="8" xr:uid="{00000000-0005-0000-0000-000007000000}"/>
    <cellStyle name="Normal_0999sale" xfId="9" xr:uid="{00000000-0005-0000-0000-000008000000}"/>
    <cellStyle name="Percent" xfId="2" builtinId="5"/>
    <cellStyle name="Percent 2" xfId="10" xr:uid="{00000000-0005-0000-0000-00000A000000}"/>
    <cellStyle name="Percent 2 2 2" xfId="11" xr:uid="{00000000-0005-0000-0000-00000B000000}"/>
  </cellStyles>
  <dxfs count="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b/>
        <i val="0"/>
      </font>
      <fill>
        <patternFill>
          <bgColor theme="8" tint="0.79998168889431442"/>
        </patternFill>
      </fill>
    </dxf>
    <dxf>
      <font>
        <color rgb="FF9C0006"/>
      </font>
      <fill>
        <patternFill>
          <bgColor rgb="FFFFC7CE"/>
        </patternFill>
      </fill>
    </dxf>
    <dxf>
      <font>
        <b val="0"/>
        <i val="0"/>
        <strike val="0"/>
        <u val="none"/>
        <sz val="10"/>
        <color auto="1"/>
        <name val="Arial"/>
        <scheme val="none"/>
      </font>
      <fill>
        <patternFill patternType="none"/>
      </fill>
      <border>
        <left style="thin">
          <color auto="1"/>
        </left>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style="thin">
          <color auto="1"/>
        </top>
        <bottom style="thin">
          <color auto="1"/>
        </bottom>
      </border>
    </dxf>
    <dxf>
      <font>
        <b val="0"/>
        <i val="0"/>
        <strike val="0"/>
        <u val="none"/>
        <sz val="10"/>
        <color theme="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style="thin">
          <color auto="1"/>
        </top>
        <bottom/>
      </border>
    </dxf>
    <dxf>
      <font>
        <b val="0"/>
        <i val="0"/>
        <strike val="0"/>
        <u val="none"/>
        <sz val="10"/>
        <color auto="1"/>
        <name val="Arial"/>
        <scheme val="none"/>
      </font>
      <fill>
        <patternFill patternType="none"/>
      </fill>
      <border>
        <left style="thin">
          <color auto="1"/>
        </left>
        <right style="thin">
          <color auto="1"/>
        </right>
        <top style="thin">
          <color auto="1"/>
        </top>
        <bottom style="thin">
          <color auto="1"/>
        </bottom>
      </border>
    </dxf>
    <dxf>
      <font>
        <b val="0"/>
        <i val="0"/>
        <strike val="0"/>
        <u val="none"/>
        <sz val="10"/>
        <color auto="1"/>
        <name val="Arial"/>
        <scheme val="none"/>
      </font>
      <numFmt numFmtId="0" formatCode="General"/>
      <fill>
        <patternFill patternType="none"/>
      </fill>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style="thin">
          <color auto="1"/>
        </top>
        <bottom/>
      </border>
    </dxf>
    <dxf>
      <font>
        <b val="0"/>
        <i val="0"/>
        <strike val="0"/>
        <u val="none"/>
        <sz val="10"/>
        <color auto="1"/>
        <name val="Arial"/>
        <scheme val="none"/>
      </font>
      <fill>
        <patternFill patternType="none"/>
      </fill>
      <border>
        <left style="thin">
          <color auto="1"/>
        </left>
        <right style="thin">
          <color auto="1"/>
        </right>
        <top style="thin">
          <color auto="1"/>
        </top>
        <bottom/>
      </border>
    </dxf>
    <dxf>
      <font>
        <b val="0"/>
        <i val="0"/>
        <strike val="0"/>
        <u val="none"/>
        <sz val="10"/>
        <color auto="1"/>
        <name val="Arial"/>
        <scheme val="none"/>
      </font>
      <fill>
        <patternFill patternType="none"/>
      </fill>
      <border>
        <left style="thin">
          <color auto="1"/>
        </left>
        <right style="thin">
          <color auto="1"/>
        </right>
        <top style="thin">
          <color auto="1"/>
        </top>
        <bottom style="thin">
          <color auto="1"/>
        </bottom>
      </border>
    </dxf>
    <dxf>
      <font>
        <b val="0"/>
        <i val="0"/>
        <strike val="0"/>
        <u val="none"/>
        <sz val="10"/>
        <color rgb="FFFF0000"/>
        <name val="Arial"/>
        <scheme val="none"/>
      </font>
      <numFmt numFmtId="35" formatCode="_(* #,##0.00_);_(* \(#,##0.00\);_(* &quot;-&quot;??_);_(@_)"/>
      <fill>
        <patternFill patternType="none"/>
      </fill>
      <border>
        <left style="thin">
          <color auto="1"/>
        </left>
        <right style="thin">
          <color auto="1"/>
        </right>
        <top style="thin">
          <color auto="1"/>
        </top>
        <bottom style="thin">
          <color auto="1"/>
        </bottom>
      </border>
    </dxf>
    <dxf>
      <font>
        <b val="0"/>
        <i val="0"/>
        <strike val="0"/>
        <u val="none"/>
        <sz val="11"/>
        <color rgb="FFFF0000"/>
        <name val="Calibri"/>
        <scheme val="none"/>
      </font>
      <numFmt numFmtId="35" formatCode="_(* #,##0.00_);_(* \(#,##0.00\);_(* &quot;-&quot;??_);_(@_)"/>
      <fill>
        <patternFill patternType="none"/>
      </fill>
      <border>
        <left style="thin">
          <color auto="1"/>
        </left>
        <right style="thin">
          <color auto="1"/>
        </right>
        <top style="thin">
          <color auto="1"/>
        </top>
        <bottom style="thin">
          <color auto="1"/>
        </bottom>
      </border>
    </dxf>
    <dxf>
      <font>
        <b val="0"/>
        <i val="0"/>
        <strike val="0"/>
        <u val="none"/>
        <sz val="11"/>
        <color theme="1"/>
        <name val="Calibri"/>
        <scheme val="none"/>
      </font>
      <numFmt numFmtId="14" formatCode="0.00%"/>
      <fill>
        <patternFill patternType="none"/>
      </fill>
      <border>
        <left style="thin">
          <color auto="1"/>
        </left>
        <right style="thin">
          <color auto="1"/>
        </right>
        <top style="thin">
          <color auto="1"/>
        </top>
        <bottom style="thin">
          <color auto="1"/>
        </bottom>
      </border>
    </dxf>
    <dxf>
      <font>
        <b val="0"/>
        <i val="0"/>
        <strike val="0"/>
        <u val="none"/>
        <sz val="11"/>
        <color rgb="FFFF0000"/>
        <name val="Calibri"/>
        <scheme val="none"/>
      </font>
      <numFmt numFmtId="35" formatCode="_(* #,##0.00_);_(* \(#,##0.00\);_(* &quot;-&quot;??_);_(@_)"/>
      <fill>
        <patternFill patternType="none"/>
      </fill>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numFmt numFmtId="1" formatCode="0"/>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numFmt numFmtId="1" formatCode="0"/>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numFmt numFmtId="1" formatCode="0"/>
      <fill>
        <patternFill patternType="none"/>
      </fill>
      <alignment horizontal="center"/>
      <border>
        <left style="thin">
          <color auto="1"/>
        </left>
        <right style="thin">
          <color auto="1"/>
        </right>
        <top style="thin">
          <color auto="1"/>
        </top>
        <bottom style="thin">
          <color auto="1"/>
        </bottom>
      </border>
    </dxf>
    <dxf>
      <font>
        <b val="0"/>
        <i/>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style="thin">
          <color auto="1"/>
        </top>
        <bottom/>
      </border>
    </dxf>
    <dxf>
      <font>
        <b val="0"/>
        <i val="0"/>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numFmt numFmtId="21" formatCode="d\-mmm"/>
      <fill>
        <patternFill patternType="none"/>
      </fill>
      <border>
        <left style="thin">
          <color auto="1"/>
        </left>
        <right style="thin">
          <color auto="1"/>
        </right>
        <top style="thin">
          <color auto="1"/>
        </top>
        <bottom style="thin">
          <color auto="1"/>
        </bottom>
      </border>
    </dxf>
    <dxf>
      <font>
        <b val="0"/>
        <i val="0"/>
        <strike val="0"/>
        <u val="none"/>
        <sz val="10"/>
        <color auto="1"/>
        <name val="Arial"/>
        <scheme val="none"/>
      </font>
      <numFmt numFmtId="21" formatCode="d\-mmm"/>
      <fill>
        <patternFill patternType="none"/>
      </fill>
      <border>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top style="thin">
          <color auto="1"/>
        </top>
        <bottom style="thin">
          <color auto="1"/>
        </bottom>
      </border>
    </dxf>
    <dxf>
      <font>
        <b val="0"/>
        <i val="0"/>
        <strike val="0"/>
        <u val="none"/>
        <sz val="10"/>
        <color auto="1"/>
        <name val="Arial"/>
        <scheme val="none"/>
      </font>
      <fill>
        <patternFill patternType="none"/>
      </fill>
      <alignment horizontal="center" vertic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style="thin">
          <color auto="1"/>
        </top>
        <bottom style="thin">
          <color auto="1"/>
        </bottom>
      </border>
    </dxf>
    <dxf>
      <font>
        <b val="0"/>
        <i val="0"/>
        <strike val="0"/>
        <u val="none"/>
        <sz val="10"/>
        <color theme="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border>
        <left style="thin">
          <color auto="1"/>
        </left>
        <right style="thin">
          <color auto="1"/>
        </right>
        <top/>
        <bottom style="thin">
          <color auto="1"/>
        </bottom>
      </border>
    </dxf>
    <dxf>
      <font>
        <b val="0"/>
        <i val="0"/>
        <strike val="0"/>
        <u val="none"/>
        <sz val="10"/>
        <color auto="1"/>
        <name val="Arial"/>
        <scheme val="none"/>
      </font>
      <fill>
        <patternFill patternType="none"/>
      </fill>
      <border>
        <left style="thin">
          <color auto="1"/>
        </left>
        <right style="thin">
          <color auto="1"/>
        </right>
        <top/>
        <bottom style="thin">
          <color auto="1"/>
        </bottom>
      </border>
    </dxf>
    <dxf>
      <font>
        <b val="0"/>
        <i val="0"/>
        <strike val="0"/>
        <u val="none"/>
        <sz val="10"/>
        <color auto="1"/>
        <name val="Arial"/>
        <scheme val="none"/>
      </font>
      <fill>
        <patternFill patternType="none"/>
      </fill>
      <border>
        <left style="thin">
          <color auto="1"/>
        </left>
        <right style="thin">
          <color auto="1"/>
        </right>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bottom style="thin">
          <color auto="1"/>
        </bottom>
      </border>
    </dxf>
    <dxf>
      <font>
        <b val="0"/>
        <i val="0"/>
        <strike val="0"/>
        <u val="none"/>
        <sz val="10"/>
        <color auto="1"/>
        <name val="Arial"/>
        <scheme val="none"/>
      </font>
      <fill>
        <patternFill patternType="none"/>
      </fill>
      <border>
        <left style="thin">
          <color auto="1"/>
        </left>
        <right style="thin">
          <color auto="1"/>
        </right>
        <top/>
        <bottom style="thin">
          <color auto="1"/>
        </bottom>
      </border>
    </dxf>
    <dxf>
      <font>
        <b val="0"/>
        <i val="0"/>
        <strike val="0"/>
        <u val="none"/>
        <sz val="10"/>
        <color auto="1"/>
        <name val="Arial"/>
        <scheme val="none"/>
      </font>
      <fill>
        <patternFill patternType="none"/>
      </fill>
      <border>
        <left style="thin">
          <color auto="1"/>
        </left>
        <right style="thin">
          <color auto="1"/>
        </right>
        <top/>
        <bottom style="thin">
          <color auto="1"/>
        </bottom>
      </border>
    </dxf>
    <dxf>
      <font>
        <b val="0"/>
        <i val="0"/>
        <strike val="0"/>
        <u val="none"/>
        <sz val="10"/>
        <color auto="1"/>
        <name val="Arial"/>
        <scheme val="none"/>
      </font>
      <fill>
        <patternFill patternType="none"/>
      </fill>
      <border>
        <left style="thin">
          <color auto="1"/>
        </left>
        <right style="thin">
          <color auto="1"/>
        </right>
        <top/>
        <bottom style="thin">
          <color auto="1"/>
        </bottom>
      </border>
    </dxf>
    <dxf>
      <font>
        <b val="0"/>
        <i val="0"/>
        <strike val="0"/>
        <u val="none"/>
        <sz val="10"/>
        <color auto="1"/>
        <name val="Arial"/>
        <scheme val="none"/>
      </font>
      <fill>
        <patternFill patternType="none"/>
      </fill>
      <border>
        <left style="thin">
          <color auto="1"/>
        </left>
        <right style="thin">
          <color auto="1"/>
        </right>
        <top/>
        <bottom style="thin">
          <color auto="1"/>
        </bottom>
      </border>
    </dxf>
    <dxf>
      <font>
        <b val="0"/>
        <i val="0"/>
        <strike val="0"/>
        <u val="none"/>
        <sz val="10"/>
        <color auto="1"/>
        <name val="Arial"/>
        <scheme val="none"/>
      </font>
      <fill>
        <patternFill patternType="none"/>
      </fill>
      <border>
        <left style="thin">
          <color auto="1"/>
        </left>
        <right style="thin">
          <color auto="1"/>
        </right>
        <top/>
        <bottom style="thin">
          <color auto="1"/>
        </bottom>
      </border>
    </dxf>
    <dxf>
      <font>
        <b val="0"/>
        <i val="0"/>
        <strike val="0"/>
        <u val="none"/>
        <sz val="10"/>
        <color auto="1"/>
        <name val="Arial"/>
        <scheme val="none"/>
      </font>
      <fill>
        <patternFill patternType="none"/>
      </fill>
      <border>
        <left style="thin">
          <color auto="1"/>
        </left>
        <right style="thin">
          <color auto="1"/>
        </right>
        <top/>
        <bottom style="thin">
          <color auto="1"/>
        </bottom>
      </border>
    </dxf>
    <dxf>
      <font>
        <b val="0"/>
        <i val="0"/>
        <strike val="0"/>
        <u val="none"/>
        <sz val="10"/>
        <color rgb="FFFF0000"/>
        <name val="Arial"/>
        <scheme val="none"/>
      </font>
      <numFmt numFmtId="35" formatCode="_(* #,##0.00_);_(* \(#,##0.00\);_(* &quot;-&quot;??_);_(@_)"/>
      <fill>
        <patternFill patternType="none"/>
      </fill>
      <border>
        <left style="thin">
          <color auto="1"/>
        </left>
        <right style="thin">
          <color auto="1"/>
        </right>
        <top style="thin">
          <color auto="1"/>
        </top>
        <bottom style="thin">
          <color auto="1"/>
        </bottom>
      </border>
    </dxf>
    <dxf>
      <font>
        <b val="0"/>
        <i val="0"/>
        <strike val="0"/>
        <u val="none"/>
        <sz val="11"/>
        <color rgb="FFFF0000"/>
        <name val="Calibri"/>
        <scheme val="none"/>
      </font>
      <numFmt numFmtId="35" formatCode="_(* #,##0.00_);_(* \(#,##0.00\);_(* &quot;-&quot;??_);_(@_)"/>
      <fill>
        <patternFill patternType="none"/>
      </fill>
      <border>
        <left style="thin">
          <color auto="1"/>
        </left>
        <right style="thin">
          <color auto="1"/>
        </right>
        <top style="thin">
          <color auto="1"/>
        </top>
        <bottom style="thin">
          <color auto="1"/>
        </bottom>
      </border>
    </dxf>
    <dxf>
      <font>
        <b val="0"/>
        <i val="0"/>
        <strike val="0"/>
        <u val="none"/>
        <sz val="11"/>
        <color theme="1"/>
        <name val="Calibri"/>
        <scheme val="none"/>
      </font>
      <numFmt numFmtId="14" formatCode="0.00%"/>
      <fill>
        <patternFill patternType="none"/>
      </fill>
      <border>
        <left style="thin">
          <color auto="1"/>
        </left>
        <right style="thin">
          <color auto="1"/>
        </right>
        <top style="thin">
          <color auto="1"/>
        </top>
        <bottom style="thin">
          <color auto="1"/>
        </bottom>
      </border>
    </dxf>
    <dxf>
      <font>
        <b val="0"/>
        <i val="0"/>
        <strike val="0"/>
        <u val="none"/>
        <sz val="11"/>
        <color rgb="FFFF0000"/>
        <name val="Calibri"/>
        <scheme val="none"/>
      </font>
      <numFmt numFmtId="35" formatCode="_(* #,##0.00_);_(* \(#,##0.00\);_(* &quot;-&quot;??_);_(@_)"/>
      <fill>
        <patternFill patternType="none"/>
      </fill>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numFmt numFmtId="1" formatCode="0"/>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numFmt numFmtId="1" formatCode="0"/>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alignment horizontal="center"/>
      <border>
        <left style="thin">
          <color auto="1"/>
        </left>
        <right style="thin">
          <color auto="1"/>
        </right>
        <top style="thin">
          <color auto="1"/>
        </top>
        <bottom style="thin">
          <color auto="1"/>
        </bottom>
      </border>
    </dxf>
    <dxf>
      <font>
        <b val="0"/>
        <i val="0"/>
        <strike val="0"/>
        <u val="none"/>
        <sz val="11"/>
        <color theme="1"/>
        <name val="Calibri"/>
        <scheme val="none"/>
      </font>
      <numFmt numFmtId="1" formatCode="0"/>
      <fill>
        <patternFill patternType="none"/>
      </fill>
      <alignment horizontal="center"/>
      <border>
        <left style="thin">
          <color auto="1"/>
        </left>
        <right style="thin">
          <color auto="1"/>
        </right>
        <top style="thin">
          <color auto="1"/>
        </top>
        <bottom style="thin">
          <color auto="1"/>
        </bottom>
      </border>
    </dxf>
    <dxf>
      <font>
        <b val="0"/>
        <i/>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bottom style="thin">
          <color auto="1"/>
        </bottom>
      </border>
    </dxf>
    <dxf>
      <font>
        <b val="0"/>
        <i val="0"/>
        <strike val="0"/>
        <u val="none"/>
        <sz val="10"/>
        <color auto="1"/>
        <name val="Arial"/>
        <scheme val="none"/>
      </font>
      <fill>
        <patternFill patternType="none"/>
      </fill>
      <alignment horizontal="center"/>
      <border>
        <left style="thin">
          <color auto="1"/>
        </left>
        <right style="thin">
          <color auto="1"/>
        </right>
        <top style="thin">
          <color auto="1"/>
        </top>
        <bottom style="thin">
          <color auto="1"/>
        </bottom>
      </border>
    </dxf>
    <dxf>
      <font>
        <b val="0"/>
        <i val="0"/>
        <strike val="0"/>
        <u val="none"/>
        <sz val="10"/>
        <color auto="1"/>
        <name val="Arial"/>
        <scheme val="none"/>
      </font>
      <numFmt numFmtId="169" formatCode="[$-409]d\-mmm;@"/>
      <fill>
        <patternFill patternType="none"/>
      </fill>
      <border>
        <left style="thin">
          <color auto="1"/>
        </left>
        <right style="thin">
          <color auto="1"/>
        </right>
        <top style="thin">
          <color auto="1"/>
        </top>
        <bottom style="thin">
          <color auto="1"/>
        </bottom>
      </border>
    </dxf>
    <dxf>
      <font>
        <b val="0"/>
        <i val="0"/>
        <strike val="0"/>
        <u val="none"/>
        <sz val="10"/>
        <color auto="1"/>
        <name val="Arial"/>
        <scheme val="none"/>
      </font>
      <numFmt numFmtId="21" formatCode="d\-mmm"/>
      <fill>
        <patternFill patternType="none"/>
      </fill>
      <alignment horizontal="center"/>
      <border>
        <left/>
        <right style="thin">
          <color auto="1"/>
        </right>
        <top/>
        <bottom style="thin">
          <color auto="1"/>
        </bottom>
      </border>
    </dxf>
  </dxfs>
  <tableStyles count="0" defaultTableStyle="TableStyleMedium9" defaultPivotStyle="PivotStyleLight16"/>
  <colors>
    <mruColors>
      <color rgb="FFCF9F6F"/>
      <color rgb="FF0000FF"/>
      <color rgb="FFFFFFCC"/>
      <color rgb="FF3186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egstoresvr\megamall%20files\Users\rspalomaria\AppData\Local\Microsoft\Windows\INetCache\Content.Outlook\XWEH2F6K\BAL_MTD_MAY%2001-31%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_RPRO"/>
      <sheetName val="MRet"/>
      <sheetName val="MANUAL"/>
      <sheetName val="MSI"/>
      <sheetName val="OUTSALE"/>
      <sheetName val="Seasonality Template"/>
      <sheetName val="DEPOSIT SUMMARY"/>
      <sheetName val="YTD-SALES"/>
      <sheetName val="YTD RETAIL DRIVERS"/>
      <sheetName val="#OF SG RECEIPT COPY"/>
      <sheetName val="WML"/>
    </sheetNames>
    <sheetDataSet>
      <sheetData sheetId="0"/>
      <sheetData sheetId="1"/>
      <sheetData sheetId="2">
        <row r="6">
          <cell r="X6">
            <v>0</v>
          </cell>
        </row>
        <row r="7">
          <cell r="X7">
            <v>0</v>
          </cell>
        </row>
        <row r="8">
          <cell r="X8">
            <v>0</v>
          </cell>
        </row>
        <row r="9">
          <cell r="X9">
            <v>0</v>
          </cell>
        </row>
      </sheetData>
      <sheetData sheetId="3"/>
      <sheetData sheetId="4">
        <row r="6">
          <cell r="X6">
            <v>0</v>
          </cell>
        </row>
        <row r="7">
          <cell r="X7">
            <v>0</v>
          </cell>
        </row>
        <row r="8">
          <cell r="X8">
            <v>0</v>
          </cell>
        </row>
        <row r="9">
          <cell r="X9">
            <v>0</v>
          </cell>
        </row>
      </sheetData>
      <sheetData sheetId="5"/>
      <sheetData sheetId="6"/>
      <sheetData sheetId="7"/>
      <sheetData sheetId="8"/>
      <sheetData sheetId="9"/>
      <sheetData sheetId="1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si" displayName="msi" ref="A8:AG19" totalsRowShown="0">
  <autoFilter ref="A8:AG19" xr:uid="{00000000-0009-0000-0100-000001000000}"/>
  <tableColumns count="33">
    <tableColumn id="1" xr3:uid="{00000000-0010-0000-0000-000001000000}" name="BRANCH" dataDxfId="73"/>
    <tableColumn id="2" xr3:uid="{00000000-0010-0000-0000-000002000000}" name="DATE" dataDxfId="72"/>
    <tableColumn id="3" xr3:uid="{00000000-0010-0000-0000-000003000000}" name="CSI No." dataDxfId="71"/>
    <tableColumn id="34" xr3:uid="{00000000-0010-0000-0000-000022000000}" name="Manual /OutSale" dataDxfId="70"/>
    <tableColumn id="4" xr3:uid="{00000000-0010-0000-0000-000004000000}" name="SALES ORDER #" dataDxfId="69"/>
    <tableColumn id="5" xr3:uid="{00000000-0010-0000-0000-000005000000}" name="Sales Shipment No." dataDxfId="68"/>
    <tableColumn id="6" xr3:uid="{00000000-0010-0000-0000-000006000000}" name="CON/ OUT" dataDxfId="67"/>
    <tableColumn id="7" xr3:uid="{00000000-0010-0000-0000-000007000000}" name="ALU/UPC" dataDxfId="66"/>
    <tableColumn id="8" xr3:uid="{00000000-0010-0000-0000-000008000000}" name="BRAND" dataDxfId="65"/>
    <tableColumn id="9" xr3:uid="{00000000-0010-0000-0000-000009000000}" name="DESCRIPTION1" dataDxfId="64"/>
    <tableColumn id="10" xr3:uid="{00000000-0010-0000-0000-00000A000000}" name="DESC2/ ARTICLE #" dataDxfId="63"/>
    <tableColumn id="11" xr3:uid="{00000000-0010-0000-0000-00000B000000}" name="SIZE/ COLOR" dataDxfId="62"/>
    <tableColumn id="12" xr3:uid="{00000000-0010-0000-0000-00000C000000}" name="QTY" dataDxfId="61"/>
    <tableColumn id="13" xr3:uid="{00000000-0010-0000-0000-00000D000000}" name="Unit Price" dataDxfId="60"/>
    <tableColumn id="14" xr3:uid="{00000000-0010-0000-0000-00000E000000}" name="SP" dataDxfId="59">
      <calculatedColumnFormula>M9*N9</calculatedColumnFormula>
    </tableColumn>
    <tableColumn id="15" xr3:uid="{00000000-0010-0000-0000-00000F000000}" name="%" dataDxfId="58"/>
    <tableColumn id="16" xr3:uid="{00000000-0010-0000-0000-000010000000}" name="DISC. AMOUNT" dataDxfId="57">
      <calculatedColumnFormula>O9*P9</calculatedColumnFormula>
    </tableColumn>
    <tableColumn id="17" xr3:uid="{00000000-0010-0000-0000-000011000000}" name="NET PRICE" dataDxfId="56">
      <calculatedColumnFormula>O9-Q9</calculatedColumnFormula>
    </tableColumn>
    <tableColumn id="18" xr3:uid="{00000000-0010-0000-0000-000012000000}" name="CASH" dataDxfId="55"/>
    <tableColumn id="31" xr3:uid="{00000000-0010-0000-0000-00001F000000}" name="Check" dataDxfId="54"/>
    <tableColumn id="32" xr3:uid="{00000000-0010-0000-0000-000020000000}" name="COD" dataDxfId="53"/>
    <tableColumn id="19" xr3:uid="{00000000-0010-0000-0000-000013000000}" name="CREDIT CARD" dataDxfId="52"/>
    <tableColumn id="20" xr3:uid="{00000000-0010-0000-0000-000014000000}" name="EMPLOYEES' CHARGE" dataDxfId="51"/>
    <tableColumn id="21" xr3:uid="{00000000-0010-0000-0000-000015000000}" name="Other Charge" dataDxfId="50"/>
    <tableColumn id="22" xr3:uid="{00000000-0010-0000-0000-000016000000}" name="Customer Name for Charge transaction" dataDxfId="49"/>
    <tableColumn id="23" xr3:uid="{00000000-0010-0000-0000-000017000000}" name="CHARGE" dataDxfId="48"/>
    <tableColumn id="24" xr3:uid="{00000000-0010-0000-0000-000018000000}" name="GC/  OTHERS" dataDxfId="47"/>
    <tableColumn id="33" xr3:uid="{00000000-0010-0000-0000-000021000000}" name="CWT" dataDxfId="46"/>
    <tableColumn id="26" xr3:uid="{00000000-0010-0000-0000-00001A000000}" name="REASON(LS-POP UP)" dataDxfId="45"/>
    <tableColumn id="27" xr3:uid="{00000000-0010-0000-0000-00001B000000}" name="REMARKS" dataDxfId="44"/>
    <tableColumn id="28" xr3:uid="{00000000-0010-0000-0000-00001C000000}" name="CASHIER NAME" dataDxfId="43"/>
    <tableColumn id="29" xr3:uid="{00000000-0010-0000-0000-00001D000000}" name="SALES PERSON(SA) SALES AGENT" dataDxfId="42"/>
    <tableColumn id="30" xr3:uid="{00000000-0010-0000-0000-00001E000000}" name="MIS-REMARKS" dataDxfId="4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Ret" displayName="MRet" ref="A8:AG16" totalsRowShown="0">
  <autoFilter ref="A8:AG16" xr:uid="{00000000-0009-0000-0100-000002000000}"/>
  <tableColumns count="33">
    <tableColumn id="1" xr3:uid="{00000000-0010-0000-0100-000001000000}" name="BRANCH" dataDxfId="40">
      <calculatedColumnFormula>B$3</calculatedColumnFormula>
    </tableColumn>
    <tableColumn id="2" xr3:uid="{00000000-0010-0000-0100-000002000000}" name="DATE" dataDxfId="39"/>
    <tableColumn id="3" xr3:uid="{00000000-0010-0000-0100-000003000000}" name="RS#" dataDxfId="38"/>
    <tableColumn id="34" xr3:uid="{00000000-0010-0000-0100-000022000000}" name="Manual/ OutSale" dataDxfId="37"/>
    <tableColumn id="4" xr3:uid="{00000000-0010-0000-0100-000004000000}" name="SALES ORDER #" dataDxfId="36"/>
    <tableColumn id="5" xr3:uid="{00000000-0010-0000-0100-000005000000}" name="Return Receipt No." dataDxfId="35"/>
    <tableColumn id="6" xr3:uid="{00000000-0010-0000-0100-000006000000}" name="CON/ OUT" dataDxfId="34"/>
    <tableColumn id="7" xr3:uid="{00000000-0010-0000-0100-000007000000}" name="ALU/UPC" dataDxfId="33"/>
    <tableColumn id="8" xr3:uid="{00000000-0010-0000-0100-000008000000}" name="BRAND" dataDxfId="32"/>
    <tableColumn id="9" xr3:uid="{00000000-0010-0000-0100-000009000000}" name="DESCRIPTION1" dataDxfId="31"/>
    <tableColumn id="10" xr3:uid="{00000000-0010-0000-0100-00000A000000}" name="DESC2/ARTICLE #" dataDxfId="30"/>
    <tableColumn id="11" xr3:uid="{00000000-0010-0000-0100-00000B000000}" name="SIZE/COLOR" dataDxfId="29"/>
    <tableColumn id="12" xr3:uid="{00000000-0010-0000-0100-00000C000000}" name="QTY" dataDxfId="28"/>
    <tableColumn id="13" xr3:uid="{00000000-0010-0000-0100-00000D000000}" name="Unit Price" dataDxfId="27"/>
    <tableColumn id="14" xr3:uid="{00000000-0010-0000-0100-00000E000000}" name="SP" dataDxfId="26">
      <calculatedColumnFormula>M9*N9</calculatedColumnFormula>
    </tableColumn>
    <tableColumn id="15" xr3:uid="{00000000-0010-0000-0100-00000F000000}" name="%" dataDxfId="25"/>
    <tableColumn id="16" xr3:uid="{00000000-0010-0000-0100-000010000000}" name="DISC. AMOUNT" dataDxfId="24">
      <calculatedColumnFormula>O9*P9</calculatedColumnFormula>
    </tableColumn>
    <tableColumn id="17" xr3:uid="{00000000-0010-0000-0100-000011000000}" name="NET PRICE" dataDxfId="23">
      <calculatedColumnFormula>O9-Q9</calculatedColumnFormula>
    </tableColumn>
    <tableColumn id="18" xr3:uid="{00000000-0010-0000-0100-000012000000}" name="CASH" dataDxfId="22"/>
    <tableColumn id="31" xr3:uid="{00000000-0010-0000-0100-00001F000000}" name="Check" dataDxfId="21"/>
    <tableColumn id="32" xr3:uid="{00000000-0010-0000-0100-000020000000}" name="COD" dataDxfId="20"/>
    <tableColumn id="19" xr3:uid="{00000000-0010-0000-0100-000013000000}" name="CREDIT CARD" dataDxfId="19"/>
    <tableColumn id="20" xr3:uid="{00000000-0010-0000-0100-000014000000}" name="EMPLOYEES' CHARGE" dataDxfId="18"/>
    <tableColumn id="21" xr3:uid="{00000000-0010-0000-0100-000015000000}" name="Other Charge" dataDxfId="17"/>
    <tableColumn id="22" xr3:uid="{00000000-0010-0000-0100-000016000000}" name="Customer Name for Charge transaction" dataDxfId="16"/>
    <tableColumn id="23" xr3:uid="{00000000-0010-0000-0100-000017000000}" name="CHARGE" dataDxfId="15">
      <calculatedColumnFormula>MRet[[#This Row],[CREDIT CARD]]+MRet[[#This Row],[EMPLOYEES'' CHARGE]]+MRet[[#This Row],[Other Charge]]</calculatedColumnFormula>
    </tableColumn>
    <tableColumn id="24" xr3:uid="{00000000-0010-0000-0100-000018000000}" name="GC/  OTHERS" dataDxfId="14"/>
    <tableColumn id="33" xr3:uid="{00000000-0010-0000-0100-000021000000}" name="CWT" dataDxfId="13"/>
    <tableColumn id="26" xr3:uid="{00000000-0010-0000-0100-00001A000000}" name="REASON(LS-POP UP)" dataDxfId="12"/>
    <tableColumn id="27" xr3:uid="{00000000-0010-0000-0100-00001B000000}" name="REMARKS" dataDxfId="11"/>
    <tableColumn id="28" xr3:uid="{00000000-0010-0000-0100-00001C000000}" name="CASHIER NAME" dataDxfId="10"/>
    <tableColumn id="29" xr3:uid="{00000000-0010-0000-0100-00001D000000}" name="SALES PERSON(SA) SALES AGENT" dataDxfId="9"/>
    <tableColumn id="30" xr3:uid="{00000000-0010-0000-0100-00001E000000}" name="MIS-REMARKS" dataDxfId="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2627"/>
  <sheetViews>
    <sheetView zoomScaleNormal="100" workbookViewId="0">
      <pane xSplit="1" ySplit="5" topLeftCell="B6" activePane="bottomRight" state="frozen"/>
      <selection pane="topRight"/>
      <selection pane="bottomLeft"/>
      <selection pane="bottomRight" activeCell="A17" sqref="A17"/>
    </sheetView>
  </sheetViews>
  <sheetFormatPr defaultColWidth="9.109375" defaultRowHeight="13.2"/>
  <cols>
    <col min="1" max="1" width="11.5546875" style="507" customWidth="1"/>
    <col min="2" max="2" width="19.88671875" style="508" customWidth="1"/>
    <col min="3" max="3" width="16.88671875" style="508" customWidth="1"/>
    <col min="4" max="4" width="18.6640625" style="508" customWidth="1"/>
    <col min="5" max="5" width="16" style="508" customWidth="1"/>
    <col min="6" max="6" width="19.33203125" style="508" customWidth="1"/>
    <col min="7" max="7" width="14.88671875" style="508" customWidth="1"/>
    <col min="8" max="8" width="14.5546875" style="509" customWidth="1"/>
    <col min="9" max="9" width="13.109375" style="508" customWidth="1"/>
    <col min="10" max="10" width="14.109375" style="508" customWidth="1"/>
    <col min="11" max="11" width="13.109375" style="510" customWidth="1"/>
    <col min="12" max="12" width="12.44140625" style="510" customWidth="1"/>
    <col min="13" max="13" width="15" style="510" customWidth="1"/>
    <col min="14" max="14" width="3.33203125" style="511" customWidth="1"/>
    <col min="15" max="15" width="18.88671875" style="512" customWidth="1"/>
    <col min="16" max="16" width="14.6640625" style="512" customWidth="1"/>
    <col min="17" max="17" width="17.88671875" style="512" customWidth="1"/>
    <col min="18" max="18" width="17" style="512" customWidth="1"/>
    <col min="19" max="19" width="17.5546875" style="512" customWidth="1"/>
    <col min="20" max="20" width="15.33203125" style="512" customWidth="1"/>
    <col min="21" max="21" width="15.44140625" style="512" customWidth="1"/>
    <col min="22" max="22" width="11.5546875" style="512" customWidth="1"/>
    <col min="23" max="23" width="17" style="512" customWidth="1"/>
    <col min="24" max="24" width="12.88671875" style="512" customWidth="1"/>
    <col min="25" max="25" width="12.44140625" style="512" customWidth="1"/>
    <col min="26" max="26" width="17.44140625" style="512" customWidth="1"/>
    <col min="27" max="27" width="18.5546875" style="513" customWidth="1"/>
    <col min="28" max="28" width="17.88671875" style="514" customWidth="1"/>
    <col min="29" max="30" width="14.5546875" style="514" customWidth="1"/>
    <col min="31" max="16384" width="9.109375" style="513"/>
  </cols>
  <sheetData>
    <row r="1" spans="1:32" ht="15.6">
      <c r="A1" s="871" t="s">
        <v>246</v>
      </c>
      <c r="B1" s="872"/>
      <c r="C1" s="872"/>
      <c r="D1" s="872"/>
      <c r="E1" s="872"/>
      <c r="F1" s="872"/>
      <c r="G1" s="872"/>
      <c r="H1" s="872"/>
      <c r="I1" s="872"/>
      <c r="J1" s="872"/>
      <c r="K1" s="872"/>
      <c r="L1" s="872"/>
      <c r="M1" s="873"/>
      <c r="N1" s="537"/>
    </row>
    <row r="2" spans="1:32" s="507" customFormat="1">
      <c r="A2" s="874">
        <v>46296</v>
      </c>
      <c r="B2" s="875"/>
      <c r="C2" s="875"/>
      <c r="D2" s="875"/>
      <c r="E2" s="875"/>
      <c r="F2" s="875"/>
      <c r="G2" s="875"/>
      <c r="H2" s="875"/>
      <c r="I2" s="875"/>
      <c r="J2" s="875"/>
      <c r="K2" s="875"/>
      <c r="L2" s="875"/>
      <c r="M2" s="876"/>
      <c r="N2" s="538"/>
      <c r="O2" s="539"/>
      <c r="P2" s="539"/>
      <c r="Q2" s="539"/>
      <c r="R2" s="539"/>
      <c r="S2" s="539"/>
      <c r="T2" s="539"/>
      <c r="U2" s="539"/>
      <c r="V2" s="539"/>
      <c r="W2" s="539"/>
      <c r="X2" s="539"/>
      <c r="Y2" s="539"/>
      <c r="Z2" s="539"/>
      <c r="AB2" s="556"/>
      <c r="AC2" s="556"/>
      <c r="AD2" s="556"/>
    </row>
    <row r="3" spans="1:32" s="507" customFormat="1">
      <c r="A3" s="515" t="s">
        <v>130</v>
      </c>
      <c r="B3" s="516"/>
      <c r="C3" s="516"/>
      <c r="D3" s="516"/>
      <c r="E3" s="516"/>
      <c r="F3" s="516"/>
      <c r="G3" s="516"/>
      <c r="H3" s="517"/>
      <c r="I3" s="516"/>
      <c r="J3" s="516"/>
      <c r="K3" s="517"/>
      <c r="L3" s="517"/>
      <c r="M3" s="287"/>
      <c r="N3" s="540"/>
      <c r="O3" s="539"/>
      <c r="P3" s="539"/>
      <c r="R3" s="539"/>
      <c r="S3" s="539"/>
      <c r="T3" s="539"/>
      <c r="U3" s="539"/>
      <c r="V3" s="539"/>
      <c r="W3" s="539"/>
      <c r="X3" s="539"/>
      <c r="Y3" s="539"/>
      <c r="Z3" s="539"/>
    </row>
    <row r="4" spans="1:32" s="507" customFormat="1">
      <c r="A4" s="888" t="s">
        <v>0</v>
      </c>
      <c r="B4" s="518"/>
      <c r="C4" s="518"/>
      <c r="D4" s="518"/>
      <c r="E4" s="877" t="s">
        <v>1</v>
      </c>
      <c r="F4" s="878"/>
      <c r="G4" s="518"/>
      <c r="H4" s="519" t="s">
        <v>2</v>
      </c>
      <c r="I4" s="518"/>
      <c r="J4" s="518"/>
      <c r="K4" s="879" t="s">
        <v>3</v>
      </c>
      <c r="L4" s="879"/>
      <c r="M4" s="519" t="s">
        <v>4</v>
      </c>
      <c r="N4" s="541"/>
      <c r="O4" s="542" t="s">
        <v>5</v>
      </c>
      <c r="P4" s="542" t="s">
        <v>6</v>
      </c>
      <c r="Q4" s="880" t="s">
        <v>7</v>
      </c>
      <c r="R4" s="881"/>
      <c r="S4" s="881"/>
      <c r="T4" s="882"/>
      <c r="U4" s="890" t="s">
        <v>8</v>
      </c>
      <c r="V4" s="885" t="s">
        <v>9</v>
      </c>
      <c r="W4" s="886"/>
      <c r="X4" s="886"/>
      <c r="Y4" s="887"/>
      <c r="Z4" s="892" t="s">
        <v>10</v>
      </c>
      <c r="AA4" s="557" t="s">
        <v>11</v>
      </c>
      <c r="AB4" s="883" t="s">
        <v>12</v>
      </c>
      <c r="AC4" s="883" t="s">
        <v>13</v>
      </c>
      <c r="AD4" s="883" t="s">
        <v>14</v>
      </c>
    </row>
    <row r="5" spans="1:32" s="507" customFormat="1">
      <c r="A5" s="889"/>
      <c r="B5" s="520" t="s">
        <v>15</v>
      </c>
      <c r="C5" s="520" t="s">
        <v>16</v>
      </c>
      <c r="D5" s="520" t="s">
        <v>17</v>
      </c>
      <c r="E5" s="520" t="s">
        <v>18</v>
      </c>
      <c r="F5" s="520" t="s">
        <v>19</v>
      </c>
      <c r="G5" s="520" t="s">
        <v>20</v>
      </c>
      <c r="H5" s="519" t="s">
        <v>21</v>
      </c>
      <c r="I5" s="520" t="s">
        <v>22</v>
      </c>
      <c r="J5" s="520" t="s">
        <v>23</v>
      </c>
      <c r="K5" s="519" t="s">
        <v>24</v>
      </c>
      <c r="L5" s="519" t="s">
        <v>25</v>
      </c>
      <c r="M5" s="519" t="s">
        <v>21</v>
      </c>
      <c r="N5" s="541"/>
      <c r="O5" s="543" t="s">
        <v>26</v>
      </c>
      <c r="P5" s="543" t="s">
        <v>27</v>
      </c>
      <c r="Q5" s="552" t="s">
        <v>28</v>
      </c>
      <c r="R5" s="553" t="s">
        <v>29</v>
      </c>
      <c r="S5" s="553" t="s">
        <v>30</v>
      </c>
      <c r="T5" s="553" t="s">
        <v>31</v>
      </c>
      <c r="U5" s="891"/>
      <c r="V5" s="553" t="s">
        <v>32</v>
      </c>
      <c r="W5" s="553" t="s">
        <v>33</v>
      </c>
      <c r="X5" s="552" t="s">
        <v>34</v>
      </c>
      <c r="Y5" s="552" t="s">
        <v>35</v>
      </c>
      <c r="Z5" s="893"/>
      <c r="AA5" s="558" t="s">
        <v>36</v>
      </c>
      <c r="AB5" s="884"/>
      <c r="AC5" s="884"/>
      <c r="AD5" s="884"/>
    </row>
    <row r="6" spans="1:32" s="769" customFormat="1">
      <c r="A6" s="760">
        <f>A2+0</f>
        <v>46296</v>
      </c>
      <c r="B6" s="761">
        <f>102690.45+70551.9</f>
        <v>173242.34999999998</v>
      </c>
      <c r="C6" s="761">
        <v>0</v>
      </c>
      <c r="D6" s="762">
        <f>+B6-C6</f>
        <v>173242.34999999998</v>
      </c>
      <c r="E6" s="761"/>
      <c r="F6" s="762">
        <f>+C6-E6</f>
        <v>0</v>
      </c>
      <c r="G6" s="761"/>
      <c r="H6" s="763"/>
      <c r="I6" s="764">
        <f>SUMIF(AB6,"&lt;.01")</f>
        <v>0</v>
      </c>
      <c r="J6" s="764">
        <f>SUMIF(AB6,"&gt;.01")</f>
        <v>3.0000000000291038</v>
      </c>
      <c r="K6" s="763">
        <v>0</v>
      </c>
      <c r="L6" s="763">
        <v>0</v>
      </c>
      <c r="M6" s="763">
        <v>359</v>
      </c>
      <c r="N6" s="765"/>
      <c r="O6" s="766">
        <f>83892.7+53912.65</f>
        <v>137805.35</v>
      </c>
      <c r="P6" s="766"/>
      <c r="Q6" s="766"/>
      <c r="R6" s="766"/>
      <c r="S6" s="766"/>
      <c r="T6" s="766"/>
      <c r="U6" s="766"/>
      <c r="V6" s="766"/>
      <c r="W6" s="766"/>
      <c r="X6" s="766">
        <f>4636</f>
        <v>4636</v>
      </c>
      <c r="Y6" s="766"/>
      <c r="Z6" s="766">
        <f>18800+12004</f>
        <v>30804</v>
      </c>
      <c r="AA6" s="767">
        <f>D6-O6-P6+Q6+S6+T6-U6-V6-W6-X6-Y6</f>
        <v>30800.999999999971</v>
      </c>
      <c r="AB6" s="768">
        <f>Z6-AA6</f>
        <v>3.0000000000291038</v>
      </c>
      <c r="AC6" s="767">
        <f>[1]MANUAL!X6+[1]OUTSALE!X6</f>
        <v>0</v>
      </c>
      <c r="AD6" s="767">
        <f>AB6-AC6</f>
        <v>3.0000000000291038</v>
      </c>
      <c r="AF6" s="839">
        <f>O6+P6+U6+V6+W6+X6+Y6-Q6-R6-S6-T6</f>
        <v>142441.35</v>
      </c>
    </row>
    <row r="7" spans="1:32" s="769" customFormat="1">
      <c r="A7" s="760">
        <f>A6+1</f>
        <v>46297</v>
      </c>
      <c r="B7" s="761">
        <f>95054.25+113718.25</f>
        <v>208772.5</v>
      </c>
      <c r="C7" s="761">
        <f>169.8</f>
        <v>169.8</v>
      </c>
      <c r="D7" s="762">
        <f t="shared" ref="D7:D9" si="0">+B7-C7</f>
        <v>208602.7</v>
      </c>
      <c r="E7" s="761">
        <v>169.8</v>
      </c>
      <c r="F7" s="762">
        <f t="shared" ref="F7:F9" si="1">+C7-E7</f>
        <v>0</v>
      </c>
      <c r="G7" s="761"/>
      <c r="H7" s="763">
        <f>45+56</f>
        <v>101</v>
      </c>
      <c r="I7" s="764">
        <f>SUMIF(AB7,"&lt;.01")</f>
        <v>0</v>
      </c>
      <c r="J7" s="764">
        <f t="shared" ref="J7:J9" si="2">SUMIF(AB7,"&gt;.01")</f>
        <v>4.0499999999883585</v>
      </c>
      <c r="K7" s="763">
        <v>0</v>
      </c>
      <c r="L7" s="763">
        <v>2</v>
      </c>
      <c r="M7" s="763">
        <v>446</v>
      </c>
      <c r="N7" s="765"/>
      <c r="O7" s="766">
        <f>71488.5+100077.25+236</f>
        <v>171801.75</v>
      </c>
      <c r="P7" s="766"/>
      <c r="Q7" s="766"/>
      <c r="R7" s="766"/>
      <c r="S7" s="766"/>
      <c r="T7" s="766">
        <v>4636</v>
      </c>
      <c r="U7" s="766"/>
      <c r="V7" s="766"/>
      <c r="W7" s="766">
        <v>2363</v>
      </c>
      <c r="X7" s="766"/>
      <c r="Y7" s="766"/>
      <c r="Z7" s="766">
        <f>23400+15678</f>
        <v>39078</v>
      </c>
      <c r="AA7" s="767">
        <f>D7-O7-P7+Q7+S7+T7-U7-V7-W7-X7-Y7</f>
        <v>39073.950000000012</v>
      </c>
      <c r="AB7" s="767">
        <f t="shared" ref="AB7:AB9" si="3">Z7-AA7</f>
        <v>4.0499999999883585</v>
      </c>
      <c r="AC7" s="767">
        <f>[1]MANUAL!X7+[1]OUTSALE!X7</f>
        <v>0</v>
      </c>
      <c r="AD7" s="767">
        <f t="shared" ref="AD7:AD9" si="4">AB7-AC7</f>
        <v>4.0499999999883585</v>
      </c>
      <c r="AF7" s="839">
        <f t="shared" ref="AF7:AF20" si="5">O7+P7+U7+V7+W7+X7+Y7-Q7-R7-S7-T7</f>
        <v>169528.75</v>
      </c>
    </row>
    <row r="8" spans="1:32" s="769" customFormat="1">
      <c r="A8" s="760">
        <f t="shared" ref="A8:A9" si="6">A7+1</f>
        <v>46298</v>
      </c>
      <c r="B8" s="761">
        <f>355395.97+400</f>
        <v>355795.97</v>
      </c>
      <c r="C8" s="761">
        <f>349.5+359.46</f>
        <v>708.96</v>
      </c>
      <c r="D8" s="762">
        <f t="shared" si="0"/>
        <v>355087.00999999995</v>
      </c>
      <c r="E8" s="761">
        <v>708.96</v>
      </c>
      <c r="F8" s="762">
        <f t="shared" si="1"/>
        <v>0</v>
      </c>
      <c r="G8" s="761"/>
      <c r="H8" s="763">
        <v>138</v>
      </c>
      <c r="I8" s="764">
        <f t="shared" ref="I8:I9" si="7">SUMIF(AB8,"&lt;.01")</f>
        <v>0</v>
      </c>
      <c r="J8" s="764">
        <f t="shared" si="2"/>
        <v>5.7400000000488944</v>
      </c>
      <c r="K8" s="763">
        <v>4</v>
      </c>
      <c r="L8" s="763">
        <v>5</v>
      </c>
      <c r="M8" s="763">
        <v>976</v>
      </c>
      <c r="N8" s="765"/>
      <c r="O8" s="766">
        <f>279997.55+5583.2</f>
        <v>285580.75</v>
      </c>
      <c r="P8" s="766"/>
      <c r="Q8" s="766"/>
      <c r="R8" s="766"/>
      <c r="S8" s="766"/>
      <c r="T8" s="766"/>
      <c r="U8" s="766"/>
      <c r="V8" s="766">
        <v>400</v>
      </c>
      <c r="W8" s="766"/>
      <c r="X8" s="766"/>
      <c r="Y8" s="766"/>
      <c r="Z8" s="766">
        <f>69112</f>
        <v>69112</v>
      </c>
      <c r="AA8" s="767">
        <f t="shared" ref="AA8:AA9" si="8">D8-O8-P8+Q8+S8+T8-U8-V8-W8-X8-Y8</f>
        <v>69106.259999999951</v>
      </c>
      <c r="AB8" s="767">
        <f t="shared" si="3"/>
        <v>5.7400000000488944</v>
      </c>
      <c r="AC8" s="767">
        <f>[1]MANUAL!X8+[1]OUTSALE!X8</f>
        <v>0</v>
      </c>
      <c r="AD8" s="767">
        <f t="shared" si="4"/>
        <v>5.7400000000488944</v>
      </c>
      <c r="AF8" s="839">
        <f t="shared" si="5"/>
        <v>285980.75</v>
      </c>
    </row>
    <row r="9" spans="1:32" s="769" customFormat="1">
      <c r="A9" s="760">
        <f t="shared" si="6"/>
        <v>46299</v>
      </c>
      <c r="B9" s="761">
        <f>117294.75+182731.95</f>
        <v>300026.7</v>
      </c>
      <c r="C9" s="761">
        <f>109+199+1074+669+129.5</f>
        <v>2180.5</v>
      </c>
      <c r="D9" s="762">
        <f t="shared" si="0"/>
        <v>297846.2</v>
      </c>
      <c r="E9" s="761">
        <v>2180.5</v>
      </c>
      <c r="F9" s="762">
        <f t="shared" si="1"/>
        <v>0</v>
      </c>
      <c r="G9" s="761"/>
      <c r="H9" s="763">
        <f>58+72</f>
        <v>130</v>
      </c>
      <c r="I9" s="764">
        <f t="shared" si="7"/>
        <v>0</v>
      </c>
      <c r="J9" s="764">
        <f t="shared" si="2"/>
        <v>4</v>
      </c>
      <c r="K9" s="763">
        <v>0</v>
      </c>
      <c r="L9" s="763">
        <v>17</v>
      </c>
      <c r="M9" s="763">
        <v>883</v>
      </c>
      <c r="N9" s="765"/>
      <c r="O9" s="766">
        <f>97328.25+145749.45</f>
        <v>243077.7</v>
      </c>
      <c r="P9" s="766"/>
      <c r="Q9" s="766">
        <v>3100</v>
      </c>
      <c r="R9" s="766"/>
      <c r="S9" s="766"/>
      <c r="T9" s="766"/>
      <c r="U9" s="766"/>
      <c r="V9" s="766"/>
      <c r="W9" s="766"/>
      <c r="X9" s="766">
        <f>3040+3040</f>
        <v>6080</v>
      </c>
      <c r="Y9" s="766"/>
      <c r="Z9" s="766">
        <f>19658.5+32134</f>
        <v>51792.5</v>
      </c>
      <c r="AA9" s="767">
        <f t="shared" si="8"/>
        <v>51788.5</v>
      </c>
      <c r="AB9" s="767">
        <f t="shared" si="3"/>
        <v>4</v>
      </c>
      <c r="AC9" s="767">
        <f>[1]MANUAL!X9+[1]OUTSALE!X9</f>
        <v>0</v>
      </c>
      <c r="AD9" s="767">
        <f t="shared" si="4"/>
        <v>4</v>
      </c>
      <c r="AF9" s="839">
        <f t="shared" si="5"/>
        <v>246057.7</v>
      </c>
    </row>
    <row r="10" spans="1:32" s="507" customFormat="1">
      <c r="A10" s="106">
        <f t="shared" ref="A10:A20" si="9">A9+1</f>
        <v>46300</v>
      </c>
      <c r="B10" s="176">
        <f>99966+114263.95+400</f>
        <v>214629.95</v>
      </c>
      <c r="C10" s="176">
        <f>299.6+470.46+826</f>
        <v>1596.06</v>
      </c>
      <c r="D10" s="521">
        <f t="shared" ref="D10:D38" si="10">+B10-C10</f>
        <v>213033.89</v>
      </c>
      <c r="E10" s="176">
        <v>1596.06</v>
      </c>
      <c r="F10" s="521">
        <f t="shared" ref="F10:F38" si="11">+C10-E10</f>
        <v>0</v>
      </c>
      <c r="G10" s="176"/>
      <c r="H10" s="96">
        <f>33+42</f>
        <v>75</v>
      </c>
      <c r="I10" s="544">
        <f t="shared" ref="I10:I20" si="12">SUMIF(AB10,"&lt;.01")</f>
        <v>-47.200000000011642</v>
      </c>
      <c r="J10" s="544">
        <f t="shared" ref="J10:J20" si="13">SUMIF(AB10,"&gt;.01")</f>
        <v>0</v>
      </c>
      <c r="K10" s="96">
        <v>5</v>
      </c>
      <c r="L10" s="96">
        <v>1</v>
      </c>
      <c r="M10" s="96">
        <v>687</v>
      </c>
      <c r="N10" s="540"/>
      <c r="O10" s="363">
        <f>74414.5+94015.19</f>
        <v>168429.69</v>
      </c>
      <c r="P10" s="363"/>
      <c r="Q10" s="363"/>
      <c r="R10" s="363"/>
      <c r="S10" s="363"/>
      <c r="T10" s="363"/>
      <c r="U10" s="363"/>
      <c r="V10" s="363"/>
      <c r="W10" s="363"/>
      <c r="X10" s="363">
        <v>5280</v>
      </c>
      <c r="Y10" s="363"/>
      <c r="Z10" s="363">
        <f>25554+13723</f>
        <v>39277</v>
      </c>
      <c r="AA10" s="559">
        <f t="shared" ref="AA10:AA20" si="14">D10-O10-P10+Q10+S10+T10-U10-V10-W10-X10-Y10</f>
        <v>39324.200000000012</v>
      </c>
      <c r="AB10" s="559">
        <f t="shared" ref="AB10:AB20" si="15">Z10-AA10</f>
        <v>-47.200000000011642</v>
      </c>
      <c r="AC10" s="559">
        <f>MANUAL!X10+OUTSALE!X10</f>
        <v>0</v>
      </c>
      <c r="AD10" s="559">
        <f t="shared" ref="AD10:AD20" si="16">AB10-AC10</f>
        <v>-47.200000000011642</v>
      </c>
      <c r="AF10" s="839">
        <f t="shared" si="5"/>
        <v>173709.69</v>
      </c>
    </row>
    <row r="11" spans="1:32" s="507" customFormat="1">
      <c r="A11" s="106">
        <f t="shared" si="9"/>
        <v>46301</v>
      </c>
      <c r="B11" s="176">
        <f>72673.5+79201</f>
        <v>151874.5</v>
      </c>
      <c r="C11" s="176">
        <f>222.5+106.25</f>
        <v>328.75</v>
      </c>
      <c r="D11" s="521">
        <f t="shared" si="10"/>
        <v>151545.75</v>
      </c>
      <c r="E11" s="176">
        <v>328.75</v>
      </c>
      <c r="F11" s="521">
        <f t="shared" si="11"/>
        <v>0</v>
      </c>
      <c r="G11" s="176"/>
      <c r="H11" s="96">
        <f>33+39</f>
        <v>72</v>
      </c>
      <c r="I11" s="544">
        <f t="shared" si="12"/>
        <v>0</v>
      </c>
      <c r="J11" s="544">
        <f t="shared" si="13"/>
        <v>0</v>
      </c>
      <c r="K11" s="96">
        <v>1</v>
      </c>
      <c r="L11" s="96">
        <v>1</v>
      </c>
      <c r="M11" s="96">
        <v>333</v>
      </c>
      <c r="N11" s="540"/>
      <c r="O11" s="363">
        <f>65038.5+78559.25</f>
        <v>143597.75</v>
      </c>
      <c r="P11" s="363"/>
      <c r="Q11" s="363"/>
      <c r="R11" s="363"/>
      <c r="S11" s="363"/>
      <c r="T11" s="363">
        <v>11360</v>
      </c>
      <c r="U11" s="363"/>
      <c r="V11" s="363"/>
      <c r="W11" s="363"/>
      <c r="X11" s="363"/>
      <c r="Y11" s="363"/>
      <c r="Z11" s="363">
        <f>7635+11673</f>
        <v>19308</v>
      </c>
      <c r="AA11" s="559">
        <f t="shared" si="14"/>
        <v>19308</v>
      </c>
      <c r="AB11" s="559">
        <f t="shared" si="15"/>
        <v>0</v>
      </c>
      <c r="AC11" s="559">
        <f>MANUAL!X11+OUTSALE!X11</f>
        <v>0</v>
      </c>
      <c r="AD11" s="559">
        <f t="shared" si="16"/>
        <v>0</v>
      </c>
      <c r="AF11" s="839">
        <f t="shared" si="5"/>
        <v>132237.75</v>
      </c>
    </row>
    <row r="12" spans="1:32" s="507" customFormat="1">
      <c r="A12" s="106">
        <f t="shared" si="9"/>
        <v>46302</v>
      </c>
      <c r="B12" s="176">
        <f>40683+75860.95</f>
        <v>116543.95</v>
      </c>
      <c r="C12" s="176">
        <f>328+119+319.5+199.8</f>
        <v>966.3</v>
      </c>
      <c r="D12" s="521">
        <f t="shared" si="10"/>
        <v>115577.65</v>
      </c>
      <c r="E12" s="176">
        <v>966.3</v>
      </c>
      <c r="F12" s="521">
        <f t="shared" si="11"/>
        <v>0</v>
      </c>
      <c r="G12" s="176"/>
      <c r="H12" s="96">
        <f>23+27</f>
        <v>50</v>
      </c>
      <c r="I12" s="544">
        <f t="shared" si="12"/>
        <v>0</v>
      </c>
      <c r="J12" s="544">
        <f t="shared" si="13"/>
        <v>1</v>
      </c>
      <c r="K12" s="96">
        <v>0</v>
      </c>
      <c r="L12" s="96">
        <v>0</v>
      </c>
      <c r="M12" s="96">
        <v>316</v>
      </c>
      <c r="N12" s="540"/>
      <c r="O12" s="363">
        <f>16052+7208+718+1493.5+56438.9</f>
        <v>81910.399999999994</v>
      </c>
      <c r="P12" s="363"/>
      <c r="Q12" s="363"/>
      <c r="R12" s="363"/>
      <c r="S12" s="363"/>
      <c r="T12" s="363"/>
      <c r="U12" s="363"/>
      <c r="V12" s="363"/>
      <c r="W12" s="363"/>
      <c r="X12" s="363"/>
      <c r="Y12" s="363"/>
      <c r="Z12" s="363">
        <f>14446+19222.25</f>
        <v>33668.25</v>
      </c>
      <c r="AA12" s="559">
        <f t="shared" si="14"/>
        <v>33667.25</v>
      </c>
      <c r="AB12" s="559">
        <f t="shared" si="15"/>
        <v>1</v>
      </c>
      <c r="AC12" s="559">
        <f>MANUAL!X12+OUTSALE!X12</f>
        <v>0</v>
      </c>
      <c r="AD12" s="559">
        <f t="shared" si="16"/>
        <v>1</v>
      </c>
      <c r="AF12" s="839">
        <f t="shared" si="5"/>
        <v>81910.399999999994</v>
      </c>
    </row>
    <row r="13" spans="1:32" s="507" customFormat="1">
      <c r="A13" s="106">
        <f t="shared" si="9"/>
        <v>46303</v>
      </c>
      <c r="B13" s="176">
        <f>90672.5+56282</f>
        <v>146954.5</v>
      </c>
      <c r="C13" s="176">
        <f>749.25+519</f>
        <v>1268.25</v>
      </c>
      <c r="D13" s="521">
        <f t="shared" si="10"/>
        <v>145686.25</v>
      </c>
      <c r="E13" s="176">
        <v>1268.25</v>
      </c>
      <c r="F13" s="521">
        <f t="shared" si="11"/>
        <v>0</v>
      </c>
      <c r="G13" s="176"/>
      <c r="H13" s="96">
        <f>31+36</f>
        <v>67</v>
      </c>
      <c r="I13" s="544">
        <f t="shared" si="12"/>
        <v>0</v>
      </c>
      <c r="J13" s="544">
        <f t="shared" si="13"/>
        <v>3</v>
      </c>
      <c r="K13" s="96">
        <v>0</v>
      </c>
      <c r="L13" s="96">
        <v>0</v>
      </c>
      <c r="M13" s="96">
        <v>478</v>
      </c>
      <c r="N13" s="540"/>
      <c r="O13" s="363">
        <f>83072.25+36993</f>
        <v>120065.25</v>
      </c>
      <c r="P13" s="363"/>
      <c r="Q13" s="363"/>
      <c r="R13" s="363"/>
      <c r="S13" s="363"/>
      <c r="T13" s="363"/>
      <c r="U13" s="363"/>
      <c r="V13" s="363"/>
      <c r="W13" s="363"/>
      <c r="X13" s="363"/>
      <c r="Y13" s="363"/>
      <c r="Z13" s="363">
        <f>6332+19292</f>
        <v>25624</v>
      </c>
      <c r="AA13" s="559">
        <f t="shared" si="14"/>
        <v>25621</v>
      </c>
      <c r="AB13" s="559">
        <f t="shared" si="15"/>
        <v>3</v>
      </c>
      <c r="AC13" s="559">
        <f>MANUAL!X13+OUTSALE!X13</f>
        <v>0</v>
      </c>
      <c r="AD13" s="559">
        <f t="shared" si="16"/>
        <v>3</v>
      </c>
      <c r="AF13" s="839">
        <f t="shared" si="5"/>
        <v>120065.25</v>
      </c>
    </row>
    <row r="14" spans="1:32" s="507" customFormat="1">
      <c r="A14" s="106">
        <f t="shared" si="9"/>
        <v>46304</v>
      </c>
      <c r="B14" s="176">
        <f>92582+105796.74</f>
        <v>198378.74</v>
      </c>
      <c r="C14" s="176">
        <f>750+195+169.8+222.5</f>
        <v>1337.3</v>
      </c>
      <c r="D14" s="521">
        <f t="shared" si="10"/>
        <v>197041.44</v>
      </c>
      <c r="E14" s="176">
        <v>1337.3</v>
      </c>
      <c r="F14" s="521">
        <f t="shared" si="11"/>
        <v>0</v>
      </c>
      <c r="G14" s="176"/>
      <c r="H14" s="96">
        <f>42+39</f>
        <v>81</v>
      </c>
      <c r="I14" s="544">
        <f t="shared" si="12"/>
        <v>0</v>
      </c>
      <c r="J14" s="544">
        <f t="shared" si="13"/>
        <v>1.8099999999976717</v>
      </c>
      <c r="K14" s="96">
        <v>1</v>
      </c>
      <c r="L14" s="96">
        <v>6</v>
      </c>
      <c r="M14" s="96">
        <v>531</v>
      </c>
      <c r="N14" s="540"/>
      <c r="O14" s="363">
        <f>70675+98455.25</f>
        <v>169130.25</v>
      </c>
      <c r="P14" s="363"/>
      <c r="Q14" s="363"/>
      <c r="R14" s="363"/>
      <c r="S14" s="363"/>
      <c r="T14" s="363"/>
      <c r="U14" s="363"/>
      <c r="V14" s="363"/>
      <c r="W14" s="363"/>
      <c r="X14" s="363"/>
      <c r="Y14" s="363"/>
      <c r="Z14" s="363">
        <f>20963+6950</f>
        <v>27913</v>
      </c>
      <c r="AA14" s="559">
        <f t="shared" si="14"/>
        <v>27911.190000000002</v>
      </c>
      <c r="AB14" s="559">
        <f t="shared" si="15"/>
        <v>1.8099999999976717</v>
      </c>
      <c r="AC14" s="559">
        <f>MANUAL!X14+OUTSALE!X14</f>
        <v>0</v>
      </c>
      <c r="AD14" s="559">
        <f t="shared" si="16"/>
        <v>1.8099999999976717</v>
      </c>
      <c r="AF14" s="839">
        <f t="shared" si="5"/>
        <v>169130.25</v>
      </c>
    </row>
    <row r="15" spans="1:32" s="507" customFormat="1">
      <c r="A15" s="106">
        <f t="shared" si="9"/>
        <v>46305</v>
      </c>
      <c r="B15" s="176">
        <f>132154.54+184082.5</f>
        <v>316237.04000000004</v>
      </c>
      <c r="C15" s="176">
        <f>124+599.25+169.11+169.8+2399+349.5+155.45</f>
        <v>3966.1099999999997</v>
      </c>
      <c r="D15" s="521">
        <f t="shared" si="10"/>
        <v>312270.93000000005</v>
      </c>
      <c r="E15" s="176">
        <v>3966.11</v>
      </c>
      <c r="F15" s="521">
        <f t="shared" si="11"/>
        <v>0</v>
      </c>
      <c r="G15" s="363"/>
      <c r="H15" s="96">
        <f>63+79</f>
        <v>142</v>
      </c>
      <c r="I15" s="544">
        <f t="shared" si="12"/>
        <v>0</v>
      </c>
      <c r="J15" s="544">
        <f t="shared" si="13"/>
        <v>5.2999999999301508</v>
      </c>
      <c r="K15" s="96">
        <v>5</v>
      </c>
      <c r="L15" s="96">
        <v>4</v>
      </c>
      <c r="M15" s="96">
        <v>887</v>
      </c>
      <c r="N15" s="540"/>
      <c r="O15" s="363">
        <f>96791.23+3400.75+145931.75</f>
        <v>246123.72999999998</v>
      </c>
      <c r="P15" s="363"/>
      <c r="Q15" s="363"/>
      <c r="R15" s="363"/>
      <c r="S15" s="363"/>
      <c r="T15" s="363"/>
      <c r="U15" s="363"/>
      <c r="V15" s="363"/>
      <c r="W15" s="363"/>
      <c r="X15" s="363">
        <f>10849+1326.5+2395</f>
        <v>14570.5</v>
      </c>
      <c r="Y15" s="363"/>
      <c r="Z15" s="363">
        <f>18900+32682</f>
        <v>51582</v>
      </c>
      <c r="AA15" s="559">
        <f t="shared" si="14"/>
        <v>51576.70000000007</v>
      </c>
      <c r="AB15" s="559">
        <f t="shared" si="15"/>
        <v>5.2999999999301508</v>
      </c>
      <c r="AC15" s="559">
        <f>MANUAL!X15+OUTSALE!X15</f>
        <v>0</v>
      </c>
      <c r="AD15" s="559">
        <f t="shared" si="16"/>
        <v>5.2999999999301508</v>
      </c>
      <c r="AF15" s="839">
        <f t="shared" si="5"/>
        <v>260694.22999999998</v>
      </c>
    </row>
    <row r="16" spans="1:32" s="507" customFormat="1">
      <c r="A16" s="106">
        <f t="shared" si="9"/>
        <v>46306</v>
      </c>
      <c r="B16" s="176">
        <f>108316.15+207018.25</f>
        <v>315334.40000000002</v>
      </c>
      <c r="C16" s="176">
        <f>169.8+235+136+2748.75</f>
        <v>3289.55</v>
      </c>
      <c r="D16" s="521">
        <f t="shared" si="10"/>
        <v>312044.85000000003</v>
      </c>
      <c r="E16" s="176">
        <v>3289.55</v>
      </c>
      <c r="F16" s="521">
        <f t="shared" si="11"/>
        <v>0</v>
      </c>
      <c r="G16" s="176"/>
      <c r="H16" s="96">
        <f>46+87</f>
        <v>133</v>
      </c>
      <c r="I16" s="544">
        <f t="shared" si="12"/>
        <v>0</v>
      </c>
      <c r="J16" s="544">
        <f t="shared" si="13"/>
        <v>11.849999999976717</v>
      </c>
      <c r="K16" s="96"/>
      <c r="L16" s="96"/>
      <c r="M16" s="96">
        <v>595</v>
      </c>
      <c r="N16" s="540"/>
      <c r="O16" s="176">
        <f>82777.7+180376.5</f>
        <v>263154.2</v>
      </c>
      <c r="P16" s="363"/>
      <c r="Q16" s="363"/>
      <c r="R16" s="363"/>
      <c r="S16" s="363"/>
      <c r="T16" s="363">
        <f>2395+10849+1326.5</f>
        <v>14570.5</v>
      </c>
      <c r="U16" s="363"/>
      <c r="V16" s="363"/>
      <c r="W16" s="363"/>
      <c r="X16" s="363"/>
      <c r="Y16" s="363"/>
      <c r="Z16" s="363">
        <f>21559+41914</f>
        <v>63473</v>
      </c>
      <c r="AA16" s="559">
        <f t="shared" si="14"/>
        <v>63461.150000000023</v>
      </c>
      <c r="AB16" s="559">
        <f t="shared" si="15"/>
        <v>11.849999999976717</v>
      </c>
      <c r="AC16" s="559">
        <f>MANUAL!X16+OUTSALE!X16</f>
        <v>0</v>
      </c>
      <c r="AD16" s="559">
        <f t="shared" si="16"/>
        <v>11.849999999976717</v>
      </c>
      <c r="AF16" s="839">
        <f t="shared" si="5"/>
        <v>248583.7</v>
      </c>
    </row>
    <row r="17" spans="1:38" s="507" customFormat="1">
      <c r="A17" s="106">
        <f t="shared" si="9"/>
        <v>46307</v>
      </c>
      <c r="B17" s="176">
        <f>70048+500+87562</f>
        <v>158110</v>
      </c>
      <c r="C17" s="176">
        <f>169.8+139+349.5</f>
        <v>658.3</v>
      </c>
      <c r="D17" s="521">
        <f t="shared" si="10"/>
        <v>157451.70000000001</v>
      </c>
      <c r="E17" s="176"/>
      <c r="F17" s="521">
        <f t="shared" si="11"/>
        <v>658.3</v>
      </c>
      <c r="G17" s="176"/>
      <c r="H17" s="96">
        <f>24</f>
        <v>24</v>
      </c>
      <c r="I17" s="544">
        <f t="shared" si="12"/>
        <v>0</v>
      </c>
      <c r="J17" s="544">
        <f t="shared" si="13"/>
        <v>1.9999999999854481</v>
      </c>
      <c r="K17" s="96">
        <v>0</v>
      </c>
      <c r="L17" s="96">
        <v>2</v>
      </c>
      <c r="M17" s="96">
        <v>336</v>
      </c>
      <c r="N17" s="540"/>
      <c r="O17" s="363">
        <f>58744.7+60859</f>
        <v>119603.7</v>
      </c>
      <c r="P17" s="363"/>
      <c r="Q17" s="363"/>
      <c r="R17" s="363"/>
      <c r="S17" s="363"/>
      <c r="T17" s="363"/>
      <c r="U17" s="363"/>
      <c r="V17" s="363"/>
      <c r="W17" s="363"/>
      <c r="X17" s="363">
        <f>939.5+500</f>
        <v>1439.5</v>
      </c>
      <c r="Y17" s="363"/>
      <c r="Z17" s="363">
        <f>10555.5+25855</f>
        <v>36410.5</v>
      </c>
      <c r="AA17" s="559">
        <f t="shared" si="14"/>
        <v>36408.500000000015</v>
      </c>
      <c r="AB17" s="559">
        <f t="shared" si="15"/>
        <v>1.9999999999854481</v>
      </c>
      <c r="AC17" s="559">
        <f>MANUAL!X17+OUTSALE!X17</f>
        <v>0</v>
      </c>
      <c r="AD17" s="559">
        <f t="shared" si="16"/>
        <v>1.9999999999854481</v>
      </c>
      <c r="AF17" s="839">
        <f t="shared" si="5"/>
        <v>121043.2</v>
      </c>
    </row>
    <row r="18" spans="1:38" s="507" customFormat="1">
      <c r="A18" s="106">
        <f t="shared" si="9"/>
        <v>46308</v>
      </c>
      <c r="B18" s="176"/>
      <c r="C18" s="176"/>
      <c r="D18" s="521">
        <f t="shared" si="10"/>
        <v>0</v>
      </c>
      <c r="E18" s="176"/>
      <c r="F18" s="521">
        <f t="shared" si="11"/>
        <v>0</v>
      </c>
      <c r="G18" s="176"/>
      <c r="H18" s="96"/>
      <c r="I18" s="544">
        <f t="shared" si="12"/>
        <v>0</v>
      </c>
      <c r="J18" s="544">
        <f t="shared" si="13"/>
        <v>0</v>
      </c>
      <c r="K18" s="96"/>
      <c r="L18" s="96"/>
      <c r="M18" s="96"/>
      <c r="N18" s="540"/>
      <c r="O18" s="363"/>
      <c r="P18" s="363"/>
      <c r="Q18" s="363"/>
      <c r="R18" s="363"/>
      <c r="S18" s="363"/>
      <c r="T18" s="363"/>
      <c r="U18" s="363"/>
      <c r="V18" s="363"/>
      <c r="W18" s="363"/>
      <c r="X18" s="363"/>
      <c r="Y18" s="363"/>
      <c r="Z18" s="363"/>
      <c r="AA18" s="559">
        <f t="shared" si="14"/>
        <v>0</v>
      </c>
      <c r="AB18" s="559">
        <f t="shared" si="15"/>
        <v>0</v>
      </c>
      <c r="AC18" s="559">
        <f>MANUAL!X18+OUTSALE!X18</f>
        <v>0</v>
      </c>
      <c r="AD18" s="559">
        <f t="shared" si="16"/>
        <v>0</v>
      </c>
      <c r="AF18" s="839">
        <f t="shared" si="5"/>
        <v>0</v>
      </c>
    </row>
    <row r="19" spans="1:38" s="507" customFormat="1">
      <c r="A19" s="106">
        <f t="shared" si="9"/>
        <v>46309</v>
      </c>
      <c r="B19" s="176"/>
      <c r="C19" s="176"/>
      <c r="D19" s="521">
        <f t="shared" si="10"/>
        <v>0</v>
      </c>
      <c r="E19" s="176"/>
      <c r="F19" s="521">
        <f t="shared" si="11"/>
        <v>0</v>
      </c>
      <c r="G19" s="176"/>
      <c r="H19" s="96"/>
      <c r="I19" s="544">
        <f t="shared" si="12"/>
        <v>0</v>
      </c>
      <c r="J19" s="544">
        <f t="shared" si="13"/>
        <v>0</v>
      </c>
      <c r="K19" s="287"/>
      <c r="L19" s="287"/>
      <c r="M19" s="96"/>
      <c r="N19" s="540"/>
      <c r="O19" s="363"/>
      <c r="P19" s="363"/>
      <c r="Q19" s="363"/>
      <c r="R19" s="363"/>
      <c r="S19" s="363"/>
      <c r="T19" s="363"/>
      <c r="U19" s="363"/>
      <c r="V19" s="363"/>
      <c r="W19" s="363"/>
      <c r="X19" s="363"/>
      <c r="Y19" s="363"/>
      <c r="Z19" s="363"/>
      <c r="AA19" s="559">
        <f t="shared" si="14"/>
        <v>0</v>
      </c>
      <c r="AB19" s="559">
        <f t="shared" si="15"/>
        <v>0</v>
      </c>
      <c r="AC19" s="559">
        <f>MANUAL!X19+OUTSALE!X19</f>
        <v>0</v>
      </c>
      <c r="AD19" s="559">
        <f t="shared" si="16"/>
        <v>0</v>
      </c>
      <c r="AE19" s="507" t="s">
        <v>283</v>
      </c>
      <c r="AF19" s="839">
        <f t="shared" si="5"/>
        <v>0</v>
      </c>
    </row>
    <row r="20" spans="1:38" s="507" customFormat="1">
      <c r="A20" s="106">
        <f t="shared" si="9"/>
        <v>46310</v>
      </c>
      <c r="B20" s="522"/>
      <c r="C20" s="176"/>
      <c r="D20" s="521">
        <f t="shared" si="10"/>
        <v>0</v>
      </c>
      <c r="E20" s="176"/>
      <c r="F20" s="521">
        <f t="shared" si="11"/>
        <v>0</v>
      </c>
      <c r="G20" s="176"/>
      <c r="H20" s="96"/>
      <c r="I20" s="544">
        <f t="shared" si="12"/>
        <v>0</v>
      </c>
      <c r="J20" s="544">
        <f t="shared" si="13"/>
        <v>0</v>
      </c>
      <c r="K20" s="287"/>
      <c r="L20" s="287"/>
      <c r="M20" s="96"/>
      <c r="N20" s="540"/>
      <c r="O20" s="363"/>
      <c r="P20" s="363"/>
      <c r="Q20" s="363"/>
      <c r="R20" s="363"/>
      <c r="S20" s="363"/>
      <c r="T20" s="363"/>
      <c r="U20" s="363"/>
      <c r="V20" s="363"/>
      <c r="W20" s="363"/>
      <c r="X20" s="363"/>
      <c r="Y20" s="363"/>
      <c r="Z20" s="363"/>
      <c r="AA20" s="559">
        <f t="shared" si="14"/>
        <v>0</v>
      </c>
      <c r="AB20" s="559">
        <f t="shared" si="15"/>
        <v>0</v>
      </c>
      <c r="AC20" s="559">
        <f>MANUAL!X20+OUTSALE!X20</f>
        <v>0</v>
      </c>
      <c r="AD20" s="559">
        <f t="shared" si="16"/>
        <v>0</v>
      </c>
      <c r="AF20" s="839">
        <f t="shared" si="5"/>
        <v>0</v>
      </c>
    </row>
    <row r="21" spans="1:38" s="308" customFormat="1">
      <c r="A21" s="523" t="s">
        <v>37</v>
      </c>
      <c r="B21" s="524">
        <f>SUM(B6:B20)</f>
        <v>2655900.6</v>
      </c>
      <c r="C21" s="524">
        <f>SUM(C6:C20)</f>
        <v>16469.879999999997</v>
      </c>
      <c r="D21" s="525">
        <f t="shared" si="10"/>
        <v>2639430.7200000002</v>
      </c>
      <c r="E21" s="524">
        <f t="shared" ref="E21:M21" si="17">SUM(E6:E20)</f>
        <v>15811.580000000002</v>
      </c>
      <c r="F21" s="524">
        <f t="shared" si="17"/>
        <v>658.3</v>
      </c>
      <c r="G21" s="524">
        <f t="shared" si="17"/>
        <v>0</v>
      </c>
      <c r="H21" s="526">
        <f t="shared" si="17"/>
        <v>1013</v>
      </c>
      <c r="I21" s="545">
        <f t="shared" si="17"/>
        <v>-47.200000000011642</v>
      </c>
      <c r="J21" s="545">
        <f t="shared" si="17"/>
        <v>41.749999999956344</v>
      </c>
      <c r="K21" s="546">
        <f t="shared" si="17"/>
        <v>16</v>
      </c>
      <c r="L21" s="546">
        <f t="shared" si="17"/>
        <v>38</v>
      </c>
      <c r="M21" s="526">
        <f t="shared" si="17"/>
        <v>6827</v>
      </c>
      <c r="N21" s="547"/>
      <c r="O21" s="545">
        <f t="shared" ref="O21:AD21" si="18">SUM(O6:O20)</f>
        <v>2150280.52</v>
      </c>
      <c r="P21" s="545">
        <f t="shared" si="18"/>
        <v>0</v>
      </c>
      <c r="Q21" s="545">
        <f t="shared" si="18"/>
        <v>3100</v>
      </c>
      <c r="R21" s="545">
        <f t="shared" si="18"/>
        <v>0</v>
      </c>
      <c r="S21" s="545">
        <f t="shared" si="18"/>
        <v>0</v>
      </c>
      <c r="T21" s="545">
        <f t="shared" si="18"/>
        <v>30566.5</v>
      </c>
      <c r="U21" s="545">
        <f t="shared" si="18"/>
        <v>0</v>
      </c>
      <c r="V21" s="545">
        <f t="shared" si="18"/>
        <v>400</v>
      </c>
      <c r="W21" s="545">
        <f t="shared" si="18"/>
        <v>2363</v>
      </c>
      <c r="X21" s="545">
        <f t="shared" si="18"/>
        <v>32006</v>
      </c>
      <c r="Y21" s="545">
        <f t="shared" si="18"/>
        <v>0</v>
      </c>
      <c r="Z21" s="545">
        <f t="shared" si="18"/>
        <v>488042.25</v>
      </c>
      <c r="AA21" s="545">
        <f t="shared" si="18"/>
        <v>488047.7</v>
      </c>
      <c r="AB21" s="545">
        <f t="shared" si="18"/>
        <v>-5.4500000000552973</v>
      </c>
      <c r="AC21" s="545">
        <f t="shared" si="18"/>
        <v>0</v>
      </c>
      <c r="AD21" s="545">
        <f t="shared" si="18"/>
        <v>-5.4500000000552973</v>
      </c>
      <c r="AE21" s="560"/>
      <c r="AF21" s="560"/>
      <c r="AG21" s="560"/>
      <c r="AH21" s="560"/>
      <c r="AI21" s="560"/>
      <c r="AJ21" s="560"/>
      <c r="AK21" s="560"/>
      <c r="AL21" s="560"/>
    </row>
    <row r="22" spans="1:38" s="507" customFormat="1">
      <c r="A22" s="527"/>
      <c r="B22" s="176"/>
      <c r="C22" s="176"/>
      <c r="D22" s="331"/>
      <c r="E22" s="176"/>
      <c r="F22" s="331"/>
      <c r="G22" s="176"/>
      <c r="H22" s="96"/>
      <c r="I22" s="324"/>
      <c r="J22" s="324"/>
      <c r="K22" s="287"/>
      <c r="L22" s="287"/>
      <c r="M22" s="96"/>
      <c r="N22" s="540"/>
      <c r="O22" s="363"/>
      <c r="P22" s="363"/>
      <c r="Q22" s="363"/>
      <c r="R22" s="363"/>
      <c r="S22" s="363"/>
      <c r="T22" s="363"/>
      <c r="U22" s="363"/>
      <c r="V22" s="363"/>
      <c r="W22" s="363"/>
      <c r="X22" s="363"/>
      <c r="Y22" s="363"/>
      <c r="Z22" s="363"/>
      <c r="AA22" s="561"/>
      <c r="AB22" s="561"/>
      <c r="AC22" s="561"/>
      <c r="AD22" s="561"/>
    </row>
    <row r="23" spans="1:38" s="507" customFormat="1">
      <c r="A23" s="106">
        <f>A20+1</f>
        <v>46311</v>
      </c>
      <c r="B23" s="522"/>
      <c r="C23" s="176"/>
      <c r="D23" s="521">
        <f t="shared" si="10"/>
        <v>0</v>
      </c>
      <c r="E23" s="176"/>
      <c r="F23" s="521">
        <f t="shared" si="11"/>
        <v>0</v>
      </c>
      <c r="G23" s="176"/>
      <c r="H23" s="96"/>
      <c r="I23" s="544">
        <f t="shared" ref="I23:I38" si="19">SUMIF(AB23,"&lt;.01")</f>
        <v>0</v>
      </c>
      <c r="J23" s="544">
        <f t="shared" ref="J23:J38" si="20">SUMIF(AB23,"&gt;.01")</f>
        <v>0</v>
      </c>
      <c r="K23" s="287"/>
      <c r="L23" s="287"/>
      <c r="M23" s="96"/>
      <c r="N23" s="540"/>
      <c r="O23" s="363"/>
      <c r="P23" s="363"/>
      <c r="Q23" s="363"/>
      <c r="R23" s="363"/>
      <c r="S23" s="363"/>
      <c r="T23" s="363"/>
      <c r="U23" s="363"/>
      <c r="V23" s="363"/>
      <c r="W23" s="363"/>
      <c r="X23" s="363"/>
      <c r="Y23" s="363"/>
      <c r="Z23" s="363"/>
      <c r="AA23" s="559">
        <f t="shared" ref="AA23:AA38" si="21">D23-O23-P23+Q23+S23+T23-U23-V23-W23-X23-Y23</f>
        <v>0</v>
      </c>
      <c r="AB23" s="559">
        <f t="shared" ref="AB23:AB38" si="22">Z23-AA23</f>
        <v>0</v>
      </c>
      <c r="AC23" s="559">
        <f>MANUAL!X23+OUTSALE!X23</f>
        <v>0</v>
      </c>
      <c r="AD23" s="559">
        <f t="shared" ref="AD23:AD38" si="23">AB23-AC23</f>
        <v>0</v>
      </c>
      <c r="AF23" s="535">
        <f t="shared" ref="AF23:AF36" si="24">O23+P23+U23+V23+W23+X23+Y23-Q23-R23-S23-T23</f>
        <v>0</v>
      </c>
    </row>
    <row r="24" spans="1:38" s="507" customFormat="1">
      <c r="A24" s="106">
        <f>A23+1</f>
        <v>46312</v>
      </c>
      <c r="B24" s="522"/>
      <c r="C24" s="176"/>
      <c r="D24" s="521">
        <f t="shared" si="10"/>
        <v>0</v>
      </c>
      <c r="E24" s="176"/>
      <c r="F24" s="521">
        <f t="shared" si="11"/>
        <v>0</v>
      </c>
      <c r="G24" s="176"/>
      <c r="H24" s="96"/>
      <c r="I24" s="544">
        <f t="shared" si="19"/>
        <v>0</v>
      </c>
      <c r="J24" s="544">
        <f t="shared" si="20"/>
        <v>0</v>
      </c>
      <c r="K24" s="287"/>
      <c r="L24" s="287"/>
      <c r="M24" s="96"/>
      <c r="N24" s="540"/>
      <c r="O24" s="363"/>
      <c r="P24" s="363"/>
      <c r="Q24" s="363"/>
      <c r="R24" s="363"/>
      <c r="S24" s="363"/>
      <c r="T24" s="363"/>
      <c r="U24" s="363"/>
      <c r="V24" s="363"/>
      <c r="W24" s="363"/>
      <c r="X24" s="363"/>
      <c r="Y24" s="363"/>
      <c r="Z24" s="363"/>
      <c r="AA24" s="559">
        <f t="shared" si="21"/>
        <v>0</v>
      </c>
      <c r="AB24" s="559">
        <f t="shared" si="22"/>
        <v>0</v>
      </c>
      <c r="AC24" s="559">
        <f>MANUAL!X24+OUTSALE!X24</f>
        <v>0</v>
      </c>
      <c r="AD24" s="559">
        <f t="shared" si="23"/>
        <v>0</v>
      </c>
      <c r="AF24" s="535">
        <f t="shared" si="24"/>
        <v>0</v>
      </c>
    </row>
    <row r="25" spans="1:38" s="507" customFormat="1">
      <c r="A25" s="106">
        <f t="shared" ref="A25:A38" si="25">A24+1</f>
        <v>46313</v>
      </c>
      <c r="B25" s="522"/>
      <c r="C25" s="176"/>
      <c r="D25" s="521">
        <f t="shared" si="10"/>
        <v>0</v>
      </c>
      <c r="E25" s="176"/>
      <c r="F25" s="521">
        <f t="shared" si="11"/>
        <v>0</v>
      </c>
      <c r="G25" s="176"/>
      <c r="H25" s="96"/>
      <c r="I25" s="544">
        <v>0</v>
      </c>
      <c r="J25" s="544">
        <f t="shared" si="20"/>
        <v>0</v>
      </c>
      <c r="K25" s="287"/>
      <c r="L25" s="287"/>
      <c r="M25" s="96"/>
      <c r="N25" s="540"/>
      <c r="O25" s="363"/>
      <c r="P25" s="363"/>
      <c r="Q25" s="363"/>
      <c r="R25" s="363"/>
      <c r="S25" s="363"/>
      <c r="T25" s="363"/>
      <c r="U25" s="363"/>
      <c r="V25" s="363"/>
      <c r="W25" s="363"/>
      <c r="X25" s="363"/>
      <c r="Y25" s="363"/>
      <c r="Z25" s="363"/>
      <c r="AA25" s="559">
        <f t="shared" si="21"/>
        <v>0</v>
      </c>
      <c r="AB25" s="559">
        <f t="shared" si="22"/>
        <v>0</v>
      </c>
      <c r="AC25" s="559">
        <f>MANUAL!X25+OUTSALE!X25</f>
        <v>0</v>
      </c>
      <c r="AD25" s="559">
        <f t="shared" si="23"/>
        <v>0</v>
      </c>
      <c r="AF25" s="535">
        <f t="shared" si="24"/>
        <v>0</v>
      </c>
    </row>
    <row r="26" spans="1:38" s="507" customFormat="1">
      <c r="A26" s="106">
        <f t="shared" si="25"/>
        <v>46314</v>
      </c>
      <c r="B26" s="522"/>
      <c r="C26" s="176"/>
      <c r="D26" s="521">
        <f t="shared" si="10"/>
        <v>0</v>
      </c>
      <c r="E26" s="176"/>
      <c r="F26" s="521">
        <f t="shared" si="11"/>
        <v>0</v>
      </c>
      <c r="G26" s="176"/>
      <c r="H26" s="96"/>
      <c r="I26" s="544">
        <f>SUMIF(AB26,"&lt;.01")</f>
        <v>0</v>
      </c>
      <c r="J26" s="544">
        <f t="shared" si="20"/>
        <v>0</v>
      </c>
      <c r="K26" s="287"/>
      <c r="L26" s="287"/>
      <c r="M26" s="96"/>
      <c r="N26" s="540"/>
      <c r="O26" s="363"/>
      <c r="P26" s="363"/>
      <c r="Q26" s="363"/>
      <c r="R26" s="363"/>
      <c r="S26" s="363"/>
      <c r="T26" s="363"/>
      <c r="U26" s="363"/>
      <c r="V26" s="363"/>
      <c r="W26" s="363"/>
      <c r="X26" s="363"/>
      <c r="Y26" s="363"/>
      <c r="Z26" s="363"/>
      <c r="AA26" s="559">
        <f t="shared" si="21"/>
        <v>0</v>
      </c>
      <c r="AB26" s="559">
        <f t="shared" si="22"/>
        <v>0</v>
      </c>
      <c r="AC26" s="559">
        <f>MANUAL!X26+OUTSALE!X26</f>
        <v>0</v>
      </c>
      <c r="AD26" s="559">
        <f t="shared" si="23"/>
        <v>0</v>
      </c>
      <c r="AF26" s="535">
        <f t="shared" si="24"/>
        <v>0</v>
      </c>
    </row>
    <row r="27" spans="1:38" s="507" customFormat="1">
      <c r="A27" s="106">
        <f t="shared" si="25"/>
        <v>46315</v>
      </c>
      <c r="B27" s="522"/>
      <c r="C27" s="176"/>
      <c r="D27" s="521">
        <f t="shared" si="10"/>
        <v>0</v>
      </c>
      <c r="E27" s="176"/>
      <c r="F27" s="521">
        <f t="shared" si="11"/>
        <v>0</v>
      </c>
      <c r="G27" s="176"/>
      <c r="H27" s="96"/>
      <c r="I27" s="544">
        <f t="shared" si="19"/>
        <v>0</v>
      </c>
      <c r="J27" s="544">
        <f t="shared" si="20"/>
        <v>0</v>
      </c>
      <c r="K27" s="287"/>
      <c r="L27" s="287"/>
      <c r="M27" s="96"/>
      <c r="N27" s="540"/>
      <c r="O27" s="363"/>
      <c r="P27" s="363"/>
      <c r="Q27" s="363"/>
      <c r="R27" s="363"/>
      <c r="S27" s="363"/>
      <c r="T27" s="363"/>
      <c r="U27" s="363"/>
      <c r="V27" s="363"/>
      <c r="W27" s="363"/>
      <c r="X27" s="363"/>
      <c r="Y27" s="363"/>
      <c r="Z27" s="363"/>
      <c r="AA27" s="559">
        <f t="shared" si="21"/>
        <v>0</v>
      </c>
      <c r="AB27" s="559">
        <f t="shared" si="22"/>
        <v>0</v>
      </c>
      <c r="AC27" s="559">
        <f>MANUAL!X27+OUTSALE!X27</f>
        <v>0</v>
      </c>
      <c r="AD27" s="559">
        <f t="shared" si="23"/>
        <v>0</v>
      </c>
      <c r="AF27" s="535">
        <f t="shared" si="24"/>
        <v>0</v>
      </c>
    </row>
    <row r="28" spans="1:38" s="507" customFormat="1">
      <c r="A28" s="106">
        <f t="shared" si="25"/>
        <v>46316</v>
      </c>
      <c r="B28" s="522"/>
      <c r="C28" s="176"/>
      <c r="D28" s="521">
        <f t="shared" si="10"/>
        <v>0</v>
      </c>
      <c r="E28" s="176"/>
      <c r="F28" s="521">
        <f t="shared" si="11"/>
        <v>0</v>
      </c>
      <c r="G28" s="176"/>
      <c r="H28" s="96"/>
      <c r="I28" s="544">
        <f t="shared" si="19"/>
        <v>0</v>
      </c>
      <c r="J28" s="544">
        <f t="shared" si="20"/>
        <v>0</v>
      </c>
      <c r="K28" s="287"/>
      <c r="L28" s="287"/>
      <c r="M28" s="96"/>
      <c r="N28" s="540"/>
      <c r="O28" s="363"/>
      <c r="P28" s="363"/>
      <c r="Q28" s="363"/>
      <c r="R28" s="363"/>
      <c r="S28" s="363"/>
      <c r="T28" s="363"/>
      <c r="U28" s="363"/>
      <c r="V28" s="363"/>
      <c r="W28" s="363"/>
      <c r="X28" s="363"/>
      <c r="Y28" s="363"/>
      <c r="Z28" s="363"/>
      <c r="AA28" s="559">
        <f t="shared" si="21"/>
        <v>0</v>
      </c>
      <c r="AB28" s="559">
        <f t="shared" si="22"/>
        <v>0</v>
      </c>
      <c r="AC28" s="559">
        <f>MANUAL!X28+OUTSALE!X28</f>
        <v>0</v>
      </c>
      <c r="AD28" s="559">
        <f t="shared" si="23"/>
        <v>0</v>
      </c>
      <c r="AF28" s="535">
        <f t="shared" si="24"/>
        <v>0</v>
      </c>
    </row>
    <row r="29" spans="1:38" s="507" customFormat="1">
      <c r="A29" s="106">
        <f t="shared" si="25"/>
        <v>46317</v>
      </c>
      <c r="B29" s="522"/>
      <c r="C29" s="176"/>
      <c r="D29" s="521">
        <f t="shared" si="10"/>
        <v>0</v>
      </c>
      <c r="E29" s="176"/>
      <c r="F29" s="521">
        <f t="shared" si="11"/>
        <v>0</v>
      </c>
      <c r="G29" s="176"/>
      <c r="H29" s="96"/>
      <c r="I29" s="544">
        <f t="shared" si="19"/>
        <v>0</v>
      </c>
      <c r="J29" s="544">
        <f t="shared" si="20"/>
        <v>0</v>
      </c>
      <c r="K29" s="287"/>
      <c r="L29" s="287"/>
      <c r="M29" s="96"/>
      <c r="N29" s="540"/>
      <c r="O29" s="363"/>
      <c r="P29" s="363"/>
      <c r="Q29" s="363"/>
      <c r="R29" s="363"/>
      <c r="S29" s="363"/>
      <c r="T29" s="363"/>
      <c r="U29" s="363"/>
      <c r="V29" s="363"/>
      <c r="W29" s="363"/>
      <c r="X29" s="363"/>
      <c r="Y29" s="363"/>
      <c r="Z29" s="363"/>
      <c r="AA29" s="559">
        <f t="shared" si="21"/>
        <v>0</v>
      </c>
      <c r="AB29" s="559">
        <f t="shared" si="22"/>
        <v>0</v>
      </c>
      <c r="AC29" s="559">
        <f>MANUAL!X29+OUTSALE!X29</f>
        <v>0</v>
      </c>
      <c r="AD29" s="559">
        <f t="shared" si="23"/>
        <v>0</v>
      </c>
      <c r="AF29" s="535">
        <f t="shared" si="24"/>
        <v>0</v>
      </c>
    </row>
    <row r="30" spans="1:38" s="507" customFormat="1">
      <c r="A30" s="106">
        <f t="shared" si="25"/>
        <v>46318</v>
      </c>
      <c r="B30" s="522"/>
      <c r="C30" s="176"/>
      <c r="D30" s="521">
        <f t="shared" si="10"/>
        <v>0</v>
      </c>
      <c r="E30" s="176"/>
      <c r="F30" s="521">
        <f t="shared" si="11"/>
        <v>0</v>
      </c>
      <c r="G30" s="176"/>
      <c r="H30" s="96"/>
      <c r="I30" s="544">
        <f t="shared" si="19"/>
        <v>0</v>
      </c>
      <c r="J30" s="544">
        <f t="shared" si="20"/>
        <v>0</v>
      </c>
      <c r="K30" s="287"/>
      <c r="L30" s="287"/>
      <c r="M30" s="96"/>
      <c r="N30" s="540"/>
      <c r="O30" s="363"/>
      <c r="P30" s="363"/>
      <c r="Q30" s="363"/>
      <c r="R30" s="363"/>
      <c r="S30" s="363"/>
      <c r="T30" s="363"/>
      <c r="U30" s="363"/>
      <c r="V30" s="363"/>
      <c r="W30" s="363"/>
      <c r="X30" s="363"/>
      <c r="Y30" s="363"/>
      <c r="Z30" s="363"/>
      <c r="AA30" s="559">
        <f t="shared" si="21"/>
        <v>0</v>
      </c>
      <c r="AB30" s="559">
        <f t="shared" si="22"/>
        <v>0</v>
      </c>
      <c r="AC30" s="559">
        <f>MANUAL!X30+OUTSALE!X30</f>
        <v>0</v>
      </c>
      <c r="AD30" s="559">
        <f t="shared" si="23"/>
        <v>0</v>
      </c>
      <c r="AF30" s="535">
        <f t="shared" si="24"/>
        <v>0</v>
      </c>
    </row>
    <row r="31" spans="1:38" s="507" customFormat="1">
      <c r="A31" s="106">
        <f t="shared" si="25"/>
        <v>46319</v>
      </c>
      <c r="B31" s="522"/>
      <c r="C31" s="176"/>
      <c r="D31" s="521">
        <f t="shared" si="10"/>
        <v>0</v>
      </c>
      <c r="E31" s="176"/>
      <c r="F31" s="521">
        <f t="shared" si="11"/>
        <v>0</v>
      </c>
      <c r="G31" s="176"/>
      <c r="H31" s="96"/>
      <c r="I31" s="544">
        <f t="shared" si="19"/>
        <v>0</v>
      </c>
      <c r="J31" s="544">
        <f t="shared" si="20"/>
        <v>0</v>
      </c>
      <c r="K31" s="287"/>
      <c r="L31" s="287"/>
      <c r="M31" s="96"/>
      <c r="N31" s="540"/>
      <c r="O31" s="363"/>
      <c r="P31" s="363"/>
      <c r="Q31" s="363"/>
      <c r="R31" s="363"/>
      <c r="S31" s="363"/>
      <c r="T31" s="363"/>
      <c r="U31" s="363"/>
      <c r="V31" s="363"/>
      <c r="W31" s="363"/>
      <c r="X31" s="363"/>
      <c r="Y31" s="363"/>
      <c r="Z31" s="363"/>
      <c r="AA31" s="559">
        <f t="shared" si="21"/>
        <v>0</v>
      </c>
      <c r="AB31" s="559">
        <f t="shared" si="22"/>
        <v>0</v>
      </c>
      <c r="AC31" s="559">
        <f>MANUAL!X31+OUTSALE!X31</f>
        <v>0</v>
      </c>
      <c r="AD31" s="559">
        <f t="shared" si="23"/>
        <v>0</v>
      </c>
      <c r="AF31" s="535">
        <f t="shared" si="24"/>
        <v>0</v>
      </c>
    </row>
    <row r="32" spans="1:38" s="507" customFormat="1">
      <c r="A32" s="106">
        <f t="shared" si="25"/>
        <v>46320</v>
      </c>
      <c r="B32" s="522"/>
      <c r="C32" s="176"/>
      <c r="D32" s="521">
        <f t="shared" si="10"/>
        <v>0</v>
      </c>
      <c r="E32" s="176"/>
      <c r="F32" s="521">
        <f t="shared" si="11"/>
        <v>0</v>
      </c>
      <c r="G32" s="176"/>
      <c r="H32" s="96"/>
      <c r="I32" s="544">
        <f t="shared" si="19"/>
        <v>0</v>
      </c>
      <c r="J32" s="544">
        <f t="shared" si="20"/>
        <v>0</v>
      </c>
      <c r="K32" s="287"/>
      <c r="L32" s="287"/>
      <c r="M32" s="96"/>
      <c r="N32" s="540"/>
      <c r="O32" s="363"/>
      <c r="P32" s="363"/>
      <c r="Q32" s="363"/>
      <c r="R32" s="363"/>
      <c r="S32" s="363"/>
      <c r="T32" s="363"/>
      <c r="U32" s="363"/>
      <c r="V32" s="363"/>
      <c r="W32" s="363"/>
      <c r="X32" s="363"/>
      <c r="Y32" s="363"/>
      <c r="Z32" s="363"/>
      <c r="AA32" s="559">
        <f t="shared" si="21"/>
        <v>0</v>
      </c>
      <c r="AB32" s="559">
        <f t="shared" si="22"/>
        <v>0</v>
      </c>
      <c r="AC32" s="559">
        <f>MANUAL!X32+OUTSALE!X32</f>
        <v>0</v>
      </c>
      <c r="AD32" s="559">
        <f t="shared" si="23"/>
        <v>0</v>
      </c>
      <c r="AF32" s="535">
        <f t="shared" si="24"/>
        <v>0</v>
      </c>
    </row>
    <row r="33" spans="1:32" s="507" customFormat="1">
      <c r="A33" s="106">
        <f t="shared" si="25"/>
        <v>46321</v>
      </c>
      <c r="B33" s="522"/>
      <c r="C33" s="176"/>
      <c r="D33" s="521">
        <f t="shared" si="10"/>
        <v>0</v>
      </c>
      <c r="E33" s="176"/>
      <c r="F33" s="521">
        <f t="shared" si="11"/>
        <v>0</v>
      </c>
      <c r="G33" s="176"/>
      <c r="H33" s="96"/>
      <c r="I33" s="544">
        <f t="shared" si="19"/>
        <v>0</v>
      </c>
      <c r="J33" s="544">
        <f t="shared" si="20"/>
        <v>0</v>
      </c>
      <c r="K33" s="287"/>
      <c r="L33" s="287"/>
      <c r="M33" s="96"/>
      <c r="N33" s="540"/>
      <c r="O33" s="363"/>
      <c r="P33" s="363"/>
      <c r="Q33" s="363"/>
      <c r="R33" s="363"/>
      <c r="S33" s="363"/>
      <c r="T33" s="363"/>
      <c r="U33" s="363"/>
      <c r="V33" s="363"/>
      <c r="W33" s="363"/>
      <c r="X33" s="363"/>
      <c r="Y33" s="363"/>
      <c r="Z33" s="363"/>
      <c r="AA33" s="559">
        <f t="shared" si="21"/>
        <v>0</v>
      </c>
      <c r="AB33" s="559">
        <f t="shared" si="22"/>
        <v>0</v>
      </c>
      <c r="AC33" s="559">
        <f>MANUAL!X33+OUTSALE!X33</f>
        <v>0</v>
      </c>
      <c r="AD33" s="559">
        <f t="shared" si="23"/>
        <v>0</v>
      </c>
      <c r="AF33" s="535">
        <f t="shared" si="24"/>
        <v>0</v>
      </c>
    </row>
    <row r="34" spans="1:32" s="507" customFormat="1">
      <c r="A34" s="106">
        <f t="shared" si="25"/>
        <v>46322</v>
      </c>
      <c r="B34" s="522"/>
      <c r="C34" s="176"/>
      <c r="D34" s="521">
        <f t="shared" si="10"/>
        <v>0</v>
      </c>
      <c r="E34" s="176"/>
      <c r="F34" s="521">
        <f t="shared" si="11"/>
        <v>0</v>
      </c>
      <c r="G34" s="176"/>
      <c r="H34" s="96"/>
      <c r="I34" s="544">
        <f t="shared" si="19"/>
        <v>0</v>
      </c>
      <c r="J34" s="544">
        <f t="shared" si="20"/>
        <v>0</v>
      </c>
      <c r="K34" s="287"/>
      <c r="L34" s="287"/>
      <c r="M34" s="96"/>
      <c r="N34" s="540"/>
      <c r="O34" s="363"/>
      <c r="P34" s="363"/>
      <c r="Q34" s="363"/>
      <c r="R34" s="363"/>
      <c r="S34" s="363"/>
      <c r="T34" s="363"/>
      <c r="U34" s="363"/>
      <c r="V34" s="363"/>
      <c r="W34" s="363"/>
      <c r="X34" s="363"/>
      <c r="Y34" s="363"/>
      <c r="Z34" s="363"/>
      <c r="AA34" s="559">
        <f t="shared" si="21"/>
        <v>0</v>
      </c>
      <c r="AB34" s="559">
        <f t="shared" si="22"/>
        <v>0</v>
      </c>
      <c r="AC34" s="559">
        <f>MANUAL!X34+OUTSALE!X34</f>
        <v>0</v>
      </c>
      <c r="AD34" s="559">
        <f t="shared" si="23"/>
        <v>0</v>
      </c>
      <c r="AF34" s="535">
        <f t="shared" si="24"/>
        <v>0</v>
      </c>
    </row>
    <row r="35" spans="1:32" s="507" customFormat="1">
      <c r="A35" s="106">
        <f t="shared" si="25"/>
        <v>46323</v>
      </c>
      <c r="B35" s="522"/>
      <c r="C35" s="176"/>
      <c r="D35" s="521">
        <f t="shared" si="10"/>
        <v>0</v>
      </c>
      <c r="E35" s="176"/>
      <c r="F35" s="521">
        <f t="shared" si="11"/>
        <v>0</v>
      </c>
      <c r="G35" s="176"/>
      <c r="H35" s="96"/>
      <c r="I35" s="544">
        <f t="shared" si="19"/>
        <v>0</v>
      </c>
      <c r="J35" s="544">
        <f t="shared" si="20"/>
        <v>0</v>
      </c>
      <c r="K35" s="287"/>
      <c r="L35" s="287"/>
      <c r="M35" s="96"/>
      <c r="N35" s="540"/>
      <c r="O35" s="363"/>
      <c r="P35" s="363"/>
      <c r="Q35" s="363"/>
      <c r="R35" s="363"/>
      <c r="S35" s="363"/>
      <c r="T35" s="363"/>
      <c r="U35" s="363"/>
      <c r="V35" s="363"/>
      <c r="W35" s="363"/>
      <c r="X35" s="363"/>
      <c r="Y35" s="363"/>
      <c r="Z35" s="363"/>
      <c r="AA35" s="559">
        <f t="shared" si="21"/>
        <v>0</v>
      </c>
      <c r="AB35" s="559">
        <f t="shared" si="22"/>
        <v>0</v>
      </c>
      <c r="AC35" s="559">
        <f>MANUAL!X35+OUTSALE!X35</f>
        <v>0</v>
      </c>
      <c r="AD35" s="559">
        <f t="shared" si="23"/>
        <v>0</v>
      </c>
      <c r="AF35" s="535">
        <f t="shared" si="24"/>
        <v>0</v>
      </c>
    </row>
    <row r="36" spans="1:32" s="507" customFormat="1">
      <c r="A36" s="106">
        <f t="shared" si="25"/>
        <v>46324</v>
      </c>
      <c r="B36" s="522"/>
      <c r="C36" s="176"/>
      <c r="D36" s="521">
        <f t="shared" si="10"/>
        <v>0</v>
      </c>
      <c r="E36" s="176"/>
      <c r="F36" s="521">
        <f t="shared" si="11"/>
        <v>0</v>
      </c>
      <c r="G36" s="176"/>
      <c r="H36" s="96"/>
      <c r="I36" s="544">
        <f t="shared" si="19"/>
        <v>0</v>
      </c>
      <c r="J36" s="544">
        <f t="shared" si="20"/>
        <v>0</v>
      </c>
      <c r="K36" s="287"/>
      <c r="L36" s="287"/>
      <c r="M36" s="96"/>
      <c r="N36" s="540"/>
      <c r="O36" s="363"/>
      <c r="P36" s="363"/>
      <c r="Q36" s="363"/>
      <c r="R36" s="363"/>
      <c r="S36" s="363"/>
      <c r="T36" s="363"/>
      <c r="U36" s="363"/>
      <c r="V36" s="363"/>
      <c r="W36" s="363"/>
      <c r="X36" s="363"/>
      <c r="Y36" s="363"/>
      <c r="Z36" s="363"/>
      <c r="AA36" s="559">
        <f t="shared" si="21"/>
        <v>0</v>
      </c>
      <c r="AB36" s="559">
        <f t="shared" si="22"/>
        <v>0</v>
      </c>
      <c r="AC36" s="559">
        <f>MANUAL!X36+OUTSALE!X36</f>
        <v>0</v>
      </c>
      <c r="AD36" s="559">
        <f t="shared" si="23"/>
        <v>0</v>
      </c>
      <c r="AF36" s="535">
        <f t="shared" si="24"/>
        <v>0</v>
      </c>
    </row>
    <row r="37" spans="1:32" s="507" customFormat="1">
      <c r="A37" s="106">
        <f t="shared" si="25"/>
        <v>46325</v>
      </c>
      <c r="B37" s="522"/>
      <c r="C37" s="176"/>
      <c r="D37" s="521">
        <f t="shared" si="10"/>
        <v>0</v>
      </c>
      <c r="E37" s="176"/>
      <c r="F37" s="521">
        <f t="shared" si="11"/>
        <v>0</v>
      </c>
      <c r="G37" s="176"/>
      <c r="H37" s="96"/>
      <c r="I37" s="544">
        <f t="shared" si="19"/>
        <v>0</v>
      </c>
      <c r="J37" s="544">
        <f t="shared" si="20"/>
        <v>0</v>
      </c>
      <c r="K37" s="287"/>
      <c r="L37" s="287"/>
      <c r="M37" s="96"/>
      <c r="N37" s="540"/>
      <c r="O37" s="363"/>
      <c r="P37" s="363"/>
      <c r="Q37" s="363"/>
      <c r="R37" s="363"/>
      <c r="S37" s="363"/>
      <c r="T37" s="363"/>
      <c r="U37" s="363"/>
      <c r="V37" s="363"/>
      <c r="W37" s="363"/>
      <c r="X37" s="363"/>
      <c r="Y37" s="363"/>
      <c r="Z37" s="363"/>
      <c r="AA37" s="559">
        <f t="shared" si="21"/>
        <v>0</v>
      </c>
      <c r="AB37" s="559">
        <f t="shared" si="22"/>
        <v>0</v>
      </c>
      <c r="AC37" s="559">
        <f>MANUAL!X37+OUTSALE!X37</f>
        <v>0</v>
      </c>
      <c r="AD37" s="559">
        <f t="shared" si="23"/>
        <v>0</v>
      </c>
      <c r="AF37" s="535">
        <f t="shared" ref="AF37:AF38" si="26">O37+P37+U37+V37+W37+X37+Y37-Q37-R37-S37-T37</f>
        <v>0</v>
      </c>
    </row>
    <row r="38" spans="1:32" s="507" customFormat="1">
      <c r="A38" s="106">
        <f t="shared" si="25"/>
        <v>46326</v>
      </c>
      <c r="B38" s="522"/>
      <c r="C38" s="176"/>
      <c r="D38" s="521">
        <f t="shared" si="10"/>
        <v>0</v>
      </c>
      <c r="E38" s="176"/>
      <c r="F38" s="521">
        <f t="shared" si="11"/>
        <v>0</v>
      </c>
      <c r="G38" s="176"/>
      <c r="H38" s="96"/>
      <c r="I38" s="544">
        <f t="shared" si="19"/>
        <v>0</v>
      </c>
      <c r="J38" s="544">
        <f t="shared" si="20"/>
        <v>0</v>
      </c>
      <c r="K38" s="287"/>
      <c r="L38" s="287"/>
      <c r="M38" s="96"/>
      <c r="N38" s="540"/>
      <c r="O38" s="363"/>
      <c r="P38" s="363"/>
      <c r="Q38" s="363"/>
      <c r="R38" s="363"/>
      <c r="S38" s="363"/>
      <c r="T38" s="363"/>
      <c r="U38" s="363"/>
      <c r="V38" s="363"/>
      <c r="W38" s="363"/>
      <c r="X38" s="363"/>
      <c r="Y38" s="363"/>
      <c r="Z38" s="363"/>
      <c r="AA38" s="559">
        <f t="shared" si="21"/>
        <v>0</v>
      </c>
      <c r="AB38" s="559">
        <f t="shared" si="22"/>
        <v>0</v>
      </c>
      <c r="AC38" s="559">
        <f>MANUAL!X38+OUTSALE!X38</f>
        <v>0</v>
      </c>
      <c r="AD38" s="559">
        <f t="shared" si="23"/>
        <v>0</v>
      </c>
      <c r="AF38" s="535">
        <f t="shared" si="26"/>
        <v>0</v>
      </c>
    </row>
    <row r="39" spans="1:32" s="308" customFormat="1">
      <c r="A39" s="523" t="s">
        <v>37</v>
      </c>
      <c r="B39" s="528">
        <f>SUM(B23:B38)</f>
        <v>0</v>
      </c>
      <c r="C39" s="528">
        <f t="shared" ref="C39:M39" si="27">SUM(C23:C38)</f>
        <v>0</v>
      </c>
      <c r="D39" s="528">
        <f t="shared" si="27"/>
        <v>0</v>
      </c>
      <c r="E39" s="528">
        <f t="shared" si="27"/>
        <v>0</v>
      </c>
      <c r="F39" s="528">
        <f t="shared" si="27"/>
        <v>0</v>
      </c>
      <c r="G39" s="528">
        <f t="shared" si="27"/>
        <v>0</v>
      </c>
      <c r="H39" s="526">
        <f t="shared" si="27"/>
        <v>0</v>
      </c>
      <c r="I39" s="528">
        <f t="shared" si="27"/>
        <v>0</v>
      </c>
      <c r="J39" s="528">
        <f t="shared" si="27"/>
        <v>0</v>
      </c>
      <c r="K39" s="546">
        <f t="shared" si="27"/>
        <v>0</v>
      </c>
      <c r="L39" s="546">
        <f t="shared" si="27"/>
        <v>0</v>
      </c>
      <c r="M39" s="526">
        <f t="shared" si="27"/>
        <v>0</v>
      </c>
      <c r="N39" s="547"/>
      <c r="O39" s="548">
        <f t="shared" ref="O39:AD39" si="28">SUM(O23:O38)</f>
        <v>0</v>
      </c>
      <c r="P39" s="548">
        <f t="shared" si="28"/>
        <v>0</v>
      </c>
      <c r="Q39" s="548">
        <f t="shared" si="28"/>
        <v>0</v>
      </c>
      <c r="R39" s="548">
        <f t="shared" si="28"/>
        <v>0</v>
      </c>
      <c r="S39" s="548">
        <f t="shared" si="28"/>
        <v>0</v>
      </c>
      <c r="T39" s="548">
        <f t="shared" si="28"/>
        <v>0</v>
      </c>
      <c r="U39" s="548">
        <f t="shared" si="28"/>
        <v>0</v>
      </c>
      <c r="V39" s="548">
        <f t="shared" si="28"/>
        <v>0</v>
      </c>
      <c r="W39" s="548">
        <f t="shared" si="28"/>
        <v>0</v>
      </c>
      <c r="X39" s="548">
        <f t="shared" si="28"/>
        <v>0</v>
      </c>
      <c r="Y39" s="548">
        <f t="shared" si="28"/>
        <v>0</v>
      </c>
      <c r="Z39" s="528">
        <f t="shared" si="28"/>
        <v>0</v>
      </c>
      <c r="AA39" s="562">
        <f t="shared" si="28"/>
        <v>0</v>
      </c>
      <c r="AB39" s="528">
        <f t="shared" si="28"/>
        <v>0</v>
      </c>
      <c r="AC39" s="528">
        <f t="shared" si="28"/>
        <v>0</v>
      </c>
      <c r="AD39" s="528">
        <f t="shared" si="28"/>
        <v>0</v>
      </c>
    </row>
    <row r="40" spans="1:32" s="507" customFormat="1">
      <c r="A40" s="529"/>
      <c r="B40" s="530"/>
      <c r="C40" s="530"/>
      <c r="D40" s="334"/>
      <c r="E40" s="531"/>
      <c r="F40" s="331"/>
      <c r="G40" s="530"/>
      <c r="H40" s="532"/>
      <c r="I40" s="334"/>
      <c r="J40" s="331"/>
      <c r="K40" s="517"/>
      <c r="L40" s="517"/>
      <c r="M40" s="532"/>
      <c r="N40" s="549"/>
      <c r="O40" s="363"/>
      <c r="P40" s="363"/>
      <c r="Q40" s="363"/>
      <c r="R40" s="363"/>
      <c r="S40" s="363"/>
      <c r="T40" s="363"/>
      <c r="U40" s="363"/>
      <c r="V40" s="363"/>
      <c r="W40" s="363"/>
      <c r="X40" s="363"/>
      <c r="Y40" s="363"/>
      <c r="Z40" s="363"/>
      <c r="AA40" s="561"/>
      <c r="AB40" s="561"/>
      <c r="AC40" s="561"/>
      <c r="AD40" s="561"/>
    </row>
    <row r="41" spans="1:32" s="307" customFormat="1">
      <c r="A41" s="523" t="s">
        <v>39</v>
      </c>
      <c r="B41" s="528">
        <f>+B21+B39</f>
        <v>2655900.6</v>
      </c>
      <c r="C41" s="528">
        <f>+C21+C39</f>
        <v>16469.879999999997</v>
      </c>
      <c r="D41" s="525">
        <f>+B41-C41</f>
        <v>2639430.7200000002</v>
      </c>
      <c r="E41" s="528">
        <f>+E21+E39</f>
        <v>15811.580000000002</v>
      </c>
      <c r="F41" s="525">
        <f>+C41-E41</f>
        <v>658.29999999999563</v>
      </c>
      <c r="G41" s="528">
        <f t="shared" ref="G41:AD41" si="29">+G21+G39</f>
        <v>0</v>
      </c>
      <c r="H41" s="533">
        <f t="shared" si="29"/>
        <v>1013</v>
      </c>
      <c r="I41" s="528">
        <f t="shared" si="29"/>
        <v>-47.200000000011642</v>
      </c>
      <c r="J41" s="528">
        <f t="shared" si="29"/>
        <v>41.749999999956344</v>
      </c>
      <c r="K41" s="550">
        <f t="shared" si="29"/>
        <v>16</v>
      </c>
      <c r="L41" s="550">
        <f t="shared" si="29"/>
        <v>38</v>
      </c>
      <c r="M41" s="533">
        <f t="shared" si="29"/>
        <v>6827</v>
      </c>
      <c r="N41" s="551"/>
      <c r="O41" s="548">
        <f t="shared" si="29"/>
        <v>2150280.52</v>
      </c>
      <c r="P41" s="548">
        <f t="shared" si="29"/>
        <v>0</v>
      </c>
      <c r="Q41" s="548">
        <f t="shared" si="29"/>
        <v>3100</v>
      </c>
      <c r="R41" s="548">
        <f t="shared" si="29"/>
        <v>0</v>
      </c>
      <c r="S41" s="548">
        <f t="shared" si="29"/>
        <v>0</v>
      </c>
      <c r="T41" s="548">
        <f t="shared" si="29"/>
        <v>30566.5</v>
      </c>
      <c r="U41" s="548">
        <f t="shared" si="29"/>
        <v>0</v>
      </c>
      <c r="V41" s="548">
        <f t="shared" si="29"/>
        <v>400</v>
      </c>
      <c r="W41" s="548">
        <f t="shared" si="29"/>
        <v>2363</v>
      </c>
      <c r="X41" s="548">
        <f t="shared" si="29"/>
        <v>32006</v>
      </c>
      <c r="Y41" s="548">
        <f t="shared" si="29"/>
        <v>0</v>
      </c>
      <c r="Z41" s="528">
        <f t="shared" si="29"/>
        <v>488042.25</v>
      </c>
      <c r="AA41" s="528">
        <f t="shared" si="29"/>
        <v>488047.7</v>
      </c>
      <c r="AB41" s="528">
        <f t="shared" si="29"/>
        <v>-5.4500000000552973</v>
      </c>
      <c r="AC41" s="528">
        <f t="shared" si="29"/>
        <v>0</v>
      </c>
      <c r="AD41" s="528">
        <f t="shared" si="29"/>
        <v>-5.4500000000552973</v>
      </c>
    </row>
    <row r="42" spans="1:32" s="507" customFormat="1">
      <c r="A42" s="534"/>
      <c r="B42" s="535"/>
      <c r="C42" s="535"/>
      <c r="D42" s="535"/>
      <c r="E42" s="535"/>
      <c r="F42" s="535"/>
      <c r="G42" s="535"/>
      <c r="H42" s="536"/>
      <c r="I42" s="535"/>
      <c r="J42" s="535"/>
      <c r="K42" s="536"/>
      <c r="L42" s="536"/>
      <c r="M42" s="536"/>
      <c r="N42" s="540"/>
      <c r="O42" s="539"/>
      <c r="P42" s="539"/>
      <c r="Q42" s="539"/>
      <c r="R42" s="539"/>
      <c r="S42" s="539"/>
      <c r="T42" s="539"/>
      <c r="U42" s="539"/>
      <c r="V42" s="539"/>
      <c r="W42" s="539"/>
      <c r="X42" s="539"/>
      <c r="Y42" s="539"/>
      <c r="Z42" s="539"/>
    </row>
    <row r="43" spans="1:32" s="507" customFormat="1">
      <c r="A43" s="534"/>
      <c r="B43" s="535"/>
      <c r="C43" s="535"/>
      <c r="D43" s="535"/>
      <c r="E43" s="535"/>
      <c r="F43" s="535"/>
      <c r="G43" s="535"/>
      <c r="H43" s="536"/>
      <c r="I43" s="535"/>
      <c r="J43" s="535"/>
      <c r="K43" s="536"/>
      <c r="L43" s="536"/>
      <c r="M43" s="536"/>
      <c r="O43" s="539"/>
      <c r="P43" s="539"/>
      <c r="Q43" s="539"/>
      <c r="R43" s="554"/>
      <c r="S43" s="539"/>
      <c r="T43" s="539"/>
      <c r="U43" s="539"/>
      <c r="V43" s="539"/>
      <c r="W43" s="539"/>
      <c r="X43" s="539"/>
      <c r="Y43" s="539"/>
      <c r="Z43" s="539"/>
      <c r="AA43" s="539"/>
      <c r="AB43" s="539"/>
    </row>
    <row r="44" spans="1:32" s="507" customFormat="1">
      <c r="A44" s="534"/>
      <c r="B44" s="535"/>
      <c r="C44" s="535"/>
      <c r="D44" s="535"/>
      <c r="E44" s="535"/>
      <c r="F44" s="535"/>
      <c r="G44" s="535"/>
      <c r="H44" s="536"/>
      <c r="I44" s="535"/>
      <c r="J44" s="535"/>
      <c r="K44" s="536"/>
      <c r="L44" s="536"/>
      <c r="M44" s="536"/>
      <c r="O44" s="539"/>
      <c r="P44" s="539"/>
      <c r="Q44" s="539"/>
      <c r="R44" s="554"/>
      <c r="S44" s="539"/>
      <c r="T44" s="539"/>
      <c r="U44" s="539"/>
      <c r="V44" s="539"/>
      <c r="W44" s="539"/>
      <c r="X44" s="539"/>
      <c r="Y44" s="539"/>
      <c r="Z44" s="539"/>
      <c r="AA44" s="539"/>
      <c r="AB44" s="539"/>
    </row>
    <row r="45" spans="1:32" s="507" customFormat="1">
      <c r="A45" s="534"/>
      <c r="B45" s="535"/>
      <c r="C45" s="535"/>
      <c r="D45" s="535"/>
      <c r="E45" s="535"/>
      <c r="F45" s="535"/>
      <c r="G45" s="535"/>
      <c r="H45" s="536"/>
      <c r="I45" s="535"/>
      <c r="J45" s="535"/>
      <c r="K45" s="536"/>
      <c r="L45" s="536"/>
      <c r="M45" s="536"/>
      <c r="O45" s="539"/>
      <c r="P45" s="539"/>
      <c r="Q45" s="539"/>
      <c r="R45" s="554"/>
      <c r="S45" s="539"/>
      <c r="T45" s="539"/>
      <c r="U45" s="539"/>
      <c r="V45" s="539"/>
      <c r="W45" s="539"/>
      <c r="X45" s="539"/>
      <c r="Y45" s="539"/>
      <c r="Z45" s="539"/>
      <c r="AA45" s="539"/>
      <c r="AB45" s="539"/>
    </row>
    <row r="46" spans="1:32" s="507" customFormat="1">
      <c r="A46" s="534"/>
      <c r="B46" s="535"/>
      <c r="C46" s="535"/>
      <c r="D46" s="535"/>
      <c r="E46" s="535"/>
      <c r="F46" s="535"/>
      <c r="G46" s="535"/>
      <c r="H46" s="536"/>
      <c r="I46" s="535"/>
      <c r="J46" s="535"/>
      <c r="K46" s="536"/>
      <c r="L46" s="536"/>
      <c r="M46" s="536"/>
      <c r="O46" s="539"/>
      <c r="P46" s="539"/>
      <c r="Q46" s="539"/>
      <c r="R46" s="554"/>
      <c r="S46" s="539"/>
      <c r="T46" s="539"/>
      <c r="U46" s="539"/>
      <c r="V46" s="539"/>
      <c r="W46" s="539"/>
      <c r="X46" s="539"/>
      <c r="Y46" s="539"/>
      <c r="Z46" s="539"/>
      <c r="AA46" s="539"/>
      <c r="AB46" s="539"/>
    </row>
    <row r="47" spans="1:32" s="507" customFormat="1">
      <c r="A47" s="534"/>
      <c r="B47" s="535"/>
      <c r="C47" s="535"/>
      <c r="D47" s="535"/>
      <c r="E47" s="535"/>
      <c r="F47" s="535"/>
      <c r="G47" s="535"/>
      <c r="H47" s="536"/>
      <c r="I47" s="535"/>
      <c r="J47" s="535"/>
      <c r="K47" s="536"/>
      <c r="L47" s="536"/>
      <c r="M47" s="536"/>
      <c r="O47" s="539"/>
      <c r="P47" s="539"/>
      <c r="Q47" s="539"/>
      <c r="R47" s="554"/>
      <c r="S47" s="539"/>
      <c r="T47" s="539"/>
      <c r="U47" s="539"/>
      <c r="V47" s="539"/>
      <c r="W47" s="539"/>
      <c r="X47" s="539"/>
      <c r="Y47" s="539"/>
      <c r="Z47" s="539"/>
      <c r="AA47" s="539"/>
      <c r="AB47" s="539"/>
    </row>
    <row r="48" spans="1:32" s="507" customFormat="1">
      <c r="A48" s="534"/>
      <c r="B48" s="535"/>
      <c r="C48" s="535"/>
      <c r="D48" s="535"/>
      <c r="E48" s="535"/>
      <c r="F48" s="535"/>
      <c r="G48" s="535"/>
      <c r="H48" s="536"/>
      <c r="I48" s="535"/>
      <c r="J48" s="535"/>
      <c r="K48" s="536"/>
      <c r="L48" s="536"/>
      <c r="M48" s="536"/>
      <c r="O48" s="539"/>
      <c r="P48" s="539"/>
      <c r="Q48" s="539"/>
      <c r="R48" s="554"/>
      <c r="S48" s="539"/>
      <c r="T48" s="539"/>
      <c r="U48" s="539"/>
      <c r="V48" s="539"/>
      <c r="W48" s="539"/>
      <c r="X48" s="539"/>
      <c r="Y48" s="539"/>
      <c r="Z48" s="539"/>
      <c r="AA48" s="539"/>
      <c r="AB48" s="539"/>
    </row>
    <row r="49" spans="1:39" s="507" customFormat="1">
      <c r="A49" s="534"/>
      <c r="B49" s="535"/>
      <c r="C49" s="535"/>
      <c r="D49" s="535"/>
      <c r="E49" s="535"/>
      <c r="F49" s="535"/>
      <c r="G49" s="535"/>
      <c r="H49" s="536"/>
      <c r="I49" s="535"/>
      <c r="J49" s="535"/>
      <c r="K49" s="536"/>
      <c r="L49" s="536"/>
      <c r="M49" s="536"/>
      <c r="P49" s="539"/>
      <c r="Q49" s="539"/>
      <c r="R49" s="539"/>
      <c r="S49" s="554"/>
      <c r="T49" s="539"/>
      <c r="U49" s="539"/>
      <c r="V49" s="539"/>
      <c r="W49" s="539"/>
      <c r="X49" s="539"/>
      <c r="Y49" s="539"/>
      <c r="Z49" s="539"/>
      <c r="AA49" s="539"/>
      <c r="AB49" s="539"/>
      <c r="AC49" s="539"/>
      <c r="AD49" s="539"/>
    </row>
    <row r="50" spans="1:39" s="507" customFormat="1">
      <c r="A50" s="534"/>
      <c r="B50" s="535"/>
      <c r="C50" s="535"/>
      <c r="D50" s="535"/>
      <c r="E50" s="535"/>
      <c r="F50" s="535"/>
      <c r="G50" s="535"/>
      <c r="H50" s="536"/>
      <c r="I50" s="535"/>
      <c r="J50" s="535"/>
      <c r="K50" s="536"/>
      <c r="L50" s="536"/>
      <c r="M50" s="536"/>
      <c r="P50" s="539"/>
      <c r="Q50" s="539"/>
      <c r="R50" s="539"/>
      <c r="S50" s="554"/>
      <c r="T50" s="539"/>
      <c r="U50" s="539"/>
      <c r="V50" s="539"/>
      <c r="W50" s="539"/>
      <c r="X50" s="539"/>
      <c r="Y50" s="539"/>
      <c r="Z50" s="539"/>
      <c r="AA50" s="539"/>
      <c r="AB50" s="539"/>
      <c r="AC50" s="539"/>
      <c r="AD50" s="539"/>
    </row>
    <row r="51" spans="1:39" s="507" customFormat="1">
      <c r="A51" s="534"/>
      <c r="B51" s="535"/>
      <c r="C51" s="535"/>
      <c r="D51" s="535"/>
      <c r="E51" s="535"/>
      <c r="F51" s="535"/>
      <c r="G51" s="535"/>
      <c r="H51" s="536"/>
      <c r="I51" s="535"/>
      <c r="J51" s="535"/>
      <c r="K51" s="536"/>
      <c r="L51" s="536"/>
      <c r="M51" s="536"/>
      <c r="P51" s="539"/>
      <c r="Q51" s="539"/>
      <c r="R51" s="539"/>
      <c r="S51" s="554"/>
      <c r="T51" s="539"/>
      <c r="U51" s="539"/>
      <c r="V51" s="539"/>
      <c r="W51" s="539"/>
      <c r="X51" s="539"/>
      <c r="Y51" s="539"/>
      <c r="Z51" s="539"/>
      <c r="AA51" s="539"/>
      <c r="AB51" s="539"/>
      <c r="AC51" s="539"/>
      <c r="AD51" s="539"/>
    </row>
    <row r="52" spans="1:39" s="507" customFormat="1">
      <c r="A52" s="534"/>
      <c r="B52" s="535"/>
      <c r="C52" s="535"/>
      <c r="D52" s="535"/>
      <c r="E52" s="535"/>
      <c r="F52" s="535"/>
      <c r="G52" s="535"/>
      <c r="H52" s="536"/>
      <c r="I52" s="535"/>
      <c r="J52" s="535"/>
      <c r="K52" s="536"/>
      <c r="L52" s="536"/>
      <c r="M52" s="536"/>
      <c r="P52" s="539"/>
      <c r="Q52" s="539"/>
      <c r="R52" s="539"/>
      <c r="S52" s="554"/>
      <c r="T52" s="539"/>
      <c r="U52" s="539"/>
      <c r="V52" s="539"/>
      <c r="W52" s="539"/>
      <c r="X52" s="539"/>
      <c r="Y52" s="539"/>
      <c r="Z52" s="539"/>
      <c r="AA52" s="539"/>
      <c r="AB52" s="539"/>
      <c r="AC52" s="539"/>
      <c r="AD52" s="539"/>
    </row>
    <row r="53" spans="1:39" s="507" customFormat="1">
      <c r="A53" s="534"/>
      <c r="B53" s="535"/>
      <c r="C53" s="535"/>
      <c r="D53" s="535"/>
      <c r="E53" s="535"/>
      <c r="F53" s="535"/>
      <c r="G53" s="535"/>
      <c r="H53" s="536"/>
      <c r="I53" s="535"/>
      <c r="J53" s="535"/>
      <c r="K53" s="536"/>
      <c r="L53" s="536"/>
      <c r="M53" s="536"/>
      <c r="P53" s="539"/>
      <c r="Q53" s="539"/>
      <c r="R53" s="539"/>
      <c r="S53" s="554"/>
      <c r="T53" s="539"/>
      <c r="U53" s="539"/>
      <c r="V53" s="539"/>
      <c r="W53" s="539"/>
      <c r="X53" s="539"/>
      <c r="Y53" s="539"/>
      <c r="Z53" s="539"/>
      <c r="AA53" s="539"/>
      <c r="AB53" s="539"/>
      <c r="AC53" s="539"/>
      <c r="AD53" s="539"/>
    </row>
    <row r="54" spans="1:39" s="507" customFormat="1">
      <c r="A54" s="534"/>
      <c r="B54" s="535"/>
      <c r="C54" s="535"/>
      <c r="D54" s="535"/>
      <c r="E54" s="535"/>
      <c r="F54" s="535"/>
      <c r="G54" s="535"/>
      <c r="H54" s="536"/>
      <c r="I54" s="535"/>
      <c r="J54" s="535"/>
      <c r="K54" s="536"/>
      <c r="L54" s="536"/>
      <c r="M54" s="536"/>
      <c r="P54" s="539"/>
      <c r="Q54" s="539"/>
      <c r="R54" s="539"/>
      <c r="S54" s="554"/>
      <c r="T54" s="539"/>
      <c r="U54" s="539"/>
      <c r="V54" s="539"/>
      <c r="W54" s="539"/>
      <c r="X54" s="539"/>
      <c r="Y54" s="539"/>
      <c r="Z54" s="539"/>
      <c r="AA54" s="539"/>
      <c r="AB54" s="539"/>
      <c r="AC54" s="539"/>
      <c r="AD54" s="539"/>
    </row>
    <row r="55" spans="1:39" s="507" customFormat="1">
      <c r="A55" s="534"/>
      <c r="B55" s="535"/>
      <c r="C55" s="535"/>
      <c r="D55" s="535"/>
      <c r="E55" s="535"/>
      <c r="F55" s="535"/>
      <c r="G55" s="535"/>
      <c r="H55" s="536"/>
      <c r="I55" s="535"/>
      <c r="J55" s="535"/>
      <c r="K55" s="536"/>
      <c r="L55" s="536"/>
      <c r="M55" s="536"/>
      <c r="P55" s="539"/>
      <c r="Q55" s="539"/>
      <c r="R55" s="539"/>
      <c r="S55" s="554"/>
      <c r="T55" s="539"/>
      <c r="U55" s="539"/>
      <c r="V55" s="539"/>
      <c r="W55" s="539"/>
      <c r="X55" s="539"/>
      <c r="Y55" s="539"/>
      <c r="Z55" s="539"/>
      <c r="AA55" s="539"/>
      <c r="AB55" s="539"/>
      <c r="AC55" s="539"/>
      <c r="AD55" s="539"/>
    </row>
    <row r="56" spans="1:39">
      <c r="A56" s="534"/>
      <c r="B56" s="535"/>
      <c r="C56" s="535"/>
      <c r="D56" s="535"/>
      <c r="E56" s="535"/>
      <c r="F56" s="535"/>
      <c r="G56" s="535"/>
      <c r="H56" s="536"/>
      <c r="I56" s="535"/>
      <c r="J56" s="535"/>
      <c r="K56" s="536"/>
      <c r="L56" s="536"/>
      <c r="M56" s="536"/>
      <c r="N56" s="507"/>
      <c r="O56" s="507"/>
      <c r="S56" s="555"/>
      <c r="AA56" s="512"/>
      <c r="AB56" s="512"/>
      <c r="AC56" s="512"/>
      <c r="AD56" s="512"/>
      <c r="AE56" s="507"/>
      <c r="AF56" s="507"/>
      <c r="AG56" s="507"/>
      <c r="AH56" s="507"/>
      <c r="AI56" s="507"/>
      <c r="AJ56" s="507"/>
      <c r="AK56" s="507"/>
      <c r="AL56" s="507"/>
      <c r="AM56" s="507"/>
    </row>
    <row r="57" spans="1:39">
      <c r="A57" s="534"/>
      <c r="B57" s="535"/>
      <c r="C57" s="535"/>
      <c r="D57" s="535"/>
      <c r="E57" s="535"/>
      <c r="F57" s="535"/>
      <c r="G57" s="535"/>
      <c r="H57" s="536"/>
      <c r="I57" s="535"/>
      <c r="J57" s="535"/>
      <c r="K57" s="536"/>
      <c r="L57" s="536"/>
      <c r="M57" s="536"/>
      <c r="N57" s="507"/>
      <c r="O57" s="507"/>
      <c r="S57" s="555"/>
      <c r="AA57" s="512"/>
      <c r="AB57" s="512"/>
      <c r="AC57" s="512"/>
      <c r="AD57" s="512"/>
      <c r="AE57" s="507"/>
      <c r="AF57" s="507"/>
      <c r="AG57" s="507"/>
      <c r="AH57" s="507"/>
      <c r="AI57" s="507"/>
      <c r="AJ57" s="507"/>
      <c r="AK57" s="507"/>
      <c r="AL57" s="507"/>
      <c r="AM57" s="507"/>
    </row>
    <row r="58" spans="1:39">
      <c r="A58" s="534"/>
      <c r="B58" s="535"/>
      <c r="C58" s="535"/>
      <c r="D58" s="535"/>
      <c r="E58" s="535"/>
      <c r="F58" s="535"/>
      <c r="G58" s="535"/>
      <c r="H58" s="536"/>
      <c r="I58" s="535"/>
      <c r="J58" s="535"/>
      <c r="K58" s="536"/>
      <c r="L58" s="536"/>
      <c r="M58" s="536"/>
      <c r="N58" s="507"/>
      <c r="O58" s="507"/>
      <c r="S58" s="555"/>
      <c r="AA58" s="512"/>
      <c r="AB58" s="512"/>
      <c r="AC58" s="512"/>
      <c r="AD58" s="512"/>
      <c r="AE58" s="507"/>
      <c r="AF58" s="507"/>
      <c r="AG58" s="507"/>
      <c r="AH58" s="507"/>
      <c r="AI58" s="507"/>
      <c r="AJ58" s="507"/>
      <c r="AK58" s="507"/>
      <c r="AL58" s="507"/>
      <c r="AM58" s="507"/>
    </row>
    <row r="59" spans="1:39">
      <c r="A59" s="534"/>
      <c r="B59" s="535"/>
      <c r="C59" s="535"/>
      <c r="D59" s="535"/>
      <c r="E59" s="535"/>
      <c r="F59" s="535"/>
      <c r="G59" s="535"/>
      <c r="H59" s="536"/>
      <c r="I59" s="535"/>
      <c r="J59" s="535"/>
      <c r="K59" s="536"/>
      <c r="L59" s="536"/>
      <c r="M59" s="536"/>
      <c r="N59" s="507"/>
      <c r="O59" s="507"/>
      <c r="S59" s="555"/>
      <c r="AA59" s="512"/>
      <c r="AB59" s="512"/>
      <c r="AC59" s="512"/>
      <c r="AD59" s="512"/>
      <c r="AE59" s="507"/>
      <c r="AF59" s="507"/>
      <c r="AG59" s="507"/>
      <c r="AH59" s="507"/>
      <c r="AI59" s="507"/>
      <c r="AJ59" s="507"/>
      <c r="AK59" s="507"/>
      <c r="AL59" s="507"/>
      <c r="AM59" s="507"/>
    </row>
    <row r="60" spans="1:39">
      <c r="A60" s="534"/>
      <c r="B60" s="535"/>
      <c r="C60" s="535"/>
      <c r="D60" s="535"/>
      <c r="E60" s="535"/>
      <c r="F60" s="535"/>
      <c r="G60" s="535"/>
      <c r="H60" s="536"/>
      <c r="I60" s="535"/>
      <c r="J60" s="535"/>
      <c r="K60" s="536"/>
      <c r="L60" s="536"/>
      <c r="M60" s="536"/>
      <c r="N60" s="507"/>
      <c r="O60" s="507"/>
      <c r="S60" s="555"/>
      <c r="AA60" s="512"/>
      <c r="AB60" s="512"/>
      <c r="AC60" s="512"/>
      <c r="AD60" s="512"/>
      <c r="AE60" s="507"/>
      <c r="AF60" s="507"/>
      <c r="AG60" s="507"/>
      <c r="AH60" s="507"/>
      <c r="AI60" s="507"/>
      <c r="AJ60" s="507"/>
      <c r="AK60" s="507"/>
      <c r="AL60" s="507"/>
      <c r="AM60" s="507"/>
    </row>
    <row r="61" spans="1:39">
      <c r="A61" s="534"/>
      <c r="B61" s="535"/>
      <c r="C61" s="535"/>
      <c r="D61" s="535"/>
      <c r="E61" s="535"/>
      <c r="F61" s="535"/>
      <c r="G61" s="535"/>
      <c r="H61" s="536"/>
      <c r="I61" s="535"/>
      <c r="J61" s="535"/>
      <c r="K61" s="536"/>
      <c r="L61" s="536"/>
      <c r="M61" s="536"/>
      <c r="N61" s="507"/>
      <c r="O61" s="507"/>
      <c r="S61" s="555"/>
      <c r="AA61" s="512"/>
      <c r="AB61" s="512"/>
      <c r="AC61" s="512"/>
      <c r="AD61" s="512"/>
      <c r="AE61" s="507"/>
      <c r="AF61" s="507"/>
      <c r="AG61" s="507"/>
      <c r="AH61" s="507"/>
      <c r="AI61" s="507"/>
      <c r="AJ61" s="507"/>
      <c r="AK61" s="507"/>
      <c r="AL61" s="507"/>
      <c r="AM61" s="507"/>
    </row>
    <row r="62" spans="1:39">
      <c r="A62" s="534"/>
      <c r="B62" s="535"/>
      <c r="C62" s="535"/>
      <c r="D62" s="535"/>
      <c r="E62" s="535"/>
      <c r="F62" s="535"/>
      <c r="G62" s="535"/>
      <c r="H62" s="536"/>
      <c r="I62" s="535"/>
      <c r="J62" s="535"/>
      <c r="K62" s="536"/>
      <c r="L62" s="536"/>
      <c r="M62" s="536"/>
      <c r="N62" s="507"/>
      <c r="O62" s="507"/>
      <c r="S62" s="555"/>
      <c r="AA62" s="512"/>
      <c r="AB62" s="512"/>
      <c r="AC62" s="512"/>
      <c r="AD62" s="512"/>
      <c r="AE62" s="507"/>
      <c r="AF62" s="507"/>
      <c r="AG62" s="507"/>
      <c r="AH62" s="507"/>
      <c r="AI62" s="507"/>
      <c r="AJ62" s="507"/>
      <c r="AK62" s="507"/>
      <c r="AL62" s="507"/>
      <c r="AM62" s="507"/>
    </row>
    <row r="63" spans="1:39">
      <c r="A63" s="534"/>
      <c r="B63" s="535"/>
      <c r="C63" s="535"/>
      <c r="D63" s="535"/>
      <c r="E63" s="535"/>
      <c r="F63" s="535"/>
      <c r="G63" s="535"/>
      <c r="H63" s="536"/>
      <c r="I63" s="535"/>
      <c r="J63" s="535"/>
      <c r="K63" s="536"/>
      <c r="L63" s="536"/>
      <c r="M63" s="536"/>
      <c r="N63" s="507"/>
      <c r="O63" s="507"/>
      <c r="S63" s="555"/>
      <c r="AA63" s="512"/>
      <c r="AB63" s="512"/>
      <c r="AC63" s="512"/>
      <c r="AD63" s="512"/>
      <c r="AE63" s="507"/>
      <c r="AF63" s="507"/>
      <c r="AG63" s="507"/>
      <c r="AH63" s="507"/>
      <c r="AI63" s="507"/>
      <c r="AJ63" s="507"/>
      <c r="AK63" s="507"/>
      <c r="AL63" s="507"/>
      <c r="AM63" s="507"/>
    </row>
    <row r="64" spans="1:39">
      <c r="A64" s="534"/>
      <c r="B64" s="535"/>
      <c r="C64" s="535"/>
      <c r="D64" s="535"/>
      <c r="E64" s="535"/>
      <c r="F64" s="535"/>
      <c r="G64" s="535"/>
      <c r="H64" s="536"/>
      <c r="I64" s="535"/>
      <c r="J64" s="535"/>
      <c r="K64" s="536"/>
      <c r="L64" s="536"/>
      <c r="M64" s="536"/>
      <c r="N64" s="507"/>
      <c r="O64" s="507"/>
      <c r="S64" s="555"/>
      <c r="AA64" s="512"/>
      <c r="AB64" s="512"/>
      <c r="AC64" s="512"/>
      <c r="AD64" s="512"/>
      <c r="AE64" s="507"/>
      <c r="AF64" s="507"/>
      <c r="AG64" s="507"/>
      <c r="AH64" s="507"/>
      <c r="AI64" s="507"/>
      <c r="AJ64" s="507"/>
      <c r="AK64" s="507"/>
      <c r="AL64" s="507"/>
      <c r="AM64" s="507"/>
    </row>
    <row r="65" spans="1:39">
      <c r="A65" s="534"/>
      <c r="B65" s="535"/>
      <c r="C65" s="535"/>
      <c r="D65" s="535"/>
      <c r="E65" s="535"/>
      <c r="F65" s="535"/>
      <c r="G65" s="535"/>
      <c r="H65" s="536"/>
      <c r="I65" s="535"/>
      <c r="J65" s="535"/>
      <c r="K65" s="536"/>
      <c r="L65" s="536"/>
      <c r="M65" s="536"/>
      <c r="N65" s="507"/>
      <c r="O65" s="507"/>
      <c r="S65" s="555"/>
      <c r="AA65" s="512"/>
      <c r="AB65" s="512"/>
      <c r="AC65" s="512"/>
      <c r="AD65" s="512"/>
      <c r="AE65" s="507"/>
      <c r="AF65" s="507"/>
      <c r="AG65" s="507"/>
      <c r="AH65" s="507"/>
      <c r="AI65" s="507"/>
      <c r="AJ65" s="507"/>
      <c r="AK65" s="507"/>
      <c r="AL65" s="507"/>
      <c r="AM65" s="507"/>
    </row>
    <row r="66" spans="1:39">
      <c r="A66" s="534"/>
      <c r="B66" s="535"/>
      <c r="C66" s="535"/>
      <c r="D66" s="535"/>
      <c r="E66" s="535"/>
      <c r="F66" s="535"/>
      <c r="G66" s="535"/>
      <c r="H66" s="536"/>
      <c r="I66" s="535"/>
      <c r="J66" s="535"/>
      <c r="K66" s="536"/>
      <c r="L66" s="536"/>
      <c r="M66" s="536"/>
      <c r="N66" s="507"/>
      <c r="O66" s="507"/>
      <c r="S66" s="555"/>
      <c r="AA66" s="512"/>
      <c r="AB66" s="512"/>
      <c r="AC66" s="512"/>
      <c r="AD66" s="512"/>
      <c r="AE66" s="507"/>
      <c r="AF66" s="507"/>
      <c r="AG66" s="507"/>
      <c r="AH66" s="507"/>
      <c r="AI66" s="507"/>
      <c r="AJ66" s="507"/>
      <c r="AK66" s="507"/>
      <c r="AL66" s="507"/>
      <c r="AM66" s="507"/>
    </row>
    <row r="67" spans="1:39">
      <c r="A67" s="534"/>
      <c r="B67" s="535"/>
      <c r="C67" s="535"/>
      <c r="D67" s="535"/>
      <c r="E67" s="535"/>
      <c r="F67" s="535"/>
      <c r="G67" s="535"/>
      <c r="H67" s="536"/>
      <c r="I67" s="535"/>
      <c r="J67" s="535"/>
      <c r="K67" s="536"/>
      <c r="L67" s="536"/>
      <c r="M67" s="536"/>
      <c r="N67" s="507"/>
      <c r="O67" s="507"/>
      <c r="S67" s="555"/>
      <c r="AA67" s="512"/>
      <c r="AB67" s="512"/>
      <c r="AC67" s="512"/>
      <c r="AD67" s="512"/>
      <c r="AE67" s="507"/>
      <c r="AF67" s="507"/>
      <c r="AG67" s="507"/>
      <c r="AH67" s="507"/>
      <c r="AI67" s="507"/>
      <c r="AJ67" s="507"/>
      <c r="AK67" s="507"/>
      <c r="AL67" s="507"/>
      <c r="AM67" s="507"/>
    </row>
    <row r="68" spans="1:39">
      <c r="A68" s="534"/>
      <c r="B68" s="535"/>
      <c r="C68" s="535"/>
      <c r="D68" s="535"/>
      <c r="E68" s="535"/>
      <c r="F68" s="535"/>
      <c r="G68" s="535"/>
      <c r="H68" s="536"/>
      <c r="I68" s="535"/>
      <c r="J68" s="535"/>
      <c r="K68" s="536"/>
      <c r="L68" s="536"/>
      <c r="M68" s="536"/>
      <c r="N68" s="507"/>
      <c r="O68" s="507"/>
      <c r="S68" s="555"/>
      <c r="AA68" s="512"/>
      <c r="AB68" s="512"/>
      <c r="AC68" s="512"/>
      <c r="AD68" s="512"/>
      <c r="AE68" s="507"/>
      <c r="AF68" s="507"/>
      <c r="AG68" s="507"/>
      <c r="AH68" s="507"/>
      <c r="AI68" s="507"/>
      <c r="AJ68" s="507"/>
      <c r="AK68" s="507"/>
      <c r="AL68" s="507"/>
      <c r="AM68" s="507"/>
    </row>
    <row r="69" spans="1:39">
      <c r="A69" s="534"/>
      <c r="B69" s="535"/>
      <c r="C69" s="535"/>
      <c r="D69" s="535"/>
      <c r="E69" s="535"/>
      <c r="F69" s="535"/>
      <c r="G69" s="535"/>
      <c r="H69" s="536"/>
      <c r="I69" s="535"/>
      <c r="J69" s="535"/>
      <c r="K69" s="536"/>
      <c r="L69" s="536"/>
      <c r="M69" s="536"/>
      <c r="N69" s="507"/>
      <c r="O69" s="507"/>
      <c r="S69" s="555"/>
      <c r="AA69" s="512"/>
      <c r="AB69" s="512"/>
      <c r="AC69" s="512"/>
      <c r="AD69" s="512"/>
      <c r="AE69" s="507"/>
      <c r="AF69" s="507"/>
      <c r="AG69" s="507"/>
      <c r="AH69" s="507"/>
      <c r="AI69" s="507"/>
      <c r="AJ69" s="507"/>
      <c r="AK69" s="507"/>
      <c r="AL69" s="507"/>
      <c r="AM69" s="507"/>
    </row>
    <row r="70" spans="1:39">
      <c r="A70" s="534"/>
      <c r="B70" s="535"/>
      <c r="C70" s="535"/>
      <c r="D70" s="535"/>
      <c r="E70" s="535"/>
      <c r="F70" s="535"/>
      <c r="G70" s="535"/>
      <c r="H70" s="536"/>
      <c r="I70" s="535"/>
      <c r="J70" s="535"/>
      <c r="K70" s="536"/>
      <c r="L70" s="536"/>
      <c r="M70" s="536"/>
      <c r="N70" s="507"/>
      <c r="O70" s="507"/>
      <c r="S70" s="555"/>
      <c r="AA70" s="512"/>
      <c r="AB70" s="512"/>
      <c r="AC70" s="512"/>
      <c r="AD70" s="512"/>
      <c r="AE70" s="507"/>
      <c r="AF70" s="507"/>
      <c r="AG70" s="507"/>
      <c r="AH70" s="507"/>
      <c r="AI70" s="507"/>
      <c r="AJ70" s="507"/>
      <c r="AK70" s="507"/>
      <c r="AL70" s="507"/>
      <c r="AM70" s="507"/>
    </row>
    <row r="71" spans="1:39">
      <c r="A71" s="534"/>
      <c r="B71" s="535"/>
      <c r="C71" s="535"/>
      <c r="D71" s="535"/>
      <c r="E71" s="535"/>
      <c r="F71" s="535"/>
      <c r="G71" s="535"/>
      <c r="H71" s="536"/>
      <c r="I71" s="535"/>
      <c r="J71" s="535"/>
      <c r="K71" s="536"/>
      <c r="L71" s="536"/>
      <c r="M71" s="536"/>
      <c r="N71" s="507"/>
      <c r="O71" s="507"/>
      <c r="S71" s="555"/>
      <c r="AA71" s="512"/>
      <c r="AB71" s="512"/>
      <c r="AC71" s="512"/>
      <c r="AD71" s="512"/>
      <c r="AE71" s="507"/>
      <c r="AF71" s="507"/>
      <c r="AG71" s="507"/>
      <c r="AH71" s="507"/>
      <c r="AI71" s="507"/>
      <c r="AJ71" s="507"/>
      <c r="AK71" s="507"/>
      <c r="AL71" s="507"/>
      <c r="AM71" s="507"/>
    </row>
    <row r="72" spans="1:39">
      <c r="A72" s="534"/>
      <c r="B72" s="535"/>
      <c r="C72" s="535"/>
      <c r="D72" s="535"/>
      <c r="E72" s="535"/>
      <c r="F72" s="535"/>
      <c r="G72" s="535"/>
      <c r="H72" s="536"/>
      <c r="I72" s="535"/>
      <c r="J72" s="535"/>
      <c r="K72" s="536"/>
      <c r="L72" s="536"/>
      <c r="M72" s="536"/>
      <c r="N72" s="507"/>
      <c r="O72" s="507"/>
      <c r="S72" s="555"/>
      <c r="AA72" s="512"/>
      <c r="AB72" s="512"/>
      <c r="AC72" s="512"/>
      <c r="AD72" s="512"/>
      <c r="AE72" s="507"/>
      <c r="AF72" s="507"/>
      <c r="AG72" s="507"/>
      <c r="AH72" s="507"/>
      <c r="AI72" s="507"/>
      <c r="AJ72" s="507"/>
      <c r="AK72" s="507"/>
      <c r="AL72" s="507"/>
      <c r="AM72" s="507"/>
    </row>
    <row r="73" spans="1:39">
      <c r="A73" s="534"/>
      <c r="B73" s="535"/>
      <c r="C73" s="535"/>
      <c r="D73" s="535"/>
      <c r="E73" s="535"/>
      <c r="F73" s="535"/>
      <c r="G73" s="535"/>
      <c r="H73" s="536"/>
      <c r="I73" s="535"/>
      <c r="J73" s="535"/>
      <c r="K73" s="536"/>
      <c r="L73" s="536"/>
      <c r="M73" s="536"/>
      <c r="N73" s="507"/>
      <c r="O73" s="507"/>
      <c r="S73" s="555"/>
      <c r="AA73" s="512"/>
      <c r="AB73" s="512"/>
      <c r="AC73" s="512"/>
      <c r="AD73" s="512"/>
      <c r="AE73" s="507"/>
      <c r="AF73" s="507"/>
      <c r="AG73" s="507"/>
      <c r="AH73" s="507"/>
      <c r="AI73" s="507"/>
      <c r="AJ73" s="507"/>
      <c r="AK73" s="507"/>
      <c r="AL73" s="507"/>
      <c r="AM73" s="507"/>
    </row>
    <row r="74" spans="1:39">
      <c r="A74" s="534"/>
      <c r="B74" s="535"/>
      <c r="C74" s="535"/>
      <c r="D74" s="535"/>
      <c r="E74" s="535"/>
      <c r="F74" s="535"/>
      <c r="G74" s="535"/>
      <c r="H74" s="536"/>
      <c r="I74" s="535"/>
      <c r="J74" s="535"/>
      <c r="K74" s="536"/>
      <c r="L74" s="536"/>
      <c r="M74" s="536"/>
      <c r="N74" s="507"/>
      <c r="O74" s="507"/>
      <c r="S74" s="555"/>
      <c r="AA74" s="512"/>
      <c r="AB74" s="512"/>
      <c r="AC74" s="512"/>
      <c r="AD74" s="512"/>
      <c r="AE74" s="507"/>
      <c r="AF74" s="507"/>
      <c r="AG74" s="507"/>
      <c r="AH74" s="507"/>
      <c r="AI74" s="507"/>
      <c r="AJ74" s="507"/>
      <c r="AK74" s="507"/>
      <c r="AL74" s="507"/>
      <c r="AM74" s="507"/>
    </row>
    <row r="75" spans="1:39">
      <c r="A75" s="534"/>
      <c r="B75" s="535"/>
      <c r="C75" s="535"/>
      <c r="D75" s="535"/>
      <c r="E75" s="535"/>
      <c r="F75" s="535"/>
      <c r="G75" s="535"/>
      <c r="H75" s="536"/>
      <c r="I75" s="535"/>
      <c r="J75" s="535"/>
      <c r="K75" s="536"/>
      <c r="L75" s="536"/>
      <c r="M75" s="536"/>
      <c r="N75" s="507"/>
      <c r="O75" s="507"/>
      <c r="S75" s="555"/>
      <c r="AA75" s="512"/>
      <c r="AB75" s="512"/>
      <c r="AC75" s="512"/>
      <c r="AD75" s="512"/>
      <c r="AE75" s="507"/>
      <c r="AF75" s="507"/>
      <c r="AG75" s="507"/>
      <c r="AH75" s="507"/>
      <c r="AI75" s="507"/>
      <c r="AJ75" s="507"/>
      <c r="AK75" s="507"/>
      <c r="AL75" s="507"/>
      <c r="AM75" s="507"/>
    </row>
    <row r="76" spans="1:39">
      <c r="A76" s="534"/>
      <c r="B76" s="535"/>
      <c r="C76" s="535"/>
      <c r="D76" s="535"/>
      <c r="E76" s="535"/>
      <c r="F76" s="535"/>
      <c r="G76" s="535"/>
      <c r="H76" s="536"/>
      <c r="I76" s="535"/>
      <c r="J76" s="535"/>
      <c r="K76" s="536"/>
      <c r="L76" s="536"/>
      <c r="M76" s="536"/>
      <c r="N76" s="507"/>
      <c r="O76" s="507"/>
      <c r="S76" s="555"/>
      <c r="AA76" s="512"/>
      <c r="AB76" s="512"/>
      <c r="AC76" s="512"/>
      <c r="AD76" s="512"/>
      <c r="AE76" s="507"/>
      <c r="AF76" s="507"/>
      <c r="AG76" s="507"/>
      <c r="AH76" s="507"/>
      <c r="AI76" s="507"/>
      <c r="AJ76" s="507"/>
      <c r="AK76" s="507"/>
      <c r="AL76" s="507"/>
      <c r="AM76" s="507"/>
    </row>
    <row r="77" spans="1:39">
      <c r="A77" s="534"/>
      <c r="B77" s="535"/>
      <c r="C77" s="535"/>
      <c r="D77" s="535"/>
      <c r="E77" s="535"/>
      <c r="F77" s="535"/>
      <c r="G77" s="535"/>
      <c r="H77" s="536"/>
      <c r="I77" s="535"/>
      <c r="J77" s="535"/>
      <c r="K77" s="536"/>
      <c r="L77" s="536"/>
      <c r="M77" s="536"/>
      <c r="N77" s="507"/>
      <c r="O77" s="507"/>
      <c r="S77" s="555"/>
      <c r="AA77" s="512"/>
      <c r="AB77" s="512"/>
      <c r="AC77" s="512"/>
      <c r="AD77" s="512"/>
      <c r="AE77" s="507"/>
      <c r="AF77" s="507"/>
      <c r="AG77" s="507"/>
      <c r="AH77" s="507"/>
      <c r="AI77" s="507"/>
      <c r="AJ77" s="507"/>
      <c r="AK77" s="507"/>
      <c r="AL77" s="507"/>
      <c r="AM77" s="507"/>
    </row>
    <row r="78" spans="1:39">
      <c r="A78" s="534"/>
      <c r="B78" s="535"/>
      <c r="C78" s="535"/>
      <c r="D78" s="535"/>
      <c r="E78" s="535"/>
      <c r="F78" s="535"/>
      <c r="G78" s="535"/>
      <c r="H78" s="536"/>
      <c r="I78" s="535"/>
      <c r="J78" s="535"/>
      <c r="K78" s="536"/>
      <c r="L78" s="536"/>
      <c r="M78" s="536"/>
      <c r="N78" s="507"/>
      <c r="O78" s="507"/>
      <c r="S78" s="555"/>
      <c r="AA78" s="512"/>
      <c r="AB78" s="512"/>
      <c r="AC78" s="512"/>
      <c r="AD78" s="512"/>
      <c r="AE78" s="507"/>
      <c r="AF78" s="507"/>
      <c r="AG78" s="507"/>
      <c r="AH78" s="507"/>
      <c r="AI78" s="507"/>
      <c r="AJ78" s="507"/>
      <c r="AK78" s="507"/>
      <c r="AL78" s="507"/>
      <c r="AM78" s="507"/>
    </row>
    <row r="79" spans="1:39">
      <c r="A79" s="534"/>
      <c r="B79" s="535"/>
      <c r="C79" s="535"/>
      <c r="D79" s="535"/>
      <c r="E79" s="535"/>
      <c r="F79" s="535"/>
      <c r="G79" s="535"/>
      <c r="H79" s="536"/>
      <c r="I79" s="535"/>
      <c r="J79" s="535"/>
      <c r="K79" s="536"/>
      <c r="L79" s="536"/>
      <c r="M79" s="536"/>
      <c r="N79" s="507"/>
      <c r="O79" s="507"/>
      <c r="S79" s="555"/>
      <c r="AA79" s="512"/>
      <c r="AB79" s="512"/>
      <c r="AC79" s="512"/>
      <c r="AD79" s="512"/>
      <c r="AE79" s="507"/>
      <c r="AF79" s="507"/>
      <c r="AG79" s="507"/>
      <c r="AH79" s="507"/>
      <c r="AI79" s="507"/>
      <c r="AJ79" s="507"/>
      <c r="AK79" s="507"/>
      <c r="AL79" s="507"/>
      <c r="AM79" s="507"/>
    </row>
    <row r="80" spans="1:39">
      <c r="A80" s="534"/>
      <c r="B80" s="535"/>
      <c r="C80" s="535"/>
      <c r="D80" s="535"/>
      <c r="E80" s="535"/>
      <c r="F80" s="535"/>
      <c r="G80" s="535"/>
      <c r="H80" s="536"/>
      <c r="I80" s="535"/>
      <c r="J80" s="535"/>
      <c r="K80" s="536"/>
      <c r="L80" s="536"/>
      <c r="M80" s="536"/>
      <c r="N80" s="507"/>
      <c r="O80" s="507"/>
      <c r="S80" s="555"/>
      <c r="AA80" s="512"/>
      <c r="AB80" s="512"/>
      <c r="AC80" s="512"/>
      <c r="AD80" s="512"/>
      <c r="AE80" s="507"/>
      <c r="AF80" s="507"/>
      <c r="AG80" s="507"/>
      <c r="AH80" s="507"/>
      <c r="AI80" s="507"/>
      <c r="AJ80" s="507"/>
      <c r="AK80" s="507"/>
      <c r="AL80" s="507"/>
      <c r="AM80" s="507"/>
    </row>
    <row r="81" spans="1:39">
      <c r="A81" s="534"/>
      <c r="B81" s="535"/>
      <c r="C81" s="535"/>
      <c r="D81" s="535"/>
      <c r="E81" s="535"/>
      <c r="F81" s="535"/>
      <c r="G81" s="535"/>
      <c r="H81" s="536"/>
      <c r="I81" s="535"/>
      <c r="J81" s="535"/>
      <c r="K81" s="536"/>
      <c r="L81" s="536"/>
      <c r="M81" s="536"/>
      <c r="N81" s="507"/>
      <c r="O81" s="507"/>
      <c r="S81" s="555"/>
      <c r="AA81" s="512"/>
      <c r="AB81" s="512"/>
      <c r="AC81" s="512"/>
      <c r="AD81" s="512"/>
      <c r="AE81" s="507"/>
      <c r="AF81" s="507"/>
      <c r="AG81" s="507"/>
      <c r="AH81" s="507"/>
      <c r="AI81" s="507"/>
      <c r="AJ81" s="507"/>
      <c r="AK81" s="507"/>
      <c r="AL81" s="507"/>
      <c r="AM81" s="507"/>
    </row>
    <row r="82" spans="1:39">
      <c r="A82" s="534"/>
      <c r="B82" s="535"/>
      <c r="C82" s="535"/>
      <c r="D82" s="535"/>
      <c r="E82" s="535"/>
      <c r="F82" s="535"/>
      <c r="G82" s="535"/>
      <c r="H82" s="536"/>
      <c r="I82" s="535"/>
      <c r="J82" s="535"/>
      <c r="K82" s="536"/>
      <c r="L82" s="536"/>
      <c r="M82" s="536"/>
      <c r="N82" s="507"/>
      <c r="O82" s="507"/>
      <c r="S82" s="555"/>
      <c r="AA82" s="512"/>
      <c r="AB82" s="512"/>
      <c r="AC82" s="512"/>
      <c r="AD82" s="512"/>
      <c r="AE82" s="507"/>
      <c r="AF82" s="507"/>
      <c r="AG82" s="507"/>
      <c r="AH82" s="507"/>
      <c r="AI82" s="507"/>
      <c r="AJ82" s="507"/>
      <c r="AK82" s="507"/>
      <c r="AL82" s="507"/>
      <c r="AM82" s="507"/>
    </row>
    <row r="83" spans="1:39">
      <c r="A83" s="534"/>
      <c r="B83" s="535"/>
      <c r="C83" s="535"/>
      <c r="D83" s="535"/>
      <c r="E83" s="535"/>
      <c r="F83" s="535"/>
      <c r="G83" s="535"/>
      <c r="H83" s="536"/>
      <c r="I83" s="535"/>
      <c r="J83" s="535"/>
      <c r="K83" s="536"/>
      <c r="L83" s="536"/>
      <c r="M83" s="536"/>
      <c r="N83" s="507"/>
      <c r="O83" s="507"/>
      <c r="S83" s="555"/>
      <c r="AA83" s="512"/>
      <c r="AB83" s="512"/>
      <c r="AC83" s="512"/>
      <c r="AD83" s="512"/>
      <c r="AE83" s="507"/>
      <c r="AF83" s="507"/>
      <c r="AG83" s="507"/>
      <c r="AH83" s="507"/>
      <c r="AI83" s="507"/>
      <c r="AJ83" s="507"/>
      <c r="AK83" s="507"/>
      <c r="AL83" s="507"/>
      <c r="AM83" s="507"/>
    </row>
    <row r="84" spans="1:39">
      <c r="A84" s="534"/>
      <c r="B84" s="535"/>
      <c r="C84" s="535"/>
      <c r="D84" s="535"/>
      <c r="E84" s="535"/>
      <c r="F84" s="535"/>
      <c r="G84" s="535"/>
      <c r="H84" s="536"/>
      <c r="I84" s="535"/>
      <c r="J84" s="535"/>
      <c r="K84" s="536"/>
      <c r="L84" s="536"/>
      <c r="M84" s="536"/>
      <c r="N84" s="507"/>
      <c r="O84" s="507"/>
      <c r="S84" s="555"/>
      <c r="AA84" s="512"/>
      <c r="AB84" s="512"/>
      <c r="AC84" s="512"/>
      <c r="AD84" s="512"/>
      <c r="AE84" s="507"/>
      <c r="AF84" s="507"/>
      <c r="AG84" s="507"/>
      <c r="AH84" s="507"/>
      <c r="AI84" s="507"/>
      <c r="AJ84" s="507"/>
      <c r="AK84" s="507"/>
      <c r="AL84" s="507"/>
      <c r="AM84" s="507"/>
    </row>
    <row r="85" spans="1:39">
      <c r="A85" s="534"/>
      <c r="B85" s="535"/>
      <c r="C85" s="535"/>
      <c r="D85" s="535"/>
      <c r="E85" s="535"/>
      <c r="F85" s="535"/>
      <c r="G85" s="535"/>
      <c r="H85" s="536"/>
      <c r="I85" s="535"/>
      <c r="J85" s="535"/>
      <c r="K85" s="536"/>
      <c r="L85" s="536"/>
      <c r="M85" s="536"/>
      <c r="N85" s="507"/>
      <c r="O85" s="507"/>
      <c r="S85" s="555"/>
      <c r="AA85" s="512"/>
      <c r="AB85" s="512"/>
      <c r="AC85" s="512"/>
      <c r="AD85" s="512"/>
      <c r="AE85" s="507"/>
      <c r="AF85" s="507"/>
      <c r="AG85" s="507"/>
      <c r="AH85" s="507"/>
      <c r="AI85" s="507"/>
      <c r="AJ85" s="507"/>
      <c r="AK85" s="507"/>
      <c r="AL85" s="507"/>
      <c r="AM85" s="507"/>
    </row>
    <row r="86" spans="1:39">
      <c r="A86" s="534"/>
      <c r="B86" s="535"/>
      <c r="C86" s="535"/>
      <c r="D86" s="535"/>
      <c r="E86" s="535"/>
      <c r="F86" s="535"/>
      <c r="G86" s="535"/>
      <c r="H86" s="536"/>
      <c r="I86" s="535"/>
      <c r="J86" s="535"/>
      <c r="K86" s="536"/>
      <c r="L86" s="536"/>
      <c r="M86" s="536"/>
      <c r="N86" s="507"/>
      <c r="O86" s="507"/>
      <c r="S86" s="555"/>
      <c r="AA86" s="512"/>
      <c r="AB86" s="512"/>
      <c r="AC86" s="512"/>
      <c r="AD86" s="512"/>
      <c r="AE86" s="507"/>
      <c r="AF86" s="507"/>
      <c r="AG86" s="507"/>
      <c r="AH86" s="507"/>
      <c r="AI86" s="507"/>
      <c r="AJ86" s="507"/>
      <c r="AK86" s="507"/>
      <c r="AL86" s="507"/>
      <c r="AM86" s="507"/>
    </row>
    <row r="87" spans="1:39">
      <c r="A87" s="534"/>
      <c r="B87" s="535"/>
      <c r="C87" s="535"/>
      <c r="D87" s="535"/>
      <c r="E87" s="535"/>
      <c r="F87" s="535"/>
      <c r="G87" s="535"/>
      <c r="H87" s="536"/>
      <c r="I87" s="535"/>
      <c r="J87" s="535"/>
      <c r="K87" s="536"/>
      <c r="L87" s="536"/>
      <c r="M87" s="536"/>
      <c r="N87" s="507"/>
      <c r="O87" s="507"/>
      <c r="S87" s="555"/>
      <c r="AA87" s="512"/>
      <c r="AB87" s="512"/>
      <c r="AC87" s="512"/>
      <c r="AD87" s="512"/>
      <c r="AE87" s="507"/>
      <c r="AF87" s="507"/>
      <c r="AG87" s="507"/>
      <c r="AH87" s="507"/>
      <c r="AI87" s="507"/>
      <c r="AJ87" s="507"/>
      <c r="AK87" s="507"/>
      <c r="AL87" s="507"/>
      <c r="AM87" s="507"/>
    </row>
    <row r="88" spans="1:39">
      <c r="A88" s="534"/>
      <c r="B88" s="535"/>
      <c r="C88" s="535"/>
      <c r="D88" s="535"/>
      <c r="E88" s="535"/>
      <c r="F88" s="535"/>
      <c r="G88" s="535"/>
      <c r="H88" s="536"/>
      <c r="I88" s="535"/>
      <c r="J88" s="535"/>
      <c r="K88" s="536"/>
      <c r="L88" s="536"/>
      <c r="M88" s="536"/>
      <c r="N88" s="507"/>
      <c r="O88" s="507"/>
      <c r="S88" s="555"/>
      <c r="AA88" s="512"/>
      <c r="AB88" s="512"/>
      <c r="AC88" s="512"/>
      <c r="AD88" s="512"/>
      <c r="AE88" s="507"/>
      <c r="AF88" s="507"/>
      <c r="AG88" s="507"/>
      <c r="AH88" s="507"/>
      <c r="AI88" s="507"/>
      <c r="AJ88" s="507"/>
      <c r="AK88" s="507"/>
      <c r="AL88" s="507"/>
      <c r="AM88" s="507"/>
    </row>
    <row r="89" spans="1:39">
      <c r="A89" s="534"/>
      <c r="B89" s="535"/>
      <c r="C89" s="535"/>
      <c r="D89" s="535"/>
      <c r="E89" s="535"/>
      <c r="F89" s="535"/>
      <c r="G89" s="535"/>
      <c r="H89" s="536"/>
      <c r="I89" s="535"/>
      <c r="J89" s="535"/>
      <c r="K89" s="536"/>
      <c r="L89" s="536"/>
      <c r="M89" s="536"/>
      <c r="N89" s="507"/>
      <c r="O89" s="507"/>
      <c r="S89" s="555"/>
      <c r="AA89" s="512"/>
      <c r="AB89" s="512"/>
      <c r="AC89" s="512"/>
      <c r="AD89" s="512"/>
      <c r="AE89" s="507"/>
      <c r="AF89" s="507"/>
      <c r="AG89" s="507"/>
      <c r="AH89" s="507"/>
      <c r="AI89" s="507"/>
      <c r="AJ89" s="507"/>
      <c r="AK89" s="507"/>
      <c r="AL89" s="507"/>
      <c r="AM89" s="507"/>
    </row>
    <row r="90" spans="1:39">
      <c r="A90" s="534"/>
      <c r="B90" s="535"/>
      <c r="C90" s="535"/>
      <c r="D90" s="535"/>
      <c r="E90" s="535"/>
      <c r="F90" s="535"/>
      <c r="G90" s="535"/>
      <c r="H90" s="536"/>
      <c r="I90" s="535"/>
      <c r="J90" s="535"/>
      <c r="K90" s="536"/>
      <c r="L90" s="536"/>
      <c r="M90" s="536"/>
      <c r="N90" s="507"/>
      <c r="O90" s="507"/>
      <c r="S90" s="555"/>
      <c r="AA90" s="512"/>
      <c r="AB90" s="512"/>
      <c r="AC90" s="512"/>
      <c r="AD90" s="512"/>
      <c r="AE90" s="507"/>
      <c r="AF90" s="507"/>
      <c r="AG90" s="507"/>
      <c r="AH90" s="507"/>
      <c r="AI90" s="507"/>
      <c r="AJ90" s="507"/>
      <c r="AK90" s="507"/>
      <c r="AL90" s="507"/>
      <c r="AM90" s="507"/>
    </row>
    <row r="91" spans="1:39">
      <c r="A91" s="534"/>
      <c r="B91" s="535"/>
      <c r="C91" s="535"/>
      <c r="D91" s="535"/>
      <c r="E91" s="535"/>
      <c r="F91" s="535"/>
      <c r="G91" s="535"/>
      <c r="H91" s="536"/>
      <c r="I91" s="535"/>
      <c r="J91" s="535"/>
      <c r="K91" s="536"/>
      <c r="L91" s="536"/>
      <c r="M91" s="536"/>
      <c r="N91" s="507"/>
      <c r="O91" s="507"/>
      <c r="S91" s="555"/>
      <c r="AA91" s="512"/>
      <c r="AB91" s="512"/>
      <c r="AC91" s="512"/>
      <c r="AD91" s="512"/>
      <c r="AE91" s="507"/>
      <c r="AF91" s="507"/>
      <c r="AG91" s="507"/>
      <c r="AH91" s="507"/>
      <c r="AI91" s="507"/>
      <c r="AJ91" s="507"/>
      <c r="AK91" s="507"/>
      <c r="AL91" s="507"/>
      <c r="AM91" s="507"/>
    </row>
    <row r="92" spans="1:39">
      <c r="A92" s="534"/>
      <c r="B92" s="535"/>
      <c r="C92" s="535"/>
      <c r="D92" s="535"/>
      <c r="E92" s="535"/>
      <c r="F92" s="535"/>
      <c r="G92" s="535"/>
      <c r="H92" s="536"/>
      <c r="I92" s="535"/>
      <c r="J92" s="535"/>
      <c r="K92" s="536"/>
      <c r="L92" s="536"/>
      <c r="M92" s="536"/>
      <c r="N92" s="507"/>
      <c r="O92" s="507"/>
      <c r="S92" s="555"/>
      <c r="AA92" s="512"/>
      <c r="AB92" s="512"/>
      <c r="AC92" s="512"/>
      <c r="AD92" s="512"/>
      <c r="AE92" s="507"/>
      <c r="AF92" s="507"/>
      <c r="AG92" s="507"/>
      <c r="AH92" s="507"/>
      <c r="AI92" s="507"/>
      <c r="AJ92" s="507"/>
      <c r="AK92" s="507"/>
      <c r="AL92" s="507"/>
      <c r="AM92" s="507"/>
    </row>
    <row r="93" spans="1:39">
      <c r="A93" s="534"/>
    </row>
    <row r="94" spans="1:39">
      <c r="A94" s="534"/>
    </row>
    <row r="95" spans="1:39">
      <c r="A95" s="534"/>
    </row>
    <row r="96" spans="1:39">
      <c r="A96" s="534"/>
    </row>
    <row r="97" spans="1:1">
      <c r="A97" s="534"/>
    </row>
    <row r="98" spans="1:1">
      <c r="A98" s="534"/>
    </row>
    <row r="99" spans="1:1">
      <c r="A99" s="534"/>
    </row>
    <row r="100" spans="1:1">
      <c r="A100" s="534"/>
    </row>
    <row r="101" spans="1:1">
      <c r="A101" s="534"/>
    </row>
    <row r="102" spans="1:1">
      <c r="A102" s="534"/>
    </row>
    <row r="103" spans="1:1">
      <c r="A103" s="534"/>
    </row>
    <row r="104" spans="1:1">
      <c r="A104" s="534"/>
    </row>
    <row r="105" spans="1:1">
      <c r="A105" s="534"/>
    </row>
    <row r="106" spans="1:1">
      <c r="A106" s="534"/>
    </row>
    <row r="107" spans="1:1">
      <c r="A107" s="534"/>
    </row>
    <row r="108" spans="1:1">
      <c r="A108" s="534"/>
    </row>
    <row r="109" spans="1:1">
      <c r="A109" s="534"/>
    </row>
    <row r="110" spans="1:1">
      <c r="A110" s="534"/>
    </row>
    <row r="111" spans="1:1">
      <c r="A111" s="534"/>
    </row>
    <row r="112" spans="1:1">
      <c r="A112" s="534"/>
    </row>
    <row r="113" spans="1:1">
      <c r="A113" s="534"/>
    </row>
    <row r="114" spans="1:1">
      <c r="A114" s="534"/>
    </row>
    <row r="115" spans="1:1">
      <c r="A115" s="534"/>
    </row>
    <row r="116" spans="1:1">
      <c r="A116" s="534"/>
    </row>
    <row r="117" spans="1:1">
      <c r="A117" s="534"/>
    </row>
    <row r="118" spans="1:1">
      <c r="A118" s="534"/>
    </row>
    <row r="119" spans="1:1">
      <c r="A119" s="534"/>
    </row>
    <row r="120" spans="1:1">
      <c r="A120" s="534"/>
    </row>
    <row r="121" spans="1:1">
      <c r="A121" s="534"/>
    </row>
    <row r="122" spans="1:1">
      <c r="A122" s="534"/>
    </row>
    <row r="123" spans="1:1">
      <c r="A123" s="534"/>
    </row>
    <row r="124" spans="1:1">
      <c r="A124" s="534"/>
    </row>
    <row r="125" spans="1:1">
      <c r="A125" s="534"/>
    </row>
    <row r="126" spans="1:1">
      <c r="A126" s="534"/>
    </row>
    <row r="127" spans="1:1">
      <c r="A127" s="534"/>
    </row>
    <row r="128" spans="1:1">
      <c r="A128" s="534"/>
    </row>
    <row r="129" spans="1:1">
      <c r="A129" s="534"/>
    </row>
    <row r="130" spans="1:1">
      <c r="A130" s="534"/>
    </row>
    <row r="131" spans="1:1">
      <c r="A131" s="534"/>
    </row>
    <row r="132" spans="1:1">
      <c r="A132" s="534"/>
    </row>
    <row r="133" spans="1:1">
      <c r="A133" s="534"/>
    </row>
    <row r="134" spans="1:1">
      <c r="A134" s="534"/>
    </row>
    <row r="135" spans="1:1">
      <c r="A135" s="534"/>
    </row>
    <row r="136" spans="1:1">
      <c r="A136" s="534"/>
    </row>
    <row r="137" spans="1:1">
      <c r="A137" s="534"/>
    </row>
    <row r="138" spans="1:1">
      <c r="A138" s="534"/>
    </row>
    <row r="139" spans="1:1">
      <c r="A139" s="534"/>
    </row>
    <row r="140" spans="1:1">
      <c r="A140" s="534"/>
    </row>
    <row r="141" spans="1:1">
      <c r="A141" s="534"/>
    </row>
    <row r="142" spans="1:1">
      <c r="A142" s="534"/>
    </row>
    <row r="143" spans="1:1">
      <c r="A143" s="534"/>
    </row>
    <row r="144" spans="1:1">
      <c r="A144" s="534"/>
    </row>
    <row r="145" spans="1:1">
      <c r="A145" s="534"/>
    </row>
    <row r="146" spans="1:1">
      <c r="A146" s="534"/>
    </row>
    <row r="147" spans="1:1">
      <c r="A147" s="534"/>
    </row>
    <row r="148" spans="1:1">
      <c r="A148" s="534"/>
    </row>
    <row r="149" spans="1:1">
      <c r="A149" s="534"/>
    </row>
    <row r="150" spans="1:1">
      <c r="A150" s="534"/>
    </row>
    <row r="151" spans="1:1">
      <c r="A151" s="534"/>
    </row>
    <row r="152" spans="1:1">
      <c r="A152" s="534"/>
    </row>
    <row r="153" spans="1:1">
      <c r="A153" s="534"/>
    </row>
    <row r="154" spans="1:1">
      <c r="A154" s="534"/>
    </row>
    <row r="155" spans="1:1">
      <c r="A155" s="534"/>
    </row>
    <row r="156" spans="1:1">
      <c r="A156" s="534"/>
    </row>
    <row r="157" spans="1:1">
      <c r="A157" s="534"/>
    </row>
    <row r="158" spans="1:1">
      <c r="A158" s="534"/>
    </row>
    <row r="159" spans="1:1">
      <c r="A159" s="534"/>
    </row>
    <row r="160" spans="1:1">
      <c r="A160" s="534"/>
    </row>
    <row r="161" spans="1:1">
      <c r="A161" s="534"/>
    </row>
    <row r="162" spans="1:1">
      <c r="A162" s="534"/>
    </row>
    <row r="163" spans="1:1">
      <c r="A163" s="534"/>
    </row>
    <row r="164" spans="1:1">
      <c r="A164" s="534"/>
    </row>
    <row r="165" spans="1:1">
      <c r="A165" s="534"/>
    </row>
    <row r="166" spans="1:1">
      <c r="A166" s="534"/>
    </row>
    <row r="167" spans="1:1">
      <c r="A167" s="534"/>
    </row>
    <row r="168" spans="1:1">
      <c r="A168" s="534"/>
    </row>
    <row r="169" spans="1:1">
      <c r="A169" s="534"/>
    </row>
    <row r="170" spans="1:1">
      <c r="A170" s="534"/>
    </row>
    <row r="171" spans="1:1">
      <c r="A171" s="534"/>
    </row>
    <row r="172" spans="1:1">
      <c r="A172" s="534"/>
    </row>
    <row r="173" spans="1:1">
      <c r="A173" s="534"/>
    </row>
    <row r="174" spans="1:1">
      <c r="A174" s="534"/>
    </row>
    <row r="175" spans="1:1">
      <c r="A175" s="534"/>
    </row>
    <row r="176" spans="1:1">
      <c r="A176" s="534"/>
    </row>
    <row r="177" spans="1:1">
      <c r="A177" s="534"/>
    </row>
    <row r="178" spans="1:1">
      <c r="A178" s="534"/>
    </row>
    <row r="179" spans="1:1">
      <c r="A179" s="534"/>
    </row>
    <row r="180" spans="1:1">
      <c r="A180" s="534"/>
    </row>
    <row r="181" spans="1:1">
      <c r="A181" s="534"/>
    </row>
    <row r="182" spans="1:1">
      <c r="A182" s="534"/>
    </row>
    <row r="183" spans="1:1">
      <c r="A183" s="534"/>
    </row>
    <row r="184" spans="1:1">
      <c r="A184" s="534"/>
    </row>
    <row r="185" spans="1:1">
      <c r="A185" s="534"/>
    </row>
    <row r="186" spans="1:1">
      <c r="A186" s="534"/>
    </row>
    <row r="187" spans="1:1">
      <c r="A187" s="534"/>
    </row>
    <row r="188" spans="1:1">
      <c r="A188" s="534"/>
    </row>
    <row r="189" spans="1:1">
      <c r="A189" s="534"/>
    </row>
    <row r="190" spans="1:1">
      <c r="A190" s="534"/>
    </row>
    <row r="191" spans="1:1">
      <c r="A191" s="534"/>
    </row>
    <row r="192" spans="1:1">
      <c r="A192" s="534"/>
    </row>
    <row r="193" spans="1:1">
      <c r="A193" s="534"/>
    </row>
    <row r="194" spans="1:1">
      <c r="A194" s="534"/>
    </row>
    <row r="195" spans="1:1">
      <c r="A195" s="534"/>
    </row>
    <row r="196" spans="1:1">
      <c r="A196" s="534"/>
    </row>
    <row r="197" spans="1:1">
      <c r="A197" s="534"/>
    </row>
    <row r="198" spans="1:1">
      <c r="A198" s="534"/>
    </row>
    <row r="199" spans="1:1">
      <c r="A199" s="534"/>
    </row>
    <row r="200" spans="1:1">
      <c r="A200" s="534"/>
    </row>
    <row r="201" spans="1:1">
      <c r="A201" s="534"/>
    </row>
    <row r="202" spans="1:1">
      <c r="A202" s="534"/>
    </row>
    <row r="203" spans="1:1">
      <c r="A203" s="534"/>
    </row>
    <row r="204" spans="1:1">
      <c r="A204" s="534"/>
    </row>
    <row r="205" spans="1:1">
      <c r="A205" s="534"/>
    </row>
    <row r="206" spans="1:1">
      <c r="A206" s="534"/>
    </row>
    <row r="207" spans="1:1">
      <c r="A207" s="534"/>
    </row>
    <row r="208" spans="1:1">
      <c r="A208" s="534"/>
    </row>
    <row r="209" spans="1:1">
      <c r="A209" s="534"/>
    </row>
    <row r="210" spans="1:1">
      <c r="A210" s="534"/>
    </row>
    <row r="211" spans="1:1">
      <c r="A211" s="534"/>
    </row>
    <row r="212" spans="1:1">
      <c r="A212" s="534"/>
    </row>
    <row r="213" spans="1:1">
      <c r="A213" s="534"/>
    </row>
    <row r="214" spans="1:1">
      <c r="A214" s="534"/>
    </row>
    <row r="215" spans="1:1">
      <c r="A215" s="534"/>
    </row>
    <row r="216" spans="1:1">
      <c r="A216" s="534"/>
    </row>
    <row r="217" spans="1:1">
      <c r="A217" s="534"/>
    </row>
    <row r="218" spans="1:1">
      <c r="A218" s="534"/>
    </row>
    <row r="219" spans="1:1">
      <c r="A219" s="534"/>
    </row>
    <row r="220" spans="1:1">
      <c r="A220" s="534"/>
    </row>
    <row r="221" spans="1:1">
      <c r="A221" s="534"/>
    </row>
    <row r="222" spans="1:1">
      <c r="A222" s="534"/>
    </row>
    <row r="223" spans="1:1">
      <c r="A223" s="534"/>
    </row>
    <row r="224" spans="1:1">
      <c r="A224" s="534"/>
    </row>
    <row r="225" spans="1:1">
      <c r="A225" s="534"/>
    </row>
    <row r="226" spans="1:1">
      <c r="A226" s="534"/>
    </row>
    <row r="227" spans="1:1">
      <c r="A227" s="534"/>
    </row>
    <row r="228" spans="1:1">
      <c r="A228" s="534"/>
    </row>
    <row r="229" spans="1:1">
      <c r="A229" s="534"/>
    </row>
    <row r="230" spans="1:1">
      <c r="A230" s="534"/>
    </row>
    <row r="231" spans="1:1">
      <c r="A231" s="534"/>
    </row>
    <row r="232" spans="1:1">
      <c r="A232" s="534"/>
    </row>
    <row r="233" spans="1:1">
      <c r="A233" s="534"/>
    </row>
    <row r="234" spans="1:1">
      <c r="A234" s="534"/>
    </row>
    <row r="235" spans="1:1">
      <c r="A235" s="534"/>
    </row>
    <row r="236" spans="1:1">
      <c r="A236" s="534"/>
    </row>
    <row r="237" spans="1:1">
      <c r="A237" s="534"/>
    </row>
    <row r="238" spans="1:1">
      <c r="A238" s="534"/>
    </row>
    <row r="239" spans="1:1">
      <c r="A239" s="534"/>
    </row>
    <row r="240" spans="1:1">
      <c r="A240" s="534"/>
    </row>
    <row r="241" spans="1:1">
      <c r="A241" s="534"/>
    </row>
    <row r="242" spans="1:1">
      <c r="A242" s="534"/>
    </row>
    <row r="243" spans="1:1">
      <c r="A243" s="534"/>
    </row>
    <row r="244" spans="1:1">
      <c r="A244" s="534"/>
    </row>
    <row r="245" spans="1:1">
      <c r="A245" s="534"/>
    </row>
    <row r="246" spans="1:1">
      <c r="A246" s="534"/>
    </row>
    <row r="247" spans="1:1">
      <c r="A247" s="534"/>
    </row>
    <row r="248" spans="1:1">
      <c r="A248" s="534"/>
    </row>
    <row r="249" spans="1:1">
      <c r="A249" s="534"/>
    </row>
    <row r="250" spans="1:1">
      <c r="A250" s="534"/>
    </row>
    <row r="251" spans="1:1">
      <c r="A251" s="534"/>
    </row>
    <row r="252" spans="1:1">
      <c r="A252" s="534"/>
    </row>
    <row r="253" spans="1:1">
      <c r="A253" s="534"/>
    </row>
    <row r="254" spans="1:1">
      <c r="A254" s="534"/>
    </row>
    <row r="255" spans="1:1">
      <c r="A255" s="534"/>
    </row>
    <row r="256" spans="1:1">
      <c r="A256" s="534"/>
    </row>
    <row r="257" spans="1:1">
      <c r="A257" s="534"/>
    </row>
    <row r="258" spans="1:1">
      <c r="A258" s="534"/>
    </row>
    <row r="259" spans="1:1">
      <c r="A259" s="534"/>
    </row>
    <row r="260" spans="1:1">
      <c r="A260" s="534"/>
    </row>
    <row r="261" spans="1:1">
      <c r="A261" s="534"/>
    </row>
    <row r="262" spans="1:1">
      <c r="A262" s="534"/>
    </row>
    <row r="263" spans="1:1">
      <c r="A263" s="534"/>
    </row>
    <row r="264" spans="1:1">
      <c r="A264" s="534"/>
    </row>
    <row r="265" spans="1:1">
      <c r="A265" s="534"/>
    </row>
    <row r="266" spans="1:1">
      <c r="A266" s="534"/>
    </row>
    <row r="267" spans="1:1">
      <c r="A267" s="534"/>
    </row>
    <row r="268" spans="1:1">
      <c r="A268" s="534"/>
    </row>
    <row r="269" spans="1:1">
      <c r="A269" s="534"/>
    </row>
    <row r="270" spans="1:1">
      <c r="A270" s="534"/>
    </row>
    <row r="271" spans="1:1">
      <c r="A271" s="534"/>
    </row>
    <row r="272" spans="1:1">
      <c r="A272" s="534"/>
    </row>
    <row r="273" spans="1:1">
      <c r="A273" s="534"/>
    </row>
    <row r="274" spans="1:1">
      <c r="A274" s="534"/>
    </row>
    <row r="275" spans="1:1">
      <c r="A275" s="534"/>
    </row>
    <row r="276" spans="1:1">
      <c r="A276" s="534"/>
    </row>
    <row r="277" spans="1:1">
      <c r="A277" s="534"/>
    </row>
    <row r="278" spans="1:1">
      <c r="A278" s="534"/>
    </row>
    <row r="279" spans="1:1">
      <c r="A279" s="534"/>
    </row>
    <row r="280" spans="1:1">
      <c r="A280" s="534"/>
    </row>
    <row r="281" spans="1:1">
      <c r="A281" s="534"/>
    </row>
    <row r="282" spans="1:1">
      <c r="A282" s="534"/>
    </row>
    <row r="283" spans="1:1">
      <c r="A283" s="534"/>
    </row>
    <row r="284" spans="1:1">
      <c r="A284" s="534"/>
    </row>
    <row r="285" spans="1:1">
      <c r="A285" s="534"/>
    </row>
    <row r="286" spans="1:1">
      <c r="A286" s="534"/>
    </row>
    <row r="287" spans="1:1">
      <c r="A287" s="534"/>
    </row>
    <row r="288" spans="1:1">
      <c r="A288" s="534"/>
    </row>
    <row r="289" spans="1:1">
      <c r="A289" s="534"/>
    </row>
    <row r="290" spans="1:1">
      <c r="A290" s="534"/>
    </row>
    <row r="291" spans="1:1">
      <c r="A291" s="534"/>
    </row>
    <row r="292" spans="1:1">
      <c r="A292" s="534"/>
    </row>
    <row r="293" spans="1:1">
      <c r="A293" s="534"/>
    </row>
    <row r="294" spans="1:1">
      <c r="A294" s="534"/>
    </row>
    <row r="295" spans="1:1">
      <c r="A295" s="534"/>
    </row>
    <row r="296" spans="1:1">
      <c r="A296" s="534"/>
    </row>
    <row r="297" spans="1:1">
      <c r="A297" s="534"/>
    </row>
    <row r="298" spans="1:1">
      <c r="A298" s="534"/>
    </row>
    <row r="299" spans="1:1">
      <c r="A299" s="534"/>
    </row>
    <row r="300" spans="1:1">
      <c r="A300" s="534"/>
    </row>
    <row r="301" spans="1:1">
      <c r="A301" s="534"/>
    </row>
    <row r="302" spans="1:1">
      <c r="A302" s="534"/>
    </row>
    <row r="303" spans="1:1">
      <c r="A303" s="534"/>
    </row>
    <row r="304" spans="1:1">
      <c r="A304" s="534"/>
    </row>
    <row r="305" spans="1:1">
      <c r="A305" s="534"/>
    </row>
    <row r="306" spans="1:1">
      <c r="A306" s="534"/>
    </row>
    <row r="307" spans="1:1">
      <c r="A307" s="534"/>
    </row>
    <row r="308" spans="1:1">
      <c r="A308" s="534"/>
    </row>
    <row r="309" spans="1:1">
      <c r="A309" s="534"/>
    </row>
    <row r="310" spans="1:1">
      <c r="A310" s="534"/>
    </row>
    <row r="311" spans="1:1">
      <c r="A311" s="534"/>
    </row>
    <row r="312" spans="1:1">
      <c r="A312" s="534"/>
    </row>
    <row r="313" spans="1:1">
      <c r="A313" s="534"/>
    </row>
    <row r="314" spans="1:1">
      <c r="A314" s="534"/>
    </row>
    <row r="315" spans="1:1">
      <c r="A315" s="534"/>
    </row>
    <row r="316" spans="1:1">
      <c r="A316" s="534"/>
    </row>
    <row r="317" spans="1:1">
      <c r="A317" s="534"/>
    </row>
    <row r="318" spans="1:1">
      <c r="A318" s="534"/>
    </row>
    <row r="319" spans="1:1">
      <c r="A319" s="534"/>
    </row>
    <row r="320" spans="1:1">
      <c r="A320" s="534"/>
    </row>
    <row r="321" spans="1:1">
      <c r="A321" s="534"/>
    </row>
    <row r="322" spans="1:1">
      <c r="A322" s="534"/>
    </row>
    <row r="323" spans="1:1">
      <c r="A323" s="534"/>
    </row>
    <row r="324" spans="1:1">
      <c r="A324" s="534"/>
    </row>
    <row r="325" spans="1:1">
      <c r="A325" s="534"/>
    </row>
    <row r="326" spans="1:1">
      <c r="A326" s="534"/>
    </row>
    <row r="327" spans="1:1">
      <c r="A327" s="534"/>
    </row>
    <row r="328" spans="1:1">
      <c r="A328" s="534"/>
    </row>
    <row r="329" spans="1:1">
      <c r="A329" s="534"/>
    </row>
    <row r="330" spans="1:1">
      <c r="A330" s="534"/>
    </row>
    <row r="331" spans="1:1">
      <c r="A331" s="534"/>
    </row>
    <row r="332" spans="1:1">
      <c r="A332" s="534"/>
    </row>
    <row r="333" spans="1:1">
      <c r="A333" s="534"/>
    </row>
    <row r="334" spans="1:1">
      <c r="A334" s="534"/>
    </row>
    <row r="335" spans="1:1">
      <c r="A335" s="534"/>
    </row>
    <row r="336" spans="1:1">
      <c r="A336" s="534"/>
    </row>
    <row r="337" spans="1:1">
      <c r="A337" s="534"/>
    </row>
    <row r="338" spans="1:1">
      <c r="A338" s="534"/>
    </row>
    <row r="339" spans="1:1">
      <c r="A339" s="534"/>
    </row>
    <row r="340" spans="1:1">
      <c r="A340" s="534"/>
    </row>
    <row r="341" spans="1:1">
      <c r="A341" s="534"/>
    </row>
    <row r="342" spans="1:1">
      <c r="A342" s="534"/>
    </row>
    <row r="343" spans="1:1">
      <c r="A343" s="534"/>
    </row>
    <row r="344" spans="1:1">
      <c r="A344" s="534"/>
    </row>
    <row r="345" spans="1:1">
      <c r="A345" s="534"/>
    </row>
    <row r="346" spans="1:1">
      <c r="A346" s="534"/>
    </row>
    <row r="347" spans="1:1">
      <c r="A347" s="534"/>
    </row>
    <row r="348" spans="1:1">
      <c r="A348" s="534"/>
    </row>
    <row r="349" spans="1:1">
      <c r="A349" s="534"/>
    </row>
    <row r="350" spans="1:1">
      <c r="A350" s="534"/>
    </row>
    <row r="351" spans="1:1">
      <c r="A351" s="534"/>
    </row>
    <row r="352" spans="1:1">
      <c r="A352" s="534"/>
    </row>
    <row r="353" spans="1:1">
      <c r="A353" s="534"/>
    </row>
    <row r="354" spans="1:1">
      <c r="A354" s="534"/>
    </row>
    <row r="355" spans="1:1">
      <c r="A355" s="534"/>
    </row>
    <row r="356" spans="1:1">
      <c r="A356" s="534"/>
    </row>
    <row r="357" spans="1:1">
      <c r="A357" s="534"/>
    </row>
    <row r="358" spans="1:1">
      <c r="A358" s="534"/>
    </row>
    <row r="359" spans="1:1">
      <c r="A359" s="534"/>
    </row>
    <row r="360" spans="1:1">
      <c r="A360" s="534"/>
    </row>
    <row r="361" spans="1:1">
      <c r="A361" s="534"/>
    </row>
    <row r="362" spans="1:1">
      <c r="A362" s="534"/>
    </row>
    <row r="363" spans="1:1">
      <c r="A363" s="534"/>
    </row>
    <row r="364" spans="1:1">
      <c r="A364" s="534"/>
    </row>
    <row r="365" spans="1:1">
      <c r="A365" s="534"/>
    </row>
    <row r="366" spans="1:1">
      <c r="A366" s="534"/>
    </row>
    <row r="367" spans="1:1">
      <c r="A367" s="534"/>
    </row>
    <row r="368" spans="1:1">
      <c r="A368" s="534"/>
    </row>
    <row r="369" spans="1:1">
      <c r="A369" s="534"/>
    </row>
    <row r="370" spans="1:1">
      <c r="A370" s="534"/>
    </row>
    <row r="371" spans="1:1">
      <c r="A371" s="534"/>
    </row>
    <row r="372" spans="1:1">
      <c r="A372" s="534"/>
    </row>
    <row r="373" spans="1:1">
      <c r="A373" s="534"/>
    </row>
    <row r="374" spans="1:1">
      <c r="A374" s="534"/>
    </row>
    <row r="375" spans="1:1">
      <c r="A375" s="534"/>
    </row>
    <row r="376" spans="1:1">
      <c r="A376" s="534"/>
    </row>
    <row r="377" spans="1:1">
      <c r="A377" s="534"/>
    </row>
    <row r="378" spans="1:1">
      <c r="A378" s="534"/>
    </row>
    <row r="379" spans="1:1">
      <c r="A379" s="534"/>
    </row>
    <row r="380" spans="1:1">
      <c r="A380" s="534"/>
    </row>
    <row r="381" spans="1:1">
      <c r="A381" s="534"/>
    </row>
    <row r="382" spans="1:1">
      <c r="A382" s="534"/>
    </row>
    <row r="383" spans="1:1">
      <c r="A383" s="534"/>
    </row>
    <row r="384" spans="1:1">
      <c r="A384" s="534"/>
    </row>
    <row r="385" spans="1:1">
      <c r="A385" s="534"/>
    </row>
    <row r="386" spans="1:1">
      <c r="A386" s="534"/>
    </row>
    <row r="387" spans="1:1">
      <c r="A387" s="534"/>
    </row>
    <row r="388" spans="1:1">
      <c r="A388" s="534"/>
    </row>
    <row r="389" spans="1:1">
      <c r="A389" s="534"/>
    </row>
    <row r="390" spans="1:1">
      <c r="A390" s="534"/>
    </row>
    <row r="391" spans="1:1">
      <c r="A391" s="534"/>
    </row>
    <row r="392" spans="1:1">
      <c r="A392" s="534"/>
    </row>
    <row r="393" spans="1:1">
      <c r="A393" s="534"/>
    </row>
    <row r="394" spans="1:1">
      <c r="A394" s="534"/>
    </row>
    <row r="395" spans="1:1">
      <c r="A395" s="534"/>
    </row>
    <row r="396" spans="1:1">
      <c r="A396" s="534"/>
    </row>
    <row r="397" spans="1:1">
      <c r="A397" s="534"/>
    </row>
    <row r="398" spans="1:1">
      <c r="A398" s="534"/>
    </row>
    <row r="399" spans="1:1">
      <c r="A399" s="534"/>
    </row>
    <row r="400" spans="1:1">
      <c r="A400" s="534"/>
    </row>
    <row r="401" spans="1:1">
      <c r="A401" s="534"/>
    </row>
    <row r="402" spans="1:1">
      <c r="A402" s="534"/>
    </row>
    <row r="403" spans="1:1">
      <c r="A403" s="534"/>
    </row>
    <row r="404" spans="1:1">
      <c r="A404" s="534"/>
    </row>
    <row r="405" spans="1:1">
      <c r="A405" s="534"/>
    </row>
    <row r="406" spans="1:1">
      <c r="A406" s="534"/>
    </row>
    <row r="407" spans="1:1">
      <c r="A407" s="534"/>
    </row>
    <row r="408" spans="1:1">
      <c r="A408" s="534"/>
    </row>
    <row r="409" spans="1:1">
      <c r="A409" s="534"/>
    </row>
    <row r="410" spans="1:1">
      <c r="A410" s="534"/>
    </row>
    <row r="411" spans="1:1">
      <c r="A411" s="534"/>
    </row>
    <row r="412" spans="1:1">
      <c r="A412" s="534"/>
    </row>
    <row r="413" spans="1:1">
      <c r="A413" s="534"/>
    </row>
    <row r="414" spans="1:1">
      <c r="A414" s="534"/>
    </row>
    <row r="415" spans="1:1">
      <c r="A415" s="534"/>
    </row>
    <row r="416" spans="1:1">
      <c r="A416" s="534"/>
    </row>
    <row r="417" spans="1:1">
      <c r="A417" s="534"/>
    </row>
    <row r="418" spans="1:1">
      <c r="A418" s="534"/>
    </row>
    <row r="419" spans="1:1">
      <c r="A419" s="534"/>
    </row>
    <row r="420" spans="1:1">
      <c r="A420" s="534"/>
    </row>
    <row r="421" spans="1:1">
      <c r="A421" s="534"/>
    </row>
    <row r="422" spans="1:1">
      <c r="A422" s="534"/>
    </row>
    <row r="423" spans="1:1">
      <c r="A423" s="534"/>
    </row>
    <row r="424" spans="1:1">
      <c r="A424" s="534"/>
    </row>
    <row r="425" spans="1:1">
      <c r="A425" s="534"/>
    </row>
    <row r="426" spans="1:1">
      <c r="A426" s="534"/>
    </row>
    <row r="427" spans="1:1">
      <c r="A427" s="534"/>
    </row>
    <row r="428" spans="1:1">
      <c r="A428" s="534"/>
    </row>
    <row r="429" spans="1:1">
      <c r="A429" s="534"/>
    </row>
    <row r="430" spans="1:1">
      <c r="A430" s="534"/>
    </row>
    <row r="431" spans="1:1">
      <c r="A431" s="534"/>
    </row>
    <row r="432" spans="1:1">
      <c r="A432" s="534"/>
    </row>
    <row r="433" spans="1:1">
      <c r="A433" s="534"/>
    </row>
    <row r="434" spans="1:1">
      <c r="A434" s="534"/>
    </row>
    <row r="435" spans="1:1">
      <c r="A435" s="534"/>
    </row>
    <row r="436" spans="1:1">
      <c r="A436" s="534"/>
    </row>
    <row r="437" spans="1:1">
      <c r="A437" s="534"/>
    </row>
    <row r="438" spans="1:1">
      <c r="A438" s="534"/>
    </row>
    <row r="439" spans="1:1">
      <c r="A439" s="534"/>
    </row>
    <row r="440" spans="1:1">
      <c r="A440" s="534"/>
    </row>
    <row r="441" spans="1:1">
      <c r="A441" s="534"/>
    </row>
    <row r="442" spans="1:1">
      <c r="A442" s="534"/>
    </row>
    <row r="443" spans="1:1">
      <c r="A443" s="534"/>
    </row>
    <row r="444" spans="1:1">
      <c r="A444" s="534"/>
    </row>
    <row r="445" spans="1:1">
      <c r="A445" s="534"/>
    </row>
    <row r="446" spans="1:1">
      <c r="A446" s="534"/>
    </row>
    <row r="447" spans="1:1">
      <c r="A447" s="534"/>
    </row>
    <row r="448" spans="1:1">
      <c r="A448" s="534"/>
    </row>
    <row r="449" spans="1:1">
      <c r="A449" s="534"/>
    </row>
    <row r="450" spans="1:1">
      <c r="A450" s="534"/>
    </row>
    <row r="451" spans="1:1">
      <c r="A451" s="534"/>
    </row>
    <row r="452" spans="1:1">
      <c r="A452" s="534"/>
    </row>
    <row r="453" spans="1:1">
      <c r="A453" s="534"/>
    </row>
    <row r="454" spans="1:1">
      <c r="A454" s="534"/>
    </row>
    <row r="455" spans="1:1">
      <c r="A455" s="534"/>
    </row>
    <row r="456" spans="1:1">
      <c r="A456" s="534"/>
    </row>
    <row r="457" spans="1:1">
      <c r="A457" s="534"/>
    </row>
    <row r="458" spans="1:1">
      <c r="A458" s="534"/>
    </row>
    <row r="459" spans="1:1">
      <c r="A459" s="534"/>
    </row>
    <row r="460" spans="1:1">
      <c r="A460" s="534"/>
    </row>
    <row r="461" spans="1:1">
      <c r="A461" s="534"/>
    </row>
    <row r="462" spans="1:1">
      <c r="A462" s="534"/>
    </row>
    <row r="463" spans="1:1">
      <c r="A463" s="534"/>
    </row>
    <row r="464" spans="1:1">
      <c r="A464" s="534"/>
    </row>
    <row r="465" spans="1:1">
      <c r="A465" s="534"/>
    </row>
    <row r="466" spans="1:1">
      <c r="A466" s="534"/>
    </row>
    <row r="467" spans="1:1">
      <c r="A467" s="534"/>
    </row>
    <row r="468" spans="1:1">
      <c r="A468" s="534"/>
    </row>
    <row r="469" spans="1:1">
      <c r="A469" s="534"/>
    </row>
    <row r="470" spans="1:1">
      <c r="A470" s="534"/>
    </row>
    <row r="471" spans="1:1">
      <c r="A471" s="534"/>
    </row>
    <row r="472" spans="1:1">
      <c r="A472" s="534"/>
    </row>
    <row r="473" spans="1:1">
      <c r="A473" s="534"/>
    </row>
    <row r="474" spans="1:1">
      <c r="A474" s="534"/>
    </row>
    <row r="475" spans="1:1">
      <c r="A475" s="534"/>
    </row>
    <row r="476" spans="1:1">
      <c r="A476" s="534"/>
    </row>
    <row r="477" spans="1:1">
      <c r="A477" s="534"/>
    </row>
    <row r="478" spans="1:1">
      <c r="A478" s="534"/>
    </row>
    <row r="479" spans="1:1">
      <c r="A479" s="534"/>
    </row>
    <row r="480" spans="1:1">
      <c r="A480" s="534"/>
    </row>
    <row r="481" spans="1:1">
      <c r="A481" s="534"/>
    </row>
    <row r="482" spans="1:1">
      <c r="A482" s="534"/>
    </row>
    <row r="483" spans="1:1">
      <c r="A483" s="534"/>
    </row>
    <row r="484" spans="1:1">
      <c r="A484" s="534"/>
    </row>
    <row r="485" spans="1:1">
      <c r="A485" s="534"/>
    </row>
    <row r="486" spans="1:1">
      <c r="A486" s="534"/>
    </row>
    <row r="487" spans="1:1">
      <c r="A487" s="534"/>
    </row>
    <row r="488" spans="1:1">
      <c r="A488" s="534"/>
    </row>
    <row r="489" spans="1:1">
      <c r="A489" s="534"/>
    </row>
    <row r="490" spans="1:1">
      <c r="A490" s="534"/>
    </row>
    <row r="491" spans="1:1">
      <c r="A491" s="534"/>
    </row>
    <row r="492" spans="1:1">
      <c r="A492" s="534"/>
    </row>
    <row r="493" spans="1:1">
      <c r="A493" s="534"/>
    </row>
    <row r="494" spans="1:1">
      <c r="A494" s="534"/>
    </row>
    <row r="495" spans="1:1">
      <c r="A495" s="534"/>
    </row>
    <row r="496" spans="1:1">
      <c r="A496" s="534"/>
    </row>
    <row r="497" spans="1:1">
      <c r="A497" s="534"/>
    </row>
    <row r="498" spans="1:1">
      <c r="A498" s="534"/>
    </row>
    <row r="499" spans="1:1">
      <c r="A499" s="534"/>
    </row>
    <row r="500" spans="1:1">
      <c r="A500" s="534"/>
    </row>
    <row r="501" spans="1:1">
      <c r="A501" s="534"/>
    </row>
    <row r="502" spans="1:1">
      <c r="A502" s="534"/>
    </row>
    <row r="503" spans="1:1">
      <c r="A503" s="534"/>
    </row>
    <row r="504" spans="1:1">
      <c r="A504" s="534"/>
    </row>
    <row r="505" spans="1:1">
      <c r="A505" s="534"/>
    </row>
    <row r="506" spans="1:1">
      <c r="A506" s="534"/>
    </row>
    <row r="507" spans="1:1">
      <c r="A507" s="534"/>
    </row>
    <row r="508" spans="1:1">
      <c r="A508" s="534"/>
    </row>
    <row r="509" spans="1:1">
      <c r="A509" s="534"/>
    </row>
    <row r="510" spans="1:1">
      <c r="A510" s="534"/>
    </row>
    <row r="511" spans="1:1">
      <c r="A511" s="534"/>
    </row>
    <row r="512" spans="1:1">
      <c r="A512" s="534"/>
    </row>
    <row r="513" spans="1:1">
      <c r="A513" s="534"/>
    </row>
    <row r="514" spans="1:1">
      <c r="A514" s="534"/>
    </row>
    <row r="515" spans="1:1">
      <c r="A515" s="534"/>
    </row>
    <row r="516" spans="1:1">
      <c r="A516" s="534"/>
    </row>
    <row r="517" spans="1:1">
      <c r="A517" s="534"/>
    </row>
    <row r="518" spans="1:1">
      <c r="A518" s="534"/>
    </row>
    <row r="519" spans="1:1">
      <c r="A519" s="534"/>
    </row>
    <row r="520" spans="1:1">
      <c r="A520" s="534"/>
    </row>
    <row r="521" spans="1:1">
      <c r="A521" s="534"/>
    </row>
    <row r="522" spans="1:1">
      <c r="A522" s="534"/>
    </row>
    <row r="523" spans="1:1">
      <c r="A523" s="534"/>
    </row>
    <row r="524" spans="1:1">
      <c r="A524" s="534"/>
    </row>
    <row r="525" spans="1:1">
      <c r="A525" s="534"/>
    </row>
    <row r="526" spans="1:1">
      <c r="A526" s="534"/>
    </row>
    <row r="527" spans="1:1">
      <c r="A527" s="534"/>
    </row>
    <row r="528" spans="1:1">
      <c r="A528" s="534"/>
    </row>
    <row r="529" spans="1:1">
      <c r="A529" s="534"/>
    </row>
    <row r="530" spans="1:1">
      <c r="A530" s="534"/>
    </row>
    <row r="531" spans="1:1">
      <c r="A531" s="534"/>
    </row>
    <row r="532" spans="1:1">
      <c r="A532" s="534"/>
    </row>
    <row r="533" spans="1:1">
      <c r="A533" s="534"/>
    </row>
    <row r="534" spans="1:1">
      <c r="A534" s="534"/>
    </row>
    <row r="535" spans="1:1">
      <c r="A535" s="534"/>
    </row>
    <row r="536" spans="1:1">
      <c r="A536" s="534"/>
    </row>
    <row r="537" spans="1:1">
      <c r="A537" s="534"/>
    </row>
    <row r="538" spans="1:1">
      <c r="A538" s="534"/>
    </row>
    <row r="539" spans="1:1">
      <c r="A539" s="534"/>
    </row>
    <row r="540" spans="1:1">
      <c r="A540" s="534"/>
    </row>
    <row r="541" spans="1:1">
      <c r="A541" s="534"/>
    </row>
    <row r="542" spans="1:1">
      <c r="A542" s="534"/>
    </row>
    <row r="543" spans="1:1">
      <c r="A543" s="534"/>
    </row>
    <row r="544" spans="1:1">
      <c r="A544" s="534"/>
    </row>
    <row r="545" spans="1:1">
      <c r="A545" s="534"/>
    </row>
    <row r="546" spans="1:1">
      <c r="A546" s="534"/>
    </row>
    <row r="547" spans="1:1">
      <c r="A547" s="534"/>
    </row>
    <row r="548" spans="1:1">
      <c r="A548" s="534"/>
    </row>
    <row r="549" spans="1:1">
      <c r="A549" s="534"/>
    </row>
    <row r="550" spans="1:1">
      <c r="A550" s="534"/>
    </row>
    <row r="551" spans="1:1">
      <c r="A551" s="534"/>
    </row>
    <row r="552" spans="1:1">
      <c r="A552" s="534"/>
    </row>
    <row r="553" spans="1:1">
      <c r="A553" s="534"/>
    </row>
    <row r="554" spans="1:1">
      <c r="A554" s="534"/>
    </row>
    <row r="555" spans="1:1">
      <c r="A555" s="534"/>
    </row>
    <row r="556" spans="1:1">
      <c r="A556" s="534"/>
    </row>
    <row r="557" spans="1:1">
      <c r="A557" s="534"/>
    </row>
    <row r="558" spans="1:1">
      <c r="A558" s="534"/>
    </row>
    <row r="559" spans="1:1">
      <c r="A559" s="534"/>
    </row>
    <row r="560" spans="1:1">
      <c r="A560" s="534"/>
    </row>
    <row r="561" spans="1:1">
      <c r="A561" s="534"/>
    </row>
    <row r="562" spans="1:1">
      <c r="A562" s="534"/>
    </row>
    <row r="563" spans="1:1">
      <c r="A563" s="534"/>
    </row>
    <row r="564" spans="1:1">
      <c r="A564" s="534"/>
    </row>
    <row r="565" spans="1:1">
      <c r="A565" s="534"/>
    </row>
    <row r="566" spans="1:1">
      <c r="A566" s="534"/>
    </row>
    <row r="567" spans="1:1">
      <c r="A567" s="534"/>
    </row>
    <row r="568" spans="1:1">
      <c r="A568" s="534"/>
    </row>
    <row r="569" spans="1:1">
      <c r="A569" s="534"/>
    </row>
    <row r="570" spans="1:1">
      <c r="A570" s="534"/>
    </row>
    <row r="571" spans="1:1">
      <c r="A571" s="534"/>
    </row>
    <row r="572" spans="1:1">
      <c r="A572" s="534"/>
    </row>
    <row r="573" spans="1:1">
      <c r="A573" s="534"/>
    </row>
    <row r="574" spans="1:1">
      <c r="A574" s="534"/>
    </row>
    <row r="575" spans="1:1">
      <c r="A575" s="534"/>
    </row>
    <row r="576" spans="1:1">
      <c r="A576" s="534"/>
    </row>
    <row r="577" spans="1:1">
      <c r="A577" s="534"/>
    </row>
    <row r="578" spans="1:1">
      <c r="A578" s="534"/>
    </row>
    <row r="579" spans="1:1">
      <c r="A579" s="534"/>
    </row>
    <row r="580" spans="1:1">
      <c r="A580" s="534"/>
    </row>
    <row r="581" spans="1:1">
      <c r="A581" s="534"/>
    </row>
    <row r="582" spans="1:1">
      <c r="A582" s="534"/>
    </row>
    <row r="583" spans="1:1">
      <c r="A583" s="534"/>
    </row>
    <row r="584" spans="1:1">
      <c r="A584" s="534"/>
    </row>
    <row r="585" spans="1:1">
      <c r="A585" s="534"/>
    </row>
    <row r="586" spans="1:1">
      <c r="A586" s="534"/>
    </row>
    <row r="587" spans="1:1">
      <c r="A587" s="534"/>
    </row>
    <row r="588" spans="1:1">
      <c r="A588" s="534"/>
    </row>
    <row r="589" spans="1:1">
      <c r="A589" s="534"/>
    </row>
    <row r="590" spans="1:1">
      <c r="A590" s="534"/>
    </row>
    <row r="591" spans="1:1">
      <c r="A591" s="534"/>
    </row>
    <row r="592" spans="1:1">
      <c r="A592" s="534"/>
    </row>
    <row r="593" spans="1:1">
      <c r="A593" s="534"/>
    </row>
    <row r="594" spans="1:1">
      <c r="A594" s="534"/>
    </row>
    <row r="595" spans="1:1">
      <c r="A595" s="534"/>
    </row>
    <row r="596" spans="1:1">
      <c r="A596" s="534"/>
    </row>
    <row r="597" spans="1:1">
      <c r="A597" s="534"/>
    </row>
    <row r="598" spans="1:1">
      <c r="A598" s="534"/>
    </row>
    <row r="599" spans="1:1">
      <c r="A599" s="534"/>
    </row>
    <row r="600" spans="1:1">
      <c r="A600" s="534"/>
    </row>
    <row r="601" spans="1:1">
      <c r="A601" s="534"/>
    </row>
    <row r="602" spans="1:1">
      <c r="A602" s="534"/>
    </row>
    <row r="603" spans="1:1">
      <c r="A603" s="534"/>
    </row>
    <row r="604" spans="1:1">
      <c r="A604" s="534"/>
    </row>
    <row r="605" spans="1:1">
      <c r="A605" s="534"/>
    </row>
    <row r="606" spans="1:1">
      <c r="A606" s="534"/>
    </row>
    <row r="607" spans="1:1">
      <c r="A607" s="534"/>
    </row>
    <row r="608" spans="1:1">
      <c r="A608" s="534"/>
    </row>
    <row r="609" spans="1:1">
      <c r="A609" s="534"/>
    </row>
    <row r="610" spans="1:1">
      <c r="A610" s="534"/>
    </row>
    <row r="611" spans="1:1">
      <c r="A611" s="534"/>
    </row>
    <row r="612" spans="1:1">
      <c r="A612" s="534"/>
    </row>
    <row r="613" spans="1:1">
      <c r="A613" s="534"/>
    </row>
    <row r="614" spans="1:1">
      <c r="A614" s="534"/>
    </row>
    <row r="615" spans="1:1">
      <c r="A615" s="534"/>
    </row>
    <row r="616" spans="1:1">
      <c r="A616" s="534"/>
    </row>
    <row r="617" spans="1:1">
      <c r="A617" s="534"/>
    </row>
    <row r="618" spans="1:1">
      <c r="A618" s="534"/>
    </row>
    <row r="619" spans="1:1">
      <c r="A619" s="534"/>
    </row>
    <row r="620" spans="1:1">
      <c r="A620" s="534"/>
    </row>
    <row r="621" spans="1:1">
      <c r="A621" s="534"/>
    </row>
    <row r="622" spans="1:1">
      <c r="A622" s="534"/>
    </row>
    <row r="623" spans="1:1">
      <c r="A623" s="534"/>
    </row>
    <row r="624" spans="1:1">
      <c r="A624" s="534"/>
    </row>
    <row r="625" spans="1:1">
      <c r="A625" s="534"/>
    </row>
    <row r="626" spans="1:1">
      <c r="A626" s="534"/>
    </row>
    <row r="627" spans="1:1">
      <c r="A627" s="534"/>
    </row>
    <row r="628" spans="1:1">
      <c r="A628" s="534"/>
    </row>
    <row r="629" spans="1:1">
      <c r="A629" s="534"/>
    </row>
    <row r="630" spans="1:1">
      <c r="A630" s="534"/>
    </row>
    <row r="631" spans="1:1">
      <c r="A631" s="534"/>
    </row>
    <row r="632" spans="1:1">
      <c r="A632" s="534"/>
    </row>
    <row r="633" spans="1:1">
      <c r="A633" s="534"/>
    </row>
    <row r="634" spans="1:1">
      <c r="A634" s="534"/>
    </row>
    <row r="635" spans="1:1">
      <c r="A635" s="534"/>
    </row>
    <row r="636" spans="1:1">
      <c r="A636" s="534"/>
    </row>
    <row r="637" spans="1:1">
      <c r="A637" s="534"/>
    </row>
    <row r="638" spans="1:1">
      <c r="A638" s="534"/>
    </row>
    <row r="639" spans="1:1">
      <c r="A639" s="534"/>
    </row>
    <row r="640" spans="1:1">
      <c r="A640" s="534"/>
    </row>
    <row r="641" spans="1:1">
      <c r="A641" s="534"/>
    </row>
    <row r="642" spans="1:1">
      <c r="A642" s="534"/>
    </row>
    <row r="643" spans="1:1">
      <c r="A643" s="534"/>
    </row>
    <row r="644" spans="1:1">
      <c r="A644" s="534"/>
    </row>
    <row r="645" spans="1:1">
      <c r="A645" s="534"/>
    </row>
    <row r="646" spans="1:1">
      <c r="A646" s="534"/>
    </row>
    <row r="647" spans="1:1">
      <c r="A647" s="534"/>
    </row>
    <row r="648" spans="1:1">
      <c r="A648" s="534"/>
    </row>
    <row r="649" spans="1:1">
      <c r="A649" s="534"/>
    </row>
    <row r="650" spans="1:1">
      <c r="A650" s="534"/>
    </row>
    <row r="651" spans="1:1">
      <c r="A651" s="534"/>
    </row>
    <row r="652" spans="1:1">
      <c r="A652" s="534"/>
    </row>
    <row r="653" spans="1:1">
      <c r="A653" s="534"/>
    </row>
    <row r="654" spans="1:1">
      <c r="A654" s="534"/>
    </row>
    <row r="655" spans="1:1">
      <c r="A655" s="534"/>
    </row>
    <row r="656" spans="1:1">
      <c r="A656" s="534"/>
    </row>
    <row r="657" spans="1:1">
      <c r="A657" s="534"/>
    </row>
    <row r="658" spans="1:1">
      <c r="A658" s="534"/>
    </row>
    <row r="659" spans="1:1">
      <c r="A659" s="534"/>
    </row>
    <row r="660" spans="1:1">
      <c r="A660" s="534"/>
    </row>
    <row r="661" spans="1:1">
      <c r="A661" s="534"/>
    </row>
    <row r="662" spans="1:1">
      <c r="A662" s="534"/>
    </row>
    <row r="663" spans="1:1">
      <c r="A663" s="534"/>
    </row>
    <row r="664" spans="1:1">
      <c r="A664" s="534"/>
    </row>
    <row r="665" spans="1:1">
      <c r="A665" s="534"/>
    </row>
    <row r="666" spans="1:1">
      <c r="A666" s="534"/>
    </row>
    <row r="667" spans="1:1">
      <c r="A667" s="534"/>
    </row>
    <row r="668" spans="1:1">
      <c r="A668" s="534"/>
    </row>
    <row r="669" spans="1:1">
      <c r="A669" s="534"/>
    </row>
    <row r="670" spans="1:1">
      <c r="A670" s="534"/>
    </row>
    <row r="671" spans="1:1">
      <c r="A671" s="534"/>
    </row>
    <row r="672" spans="1:1">
      <c r="A672" s="534"/>
    </row>
    <row r="673" spans="1:1">
      <c r="A673" s="534"/>
    </row>
    <row r="674" spans="1:1">
      <c r="A674" s="534"/>
    </row>
    <row r="675" spans="1:1">
      <c r="A675" s="534"/>
    </row>
    <row r="676" spans="1:1">
      <c r="A676" s="534"/>
    </row>
    <row r="677" spans="1:1">
      <c r="A677" s="534"/>
    </row>
    <row r="678" spans="1:1">
      <c r="A678" s="534"/>
    </row>
    <row r="679" spans="1:1">
      <c r="A679" s="534"/>
    </row>
    <row r="680" spans="1:1">
      <c r="A680" s="534"/>
    </row>
    <row r="681" spans="1:1">
      <c r="A681" s="534"/>
    </row>
    <row r="682" spans="1:1">
      <c r="A682" s="534"/>
    </row>
    <row r="683" spans="1:1">
      <c r="A683" s="534"/>
    </row>
    <row r="684" spans="1:1">
      <c r="A684" s="534"/>
    </row>
    <row r="685" spans="1:1">
      <c r="A685" s="534"/>
    </row>
    <row r="686" spans="1:1">
      <c r="A686" s="534"/>
    </row>
    <row r="687" spans="1:1">
      <c r="A687" s="534"/>
    </row>
    <row r="688" spans="1:1">
      <c r="A688" s="534"/>
    </row>
    <row r="689" spans="1:1">
      <c r="A689" s="534"/>
    </row>
    <row r="690" spans="1:1">
      <c r="A690" s="534"/>
    </row>
    <row r="691" spans="1:1">
      <c r="A691" s="534"/>
    </row>
    <row r="692" spans="1:1">
      <c r="A692" s="534"/>
    </row>
    <row r="693" spans="1:1">
      <c r="A693" s="534"/>
    </row>
    <row r="694" spans="1:1">
      <c r="A694" s="534"/>
    </row>
    <row r="695" spans="1:1">
      <c r="A695" s="534"/>
    </row>
    <row r="696" spans="1:1">
      <c r="A696" s="534"/>
    </row>
    <row r="697" spans="1:1">
      <c r="A697" s="534"/>
    </row>
    <row r="698" spans="1:1">
      <c r="A698" s="534"/>
    </row>
    <row r="699" spans="1:1">
      <c r="A699" s="534"/>
    </row>
    <row r="700" spans="1:1">
      <c r="A700" s="534"/>
    </row>
    <row r="701" spans="1:1">
      <c r="A701" s="534"/>
    </row>
    <row r="702" spans="1:1">
      <c r="A702" s="534"/>
    </row>
    <row r="703" spans="1:1">
      <c r="A703" s="534"/>
    </row>
    <row r="704" spans="1:1">
      <c r="A704" s="534"/>
    </row>
    <row r="705" spans="1:1">
      <c r="A705" s="534"/>
    </row>
    <row r="706" spans="1:1">
      <c r="A706" s="534"/>
    </row>
    <row r="707" spans="1:1">
      <c r="A707" s="534"/>
    </row>
    <row r="708" spans="1:1">
      <c r="A708" s="534"/>
    </row>
    <row r="709" spans="1:1">
      <c r="A709" s="534"/>
    </row>
    <row r="710" spans="1:1">
      <c r="A710" s="534"/>
    </row>
    <row r="711" spans="1:1">
      <c r="A711" s="534"/>
    </row>
    <row r="712" spans="1:1">
      <c r="A712" s="534"/>
    </row>
    <row r="713" spans="1:1">
      <c r="A713" s="534"/>
    </row>
    <row r="714" spans="1:1">
      <c r="A714" s="534"/>
    </row>
    <row r="715" spans="1:1">
      <c r="A715" s="534"/>
    </row>
    <row r="716" spans="1:1">
      <c r="A716" s="534"/>
    </row>
    <row r="717" spans="1:1">
      <c r="A717" s="534"/>
    </row>
    <row r="718" spans="1:1">
      <c r="A718" s="534"/>
    </row>
    <row r="719" spans="1:1">
      <c r="A719" s="534"/>
    </row>
    <row r="720" spans="1:1">
      <c r="A720" s="534"/>
    </row>
    <row r="721" spans="1:1">
      <c r="A721" s="534"/>
    </row>
    <row r="722" spans="1:1">
      <c r="A722" s="534"/>
    </row>
    <row r="723" spans="1:1">
      <c r="A723" s="534"/>
    </row>
    <row r="724" spans="1:1">
      <c r="A724" s="534"/>
    </row>
    <row r="725" spans="1:1">
      <c r="A725" s="534"/>
    </row>
    <row r="726" spans="1:1">
      <c r="A726" s="534"/>
    </row>
    <row r="727" spans="1:1">
      <c r="A727" s="534"/>
    </row>
    <row r="728" spans="1:1">
      <c r="A728" s="534"/>
    </row>
    <row r="729" spans="1:1">
      <c r="A729" s="534"/>
    </row>
    <row r="730" spans="1:1">
      <c r="A730" s="534"/>
    </row>
    <row r="731" spans="1:1">
      <c r="A731" s="534"/>
    </row>
    <row r="732" spans="1:1">
      <c r="A732" s="534"/>
    </row>
    <row r="733" spans="1:1">
      <c r="A733" s="534"/>
    </row>
    <row r="734" spans="1:1">
      <c r="A734" s="534"/>
    </row>
    <row r="735" spans="1:1">
      <c r="A735" s="534"/>
    </row>
    <row r="736" spans="1:1">
      <c r="A736" s="534"/>
    </row>
    <row r="737" spans="1:1">
      <c r="A737" s="534"/>
    </row>
    <row r="738" spans="1:1">
      <c r="A738" s="534"/>
    </row>
    <row r="739" spans="1:1">
      <c r="A739" s="534"/>
    </row>
    <row r="740" spans="1:1">
      <c r="A740" s="534"/>
    </row>
    <row r="741" spans="1:1">
      <c r="A741" s="534"/>
    </row>
    <row r="742" spans="1:1">
      <c r="A742" s="534"/>
    </row>
    <row r="743" spans="1:1">
      <c r="A743" s="534"/>
    </row>
    <row r="744" spans="1:1">
      <c r="A744" s="534"/>
    </row>
    <row r="745" spans="1:1">
      <c r="A745" s="534"/>
    </row>
    <row r="746" spans="1:1">
      <c r="A746" s="534"/>
    </row>
    <row r="747" spans="1:1">
      <c r="A747" s="534"/>
    </row>
    <row r="748" spans="1:1">
      <c r="A748" s="534"/>
    </row>
    <row r="749" spans="1:1">
      <c r="A749" s="534"/>
    </row>
    <row r="750" spans="1:1">
      <c r="A750" s="534"/>
    </row>
    <row r="751" spans="1:1">
      <c r="A751" s="534"/>
    </row>
    <row r="752" spans="1:1">
      <c r="A752" s="534"/>
    </row>
    <row r="753" spans="1:1">
      <c r="A753" s="534"/>
    </row>
    <row r="754" spans="1:1">
      <c r="A754" s="534"/>
    </row>
    <row r="755" spans="1:1">
      <c r="A755" s="534"/>
    </row>
    <row r="756" spans="1:1">
      <c r="A756" s="534"/>
    </row>
    <row r="757" spans="1:1">
      <c r="A757" s="534"/>
    </row>
    <row r="758" spans="1:1">
      <c r="A758" s="534"/>
    </row>
    <row r="759" spans="1:1">
      <c r="A759" s="534"/>
    </row>
    <row r="760" spans="1:1">
      <c r="A760" s="534"/>
    </row>
    <row r="761" spans="1:1">
      <c r="A761" s="534"/>
    </row>
    <row r="762" spans="1:1">
      <c r="A762" s="534"/>
    </row>
    <row r="763" spans="1:1">
      <c r="A763" s="534"/>
    </row>
    <row r="764" spans="1:1">
      <c r="A764" s="534"/>
    </row>
    <row r="765" spans="1:1">
      <c r="A765" s="534"/>
    </row>
    <row r="766" spans="1:1">
      <c r="A766" s="534"/>
    </row>
    <row r="767" spans="1:1">
      <c r="A767" s="534"/>
    </row>
    <row r="768" spans="1:1">
      <c r="A768" s="534"/>
    </row>
    <row r="769" spans="1:1">
      <c r="A769" s="534"/>
    </row>
    <row r="770" spans="1:1">
      <c r="A770" s="534"/>
    </row>
    <row r="771" spans="1:1">
      <c r="A771" s="534"/>
    </row>
    <row r="772" spans="1:1">
      <c r="A772" s="534"/>
    </row>
    <row r="773" spans="1:1">
      <c r="A773" s="534"/>
    </row>
    <row r="774" spans="1:1">
      <c r="A774" s="534"/>
    </row>
    <row r="775" spans="1:1">
      <c r="A775" s="534"/>
    </row>
    <row r="776" spans="1:1">
      <c r="A776" s="534"/>
    </row>
    <row r="777" spans="1:1">
      <c r="A777" s="534"/>
    </row>
    <row r="778" spans="1:1">
      <c r="A778" s="534"/>
    </row>
    <row r="779" spans="1:1">
      <c r="A779" s="534"/>
    </row>
    <row r="780" spans="1:1">
      <c r="A780" s="534"/>
    </row>
    <row r="781" spans="1:1">
      <c r="A781" s="534"/>
    </row>
    <row r="782" spans="1:1">
      <c r="A782" s="534"/>
    </row>
    <row r="783" spans="1:1">
      <c r="A783" s="534"/>
    </row>
    <row r="784" spans="1:1">
      <c r="A784" s="534"/>
    </row>
    <row r="785" spans="1:1">
      <c r="A785" s="534"/>
    </row>
    <row r="786" spans="1:1">
      <c r="A786" s="534"/>
    </row>
    <row r="787" spans="1:1">
      <c r="A787" s="534"/>
    </row>
    <row r="788" spans="1:1">
      <c r="A788" s="534"/>
    </row>
    <row r="789" spans="1:1">
      <c r="A789" s="534"/>
    </row>
    <row r="790" spans="1:1">
      <c r="A790" s="534"/>
    </row>
    <row r="791" spans="1:1">
      <c r="A791" s="534"/>
    </row>
    <row r="792" spans="1:1">
      <c r="A792" s="534"/>
    </row>
    <row r="793" spans="1:1">
      <c r="A793" s="534"/>
    </row>
    <row r="794" spans="1:1">
      <c r="A794" s="534"/>
    </row>
    <row r="795" spans="1:1">
      <c r="A795" s="534"/>
    </row>
    <row r="796" spans="1:1">
      <c r="A796" s="534"/>
    </row>
    <row r="797" spans="1:1">
      <c r="A797" s="534"/>
    </row>
    <row r="798" spans="1:1">
      <c r="A798" s="534"/>
    </row>
    <row r="799" spans="1:1">
      <c r="A799" s="534"/>
    </row>
    <row r="800" spans="1:1">
      <c r="A800" s="534"/>
    </row>
    <row r="801" spans="1:1">
      <c r="A801" s="534"/>
    </row>
    <row r="802" spans="1:1">
      <c r="A802" s="534"/>
    </row>
    <row r="803" spans="1:1">
      <c r="A803" s="534"/>
    </row>
    <row r="804" spans="1:1">
      <c r="A804" s="534"/>
    </row>
    <row r="805" spans="1:1">
      <c r="A805" s="534"/>
    </row>
    <row r="806" spans="1:1">
      <c r="A806" s="534"/>
    </row>
    <row r="807" spans="1:1">
      <c r="A807" s="534"/>
    </row>
    <row r="808" spans="1:1">
      <c r="A808" s="534"/>
    </row>
    <row r="809" spans="1:1">
      <c r="A809" s="534"/>
    </row>
    <row r="810" spans="1:1">
      <c r="A810" s="534"/>
    </row>
    <row r="811" spans="1:1">
      <c r="A811" s="534"/>
    </row>
    <row r="812" spans="1:1">
      <c r="A812" s="534"/>
    </row>
    <row r="813" spans="1:1">
      <c r="A813" s="534"/>
    </row>
    <row r="814" spans="1:1">
      <c r="A814" s="534"/>
    </row>
    <row r="815" spans="1:1">
      <c r="A815" s="534"/>
    </row>
    <row r="816" spans="1:1">
      <c r="A816" s="534"/>
    </row>
    <row r="817" spans="1:1">
      <c r="A817" s="534"/>
    </row>
    <row r="818" spans="1:1">
      <c r="A818" s="534"/>
    </row>
    <row r="819" spans="1:1">
      <c r="A819" s="534"/>
    </row>
    <row r="820" spans="1:1">
      <c r="A820" s="534"/>
    </row>
    <row r="821" spans="1:1">
      <c r="A821" s="534"/>
    </row>
    <row r="822" spans="1:1">
      <c r="A822" s="534"/>
    </row>
    <row r="823" spans="1:1">
      <c r="A823" s="534"/>
    </row>
    <row r="824" spans="1:1">
      <c r="A824" s="534"/>
    </row>
    <row r="825" spans="1:1">
      <c r="A825" s="534"/>
    </row>
    <row r="826" spans="1:1">
      <c r="A826" s="534"/>
    </row>
    <row r="827" spans="1:1">
      <c r="A827" s="534"/>
    </row>
    <row r="828" spans="1:1">
      <c r="A828" s="534"/>
    </row>
    <row r="829" spans="1:1">
      <c r="A829" s="534"/>
    </row>
    <row r="830" spans="1:1">
      <c r="A830" s="534"/>
    </row>
    <row r="831" spans="1:1">
      <c r="A831" s="534"/>
    </row>
    <row r="832" spans="1:1">
      <c r="A832" s="534"/>
    </row>
    <row r="833" spans="1:1">
      <c r="A833" s="534"/>
    </row>
    <row r="834" spans="1:1">
      <c r="A834" s="534"/>
    </row>
    <row r="835" spans="1:1">
      <c r="A835" s="534"/>
    </row>
    <row r="836" spans="1:1">
      <c r="A836" s="534"/>
    </row>
    <row r="837" spans="1:1">
      <c r="A837" s="534"/>
    </row>
    <row r="838" spans="1:1">
      <c r="A838" s="534"/>
    </row>
    <row r="839" spans="1:1">
      <c r="A839" s="534"/>
    </row>
    <row r="840" spans="1:1">
      <c r="A840" s="534"/>
    </row>
    <row r="841" spans="1:1">
      <c r="A841" s="534"/>
    </row>
    <row r="842" spans="1:1">
      <c r="A842" s="534"/>
    </row>
    <row r="843" spans="1:1">
      <c r="A843" s="534"/>
    </row>
    <row r="844" spans="1:1">
      <c r="A844" s="534"/>
    </row>
    <row r="845" spans="1:1">
      <c r="A845" s="534"/>
    </row>
    <row r="846" spans="1:1">
      <c r="A846" s="534"/>
    </row>
    <row r="847" spans="1:1">
      <c r="A847" s="534"/>
    </row>
    <row r="848" spans="1:1">
      <c r="A848" s="534"/>
    </row>
    <row r="849" spans="1:1">
      <c r="A849" s="534"/>
    </row>
    <row r="850" spans="1:1">
      <c r="A850" s="534"/>
    </row>
    <row r="851" spans="1:1">
      <c r="A851" s="534"/>
    </row>
    <row r="852" spans="1:1">
      <c r="A852" s="534"/>
    </row>
    <row r="853" spans="1:1">
      <c r="A853" s="534"/>
    </row>
    <row r="854" spans="1:1">
      <c r="A854" s="534"/>
    </row>
    <row r="855" spans="1:1">
      <c r="A855" s="534"/>
    </row>
    <row r="856" spans="1:1">
      <c r="A856" s="534"/>
    </row>
    <row r="857" spans="1:1">
      <c r="A857" s="534"/>
    </row>
    <row r="858" spans="1:1">
      <c r="A858" s="534"/>
    </row>
    <row r="859" spans="1:1">
      <c r="A859" s="534"/>
    </row>
    <row r="860" spans="1:1">
      <c r="A860" s="534"/>
    </row>
    <row r="861" spans="1:1">
      <c r="A861" s="534"/>
    </row>
    <row r="862" spans="1:1">
      <c r="A862" s="534"/>
    </row>
    <row r="863" spans="1:1">
      <c r="A863" s="534"/>
    </row>
    <row r="864" spans="1:1">
      <c r="A864" s="534"/>
    </row>
    <row r="865" spans="1:1">
      <c r="A865" s="534"/>
    </row>
    <row r="866" spans="1:1">
      <c r="A866" s="534"/>
    </row>
    <row r="867" spans="1:1">
      <c r="A867" s="534"/>
    </row>
    <row r="868" spans="1:1">
      <c r="A868" s="534"/>
    </row>
    <row r="869" spans="1:1">
      <c r="A869" s="534"/>
    </row>
    <row r="870" spans="1:1">
      <c r="A870" s="534"/>
    </row>
    <row r="871" spans="1:1">
      <c r="A871" s="534"/>
    </row>
    <row r="872" spans="1:1">
      <c r="A872" s="534"/>
    </row>
    <row r="873" spans="1:1">
      <c r="A873" s="534"/>
    </row>
    <row r="874" spans="1:1">
      <c r="A874" s="534"/>
    </row>
    <row r="875" spans="1:1">
      <c r="A875" s="534"/>
    </row>
    <row r="876" spans="1:1">
      <c r="A876" s="534"/>
    </row>
    <row r="877" spans="1:1">
      <c r="A877" s="534"/>
    </row>
    <row r="878" spans="1:1">
      <c r="A878" s="534"/>
    </row>
    <row r="879" spans="1:1">
      <c r="A879" s="534"/>
    </row>
    <row r="880" spans="1:1">
      <c r="A880" s="534"/>
    </row>
    <row r="881" spans="1:1">
      <c r="A881" s="534"/>
    </row>
    <row r="882" spans="1:1">
      <c r="A882" s="534"/>
    </row>
    <row r="883" spans="1:1">
      <c r="A883" s="534"/>
    </row>
    <row r="884" spans="1:1">
      <c r="A884" s="534"/>
    </row>
    <row r="885" spans="1:1">
      <c r="A885" s="534"/>
    </row>
    <row r="886" spans="1:1">
      <c r="A886" s="534"/>
    </row>
    <row r="887" spans="1:1">
      <c r="A887" s="534"/>
    </row>
    <row r="888" spans="1:1">
      <c r="A888" s="534"/>
    </row>
    <row r="889" spans="1:1">
      <c r="A889" s="534"/>
    </row>
    <row r="890" spans="1:1">
      <c r="A890" s="534"/>
    </row>
    <row r="891" spans="1:1">
      <c r="A891" s="534"/>
    </row>
    <row r="892" spans="1:1">
      <c r="A892" s="534"/>
    </row>
    <row r="893" spans="1:1">
      <c r="A893" s="534"/>
    </row>
    <row r="894" spans="1:1">
      <c r="A894" s="534"/>
    </row>
    <row r="895" spans="1:1">
      <c r="A895" s="534"/>
    </row>
    <row r="896" spans="1:1">
      <c r="A896" s="534"/>
    </row>
    <row r="897" spans="1:1">
      <c r="A897" s="534"/>
    </row>
    <row r="898" spans="1:1">
      <c r="A898" s="534"/>
    </row>
    <row r="899" spans="1:1">
      <c r="A899" s="534"/>
    </row>
    <row r="900" spans="1:1">
      <c r="A900" s="534"/>
    </row>
    <row r="901" spans="1:1">
      <c r="A901" s="534"/>
    </row>
    <row r="902" spans="1:1">
      <c r="A902" s="534"/>
    </row>
    <row r="903" spans="1:1">
      <c r="A903" s="534"/>
    </row>
    <row r="904" spans="1:1">
      <c r="A904" s="534"/>
    </row>
    <row r="905" spans="1:1">
      <c r="A905" s="534"/>
    </row>
    <row r="906" spans="1:1">
      <c r="A906" s="534"/>
    </row>
    <row r="907" spans="1:1">
      <c r="A907" s="534"/>
    </row>
    <row r="908" spans="1:1">
      <c r="A908" s="534"/>
    </row>
    <row r="909" spans="1:1">
      <c r="A909" s="534"/>
    </row>
    <row r="910" spans="1:1">
      <c r="A910" s="534"/>
    </row>
    <row r="911" spans="1:1">
      <c r="A911" s="534"/>
    </row>
    <row r="912" spans="1:1">
      <c r="A912" s="534"/>
    </row>
    <row r="913" spans="1:1">
      <c r="A913" s="534"/>
    </row>
    <row r="914" spans="1:1">
      <c r="A914" s="534"/>
    </row>
    <row r="915" spans="1:1">
      <c r="A915" s="534"/>
    </row>
    <row r="916" spans="1:1">
      <c r="A916" s="534"/>
    </row>
    <row r="917" spans="1:1">
      <c r="A917" s="534"/>
    </row>
    <row r="918" spans="1:1">
      <c r="A918" s="534"/>
    </row>
    <row r="919" spans="1:1">
      <c r="A919" s="534"/>
    </row>
    <row r="920" spans="1:1">
      <c r="A920" s="534"/>
    </row>
    <row r="921" spans="1:1">
      <c r="A921" s="534"/>
    </row>
    <row r="922" spans="1:1">
      <c r="A922" s="534"/>
    </row>
    <row r="923" spans="1:1">
      <c r="A923" s="534"/>
    </row>
    <row r="924" spans="1:1">
      <c r="A924" s="534"/>
    </row>
    <row r="925" spans="1:1">
      <c r="A925" s="534"/>
    </row>
    <row r="926" spans="1:1">
      <c r="A926" s="534"/>
    </row>
    <row r="927" spans="1:1">
      <c r="A927" s="534"/>
    </row>
    <row r="928" spans="1:1">
      <c r="A928" s="534"/>
    </row>
    <row r="929" spans="1:1">
      <c r="A929" s="534"/>
    </row>
    <row r="930" spans="1:1">
      <c r="A930" s="534"/>
    </row>
    <row r="931" spans="1:1">
      <c r="A931" s="534"/>
    </row>
    <row r="932" spans="1:1">
      <c r="A932" s="534"/>
    </row>
    <row r="933" spans="1:1">
      <c r="A933" s="534"/>
    </row>
    <row r="934" spans="1:1">
      <c r="A934" s="534"/>
    </row>
    <row r="935" spans="1:1">
      <c r="A935" s="534"/>
    </row>
    <row r="936" spans="1:1">
      <c r="A936" s="534"/>
    </row>
    <row r="937" spans="1:1">
      <c r="A937" s="534"/>
    </row>
    <row r="938" spans="1:1">
      <c r="A938" s="534"/>
    </row>
    <row r="939" spans="1:1">
      <c r="A939" s="534"/>
    </row>
    <row r="940" spans="1:1">
      <c r="A940" s="534"/>
    </row>
    <row r="941" spans="1:1">
      <c r="A941" s="534"/>
    </row>
    <row r="942" spans="1:1">
      <c r="A942" s="534"/>
    </row>
    <row r="943" spans="1:1">
      <c r="A943" s="534"/>
    </row>
    <row r="944" spans="1:1">
      <c r="A944" s="534"/>
    </row>
    <row r="945" spans="1:1">
      <c r="A945" s="534"/>
    </row>
    <row r="946" spans="1:1">
      <c r="A946" s="534"/>
    </row>
    <row r="947" spans="1:1">
      <c r="A947" s="534"/>
    </row>
    <row r="948" spans="1:1">
      <c r="A948" s="534"/>
    </row>
    <row r="949" spans="1:1">
      <c r="A949" s="534"/>
    </row>
    <row r="950" spans="1:1">
      <c r="A950" s="534"/>
    </row>
    <row r="951" spans="1:1">
      <c r="A951" s="534"/>
    </row>
    <row r="952" spans="1:1">
      <c r="A952" s="534"/>
    </row>
    <row r="953" spans="1:1">
      <c r="A953" s="534"/>
    </row>
    <row r="954" spans="1:1">
      <c r="A954" s="534"/>
    </row>
    <row r="955" spans="1:1">
      <c r="A955" s="534"/>
    </row>
    <row r="956" spans="1:1">
      <c r="A956" s="534"/>
    </row>
    <row r="957" spans="1:1">
      <c r="A957" s="534"/>
    </row>
    <row r="958" spans="1:1">
      <c r="A958" s="534"/>
    </row>
    <row r="959" spans="1:1">
      <c r="A959" s="534"/>
    </row>
    <row r="960" spans="1:1">
      <c r="A960" s="534"/>
    </row>
    <row r="961" spans="1:1">
      <c r="A961" s="534"/>
    </row>
    <row r="962" spans="1:1">
      <c r="A962" s="534"/>
    </row>
    <row r="963" spans="1:1">
      <c r="A963" s="534"/>
    </row>
    <row r="964" spans="1:1">
      <c r="A964" s="534"/>
    </row>
    <row r="965" spans="1:1">
      <c r="A965" s="534"/>
    </row>
    <row r="966" spans="1:1">
      <c r="A966" s="534"/>
    </row>
    <row r="967" spans="1:1">
      <c r="A967" s="534"/>
    </row>
    <row r="968" spans="1:1">
      <c r="A968" s="534"/>
    </row>
    <row r="969" spans="1:1">
      <c r="A969" s="534"/>
    </row>
    <row r="970" spans="1:1">
      <c r="A970" s="534"/>
    </row>
    <row r="971" spans="1:1">
      <c r="A971" s="534"/>
    </row>
    <row r="972" spans="1:1">
      <c r="A972" s="534"/>
    </row>
    <row r="973" spans="1:1">
      <c r="A973" s="534"/>
    </row>
    <row r="974" spans="1:1">
      <c r="A974" s="534"/>
    </row>
    <row r="975" spans="1:1">
      <c r="A975" s="534"/>
    </row>
    <row r="976" spans="1:1">
      <c r="A976" s="534"/>
    </row>
    <row r="977" spans="1:1">
      <c r="A977" s="534"/>
    </row>
    <row r="978" spans="1:1">
      <c r="A978" s="534"/>
    </row>
    <row r="979" spans="1:1">
      <c r="A979" s="534"/>
    </row>
    <row r="980" spans="1:1">
      <c r="A980" s="534"/>
    </row>
    <row r="981" spans="1:1">
      <c r="A981" s="534"/>
    </row>
    <row r="982" spans="1:1">
      <c r="A982" s="534"/>
    </row>
    <row r="983" spans="1:1">
      <c r="A983" s="534"/>
    </row>
    <row r="984" spans="1:1">
      <c r="A984" s="534"/>
    </row>
    <row r="985" spans="1:1">
      <c r="A985" s="534"/>
    </row>
    <row r="986" spans="1:1">
      <c r="A986" s="534"/>
    </row>
    <row r="987" spans="1:1">
      <c r="A987" s="534"/>
    </row>
    <row r="988" spans="1:1">
      <c r="A988" s="534"/>
    </row>
    <row r="989" spans="1:1">
      <c r="A989" s="534"/>
    </row>
    <row r="990" spans="1:1">
      <c r="A990" s="534"/>
    </row>
    <row r="991" spans="1:1">
      <c r="A991" s="534"/>
    </row>
    <row r="992" spans="1:1">
      <c r="A992" s="534"/>
    </row>
    <row r="993" spans="1:1">
      <c r="A993" s="534"/>
    </row>
    <row r="994" spans="1:1">
      <c r="A994" s="534"/>
    </row>
    <row r="995" spans="1:1">
      <c r="A995" s="534"/>
    </row>
    <row r="996" spans="1:1">
      <c r="A996" s="534"/>
    </row>
    <row r="997" spans="1:1">
      <c r="A997" s="534"/>
    </row>
    <row r="998" spans="1:1">
      <c r="A998" s="534"/>
    </row>
    <row r="999" spans="1:1">
      <c r="A999" s="534"/>
    </row>
    <row r="1000" spans="1:1">
      <c r="A1000" s="534"/>
    </row>
    <row r="1001" spans="1:1">
      <c r="A1001" s="534"/>
    </row>
    <row r="1002" spans="1:1">
      <c r="A1002" s="534"/>
    </row>
    <row r="1003" spans="1:1">
      <c r="A1003" s="534"/>
    </row>
    <row r="1004" spans="1:1">
      <c r="A1004" s="534"/>
    </row>
    <row r="1005" spans="1:1">
      <c r="A1005" s="534"/>
    </row>
    <row r="1006" spans="1:1">
      <c r="A1006" s="534"/>
    </row>
    <row r="1007" spans="1:1">
      <c r="A1007" s="534"/>
    </row>
    <row r="1008" spans="1:1">
      <c r="A1008" s="534"/>
    </row>
    <row r="1009" spans="1:1">
      <c r="A1009" s="534"/>
    </row>
    <row r="1010" spans="1:1">
      <c r="A1010" s="534"/>
    </row>
    <row r="1011" spans="1:1">
      <c r="A1011" s="534"/>
    </row>
    <row r="1012" spans="1:1">
      <c r="A1012" s="534"/>
    </row>
    <row r="1013" spans="1:1">
      <c r="A1013" s="534"/>
    </row>
    <row r="1014" spans="1:1">
      <c r="A1014" s="534"/>
    </row>
    <row r="1015" spans="1:1">
      <c r="A1015" s="534"/>
    </row>
    <row r="1016" spans="1:1">
      <c r="A1016" s="534"/>
    </row>
    <row r="1017" spans="1:1">
      <c r="A1017" s="534"/>
    </row>
    <row r="1018" spans="1:1">
      <c r="A1018" s="534"/>
    </row>
    <row r="1019" spans="1:1">
      <c r="A1019" s="534"/>
    </row>
    <row r="1020" spans="1:1">
      <c r="A1020" s="534"/>
    </row>
    <row r="1021" spans="1:1">
      <c r="A1021" s="534"/>
    </row>
    <row r="1022" spans="1:1">
      <c r="A1022" s="534"/>
    </row>
    <row r="1023" spans="1:1">
      <c r="A1023" s="534"/>
    </row>
    <row r="1024" spans="1:1">
      <c r="A1024" s="534"/>
    </row>
    <row r="1025" spans="1:1">
      <c r="A1025" s="534"/>
    </row>
    <row r="1026" spans="1:1">
      <c r="A1026" s="534"/>
    </row>
    <row r="1027" spans="1:1">
      <c r="A1027" s="534"/>
    </row>
    <row r="1028" spans="1:1">
      <c r="A1028" s="534"/>
    </row>
    <row r="1029" spans="1:1">
      <c r="A1029" s="534"/>
    </row>
    <row r="1030" spans="1:1">
      <c r="A1030" s="534"/>
    </row>
    <row r="1031" spans="1:1">
      <c r="A1031" s="534"/>
    </row>
    <row r="1032" spans="1:1">
      <c r="A1032" s="534"/>
    </row>
    <row r="1033" spans="1:1">
      <c r="A1033" s="534"/>
    </row>
    <row r="1034" spans="1:1">
      <c r="A1034" s="534"/>
    </row>
    <row r="1035" spans="1:1">
      <c r="A1035" s="534"/>
    </row>
    <row r="1036" spans="1:1">
      <c r="A1036" s="534"/>
    </row>
    <row r="1037" spans="1:1">
      <c r="A1037" s="534"/>
    </row>
    <row r="1038" spans="1:1">
      <c r="A1038" s="534"/>
    </row>
    <row r="1039" spans="1:1">
      <c r="A1039" s="534"/>
    </row>
    <row r="1040" spans="1:1">
      <c r="A1040" s="534"/>
    </row>
    <row r="1041" spans="1:1">
      <c r="A1041" s="534"/>
    </row>
    <row r="1042" spans="1:1">
      <c r="A1042" s="534"/>
    </row>
    <row r="1043" spans="1:1">
      <c r="A1043" s="534"/>
    </row>
    <row r="1044" spans="1:1">
      <c r="A1044" s="534"/>
    </row>
    <row r="1045" spans="1:1">
      <c r="A1045" s="534"/>
    </row>
    <row r="1046" spans="1:1">
      <c r="A1046" s="534"/>
    </row>
    <row r="1047" spans="1:1">
      <c r="A1047" s="534"/>
    </row>
    <row r="1048" spans="1:1">
      <c r="A1048" s="534"/>
    </row>
    <row r="1049" spans="1:1">
      <c r="A1049" s="534"/>
    </row>
    <row r="1050" spans="1:1">
      <c r="A1050" s="534"/>
    </row>
    <row r="1051" spans="1:1">
      <c r="A1051" s="534"/>
    </row>
    <row r="1052" spans="1:1">
      <c r="A1052" s="534"/>
    </row>
    <row r="1053" spans="1:1">
      <c r="A1053" s="534"/>
    </row>
    <row r="1054" spans="1:1">
      <c r="A1054" s="534"/>
    </row>
    <row r="1055" spans="1:1">
      <c r="A1055" s="534"/>
    </row>
    <row r="1056" spans="1:1">
      <c r="A1056" s="534"/>
    </row>
    <row r="1057" spans="1:1">
      <c r="A1057" s="534"/>
    </row>
    <row r="1058" spans="1:1">
      <c r="A1058" s="534"/>
    </row>
    <row r="1059" spans="1:1">
      <c r="A1059" s="534"/>
    </row>
    <row r="1060" spans="1:1">
      <c r="A1060" s="534"/>
    </row>
    <row r="1061" spans="1:1">
      <c r="A1061" s="534"/>
    </row>
    <row r="1062" spans="1:1">
      <c r="A1062" s="534"/>
    </row>
    <row r="1063" spans="1:1">
      <c r="A1063" s="534"/>
    </row>
    <row r="1064" spans="1:1">
      <c r="A1064" s="534"/>
    </row>
    <row r="1065" spans="1:1">
      <c r="A1065" s="534"/>
    </row>
    <row r="1066" spans="1:1">
      <c r="A1066" s="534"/>
    </row>
    <row r="1067" spans="1:1">
      <c r="A1067" s="534"/>
    </row>
    <row r="1068" spans="1:1">
      <c r="A1068" s="534"/>
    </row>
    <row r="1069" spans="1:1">
      <c r="A1069" s="534"/>
    </row>
    <row r="1070" spans="1:1">
      <c r="A1070" s="534"/>
    </row>
    <row r="1071" spans="1:1">
      <c r="A1071" s="534"/>
    </row>
    <row r="1072" spans="1:1">
      <c r="A1072" s="534"/>
    </row>
    <row r="1073" spans="1:1">
      <c r="A1073" s="534"/>
    </row>
    <row r="1074" spans="1:1">
      <c r="A1074" s="534"/>
    </row>
    <row r="1075" spans="1:1">
      <c r="A1075" s="534"/>
    </row>
    <row r="1076" spans="1:1">
      <c r="A1076" s="534"/>
    </row>
    <row r="1077" spans="1:1">
      <c r="A1077" s="534"/>
    </row>
    <row r="1078" spans="1:1">
      <c r="A1078" s="534"/>
    </row>
    <row r="1079" spans="1:1">
      <c r="A1079" s="534"/>
    </row>
    <row r="1080" spans="1:1">
      <c r="A1080" s="534"/>
    </row>
    <row r="1081" spans="1:1">
      <c r="A1081" s="534"/>
    </row>
    <row r="1082" spans="1:1">
      <c r="A1082" s="534"/>
    </row>
    <row r="1083" spans="1:1">
      <c r="A1083" s="534"/>
    </row>
    <row r="1084" spans="1:1">
      <c r="A1084" s="534"/>
    </row>
    <row r="1085" spans="1:1">
      <c r="A1085" s="534"/>
    </row>
    <row r="1086" spans="1:1">
      <c r="A1086" s="534"/>
    </row>
    <row r="1087" spans="1:1">
      <c r="A1087" s="534"/>
    </row>
    <row r="1088" spans="1:1">
      <c r="A1088" s="534"/>
    </row>
    <row r="1089" spans="1:1">
      <c r="A1089" s="534"/>
    </row>
    <row r="1090" spans="1:1">
      <c r="A1090" s="534"/>
    </row>
    <row r="1091" spans="1:1">
      <c r="A1091" s="534"/>
    </row>
    <row r="1092" spans="1:1">
      <c r="A1092" s="534"/>
    </row>
    <row r="1093" spans="1:1">
      <c r="A1093" s="534"/>
    </row>
    <row r="1094" spans="1:1">
      <c r="A1094" s="534"/>
    </row>
    <row r="1095" spans="1:1">
      <c r="A1095" s="534"/>
    </row>
    <row r="1096" spans="1:1">
      <c r="A1096" s="534"/>
    </row>
    <row r="1097" spans="1:1">
      <c r="A1097" s="534"/>
    </row>
    <row r="1098" spans="1:1">
      <c r="A1098" s="534"/>
    </row>
    <row r="1099" spans="1:1">
      <c r="A1099" s="534"/>
    </row>
    <row r="1100" spans="1:1">
      <c r="A1100" s="534"/>
    </row>
    <row r="1101" spans="1:1">
      <c r="A1101" s="534"/>
    </row>
    <row r="1102" spans="1:1">
      <c r="A1102" s="534"/>
    </row>
    <row r="1103" spans="1:1">
      <c r="A1103" s="534"/>
    </row>
    <row r="1104" spans="1:1">
      <c r="A1104" s="534"/>
    </row>
    <row r="1105" spans="1:1">
      <c r="A1105" s="534"/>
    </row>
    <row r="1106" spans="1:1">
      <c r="A1106" s="534"/>
    </row>
    <row r="1107" spans="1:1">
      <c r="A1107" s="534"/>
    </row>
    <row r="1108" spans="1:1">
      <c r="A1108" s="534"/>
    </row>
    <row r="1109" spans="1:1">
      <c r="A1109" s="534"/>
    </row>
    <row r="1110" spans="1:1">
      <c r="A1110" s="534"/>
    </row>
    <row r="1111" spans="1:1">
      <c r="A1111" s="534"/>
    </row>
    <row r="1112" spans="1:1">
      <c r="A1112" s="534"/>
    </row>
    <row r="1113" spans="1:1">
      <c r="A1113" s="534"/>
    </row>
    <row r="1114" spans="1:1">
      <c r="A1114" s="534"/>
    </row>
    <row r="1115" spans="1:1">
      <c r="A1115" s="534"/>
    </row>
    <row r="1116" spans="1:1">
      <c r="A1116" s="534"/>
    </row>
    <row r="1117" spans="1:1">
      <c r="A1117" s="534"/>
    </row>
    <row r="1118" spans="1:1">
      <c r="A1118" s="534"/>
    </row>
    <row r="1119" spans="1:1">
      <c r="A1119" s="534"/>
    </row>
    <row r="1120" spans="1:1">
      <c r="A1120" s="534"/>
    </row>
    <row r="1121" spans="1:1">
      <c r="A1121" s="534"/>
    </row>
    <row r="1122" spans="1:1">
      <c r="A1122" s="534"/>
    </row>
    <row r="1123" spans="1:1">
      <c r="A1123" s="534"/>
    </row>
    <row r="1124" spans="1:1">
      <c r="A1124" s="534"/>
    </row>
    <row r="1125" spans="1:1">
      <c r="A1125" s="534"/>
    </row>
    <row r="1126" spans="1:1">
      <c r="A1126" s="534"/>
    </row>
    <row r="1127" spans="1:1">
      <c r="A1127" s="534"/>
    </row>
    <row r="1128" spans="1:1">
      <c r="A1128" s="534"/>
    </row>
    <row r="1129" spans="1:1">
      <c r="A1129" s="534"/>
    </row>
    <row r="1130" spans="1:1">
      <c r="A1130" s="534"/>
    </row>
    <row r="1131" spans="1:1">
      <c r="A1131" s="534"/>
    </row>
    <row r="1132" spans="1:1">
      <c r="A1132" s="534"/>
    </row>
    <row r="1133" spans="1:1">
      <c r="A1133" s="534"/>
    </row>
    <row r="1134" spans="1:1">
      <c r="A1134" s="534"/>
    </row>
    <row r="1135" spans="1:1">
      <c r="A1135" s="534"/>
    </row>
    <row r="1136" spans="1:1">
      <c r="A1136" s="534"/>
    </row>
    <row r="1137" spans="1:1">
      <c r="A1137" s="534"/>
    </row>
    <row r="1138" spans="1:1">
      <c r="A1138" s="534"/>
    </row>
    <row r="1139" spans="1:1">
      <c r="A1139" s="534"/>
    </row>
    <row r="1140" spans="1:1">
      <c r="A1140" s="534"/>
    </row>
    <row r="1141" spans="1:1">
      <c r="A1141" s="534"/>
    </row>
    <row r="1142" spans="1:1">
      <c r="A1142" s="534"/>
    </row>
    <row r="1143" spans="1:1">
      <c r="A1143" s="534"/>
    </row>
    <row r="1144" spans="1:1">
      <c r="A1144" s="534"/>
    </row>
    <row r="1145" spans="1:1">
      <c r="A1145" s="534"/>
    </row>
    <row r="1146" spans="1:1">
      <c r="A1146" s="534"/>
    </row>
    <row r="1147" spans="1:1">
      <c r="A1147" s="534"/>
    </row>
    <row r="1148" spans="1:1">
      <c r="A1148" s="534"/>
    </row>
    <row r="1149" spans="1:1">
      <c r="A1149" s="534"/>
    </row>
    <row r="1150" spans="1:1">
      <c r="A1150" s="534"/>
    </row>
    <row r="1151" spans="1:1">
      <c r="A1151" s="534"/>
    </row>
    <row r="1152" spans="1:1">
      <c r="A1152" s="534"/>
    </row>
    <row r="1153" spans="1:1">
      <c r="A1153" s="534"/>
    </row>
    <row r="1154" spans="1:1">
      <c r="A1154" s="534"/>
    </row>
    <row r="1155" spans="1:1">
      <c r="A1155" s="534"/>
    </row>
    <row r="1156" spans="1:1">
      <c r="A1156" s="534"/>
    </row>
    <row r="1157" spans="1:1">
      <c r="A1157" s="534"/>
    </row>
    <row r="1158" spans="1:1">
      <c r="A1158" s="534"/>
    </row>
    <row r="1159" spans="1:1">
      <c r="A1159" s="534"/>
    </row>
    <row r="1160" spans="1:1">
      <c r="A1160" s="534"/>
    </row>
    <row r="1161" spans="1:1">
      <c r="A1161" s="534"/>
    </row>
    <row r="1162" spans="1:1">
      <c r="A1162" s="534"/>
    </row>
    <row r="1163" spans="1:1">
      <c r="A1163" s="534"/>
    </row>
    <row r="1164" spans="1:1">
      <c r="A1164" s="534"/>
    </row>
    <row r="1165" spans="1:1">
      <c r="A1165" s="534"/>
    </row>
    <row r="1166" spans="1:1">
      <c r="A1166" s="534"/>
    </row>
    <row r="1167" spans="1:1">
      <c r="A1167" s="534"/>
    </row>
    <row r="1168" spans="1:1">
      <c r="A1168" s="534"/>
    </row>
    <row r="1169" spans="1:1">
      <c r="A1169" s="534"/>
    </row>
    <row r="1170" spans="1:1">
      <c r="A1170" s="534"/>
    </row>
    <row r="1171" spans="1:1">
      <c r="A1171" s="534"/>
    </row>
    <row r="1172" spans="1:1">
      <c r="A1172" s="534"/>
    </row>
    <row r="1173" spans="1:1">
      <c r="A1173" s="534"/>
    </row>
    <row r="1174" spans="1:1">
      <c r="A1174" s="534"/>
    </row>
    <row r="1175" spans="1:1">
      <c r="A1175" s="534"/>
    </row>
    <row r="1176" spans="1:1">
      <c r="A1176" s="534"/>
    </row>
    <row r="1177" spans="1:1">
      <c r="A1177" s="534"/>
    </row>
    <row r="1178" spans="1:1">
      <c r="A1178" s="534"/>
    </row>
    <row r="1179" spans="1:1">
      <c r="A1179" s="534"/>
    </row>
    <row r="1180" spans="1:1">
      <c r="A1180" s="534"/>
    </row>
    <row r="1181" spans="1:1">
      <c r="A1181" s="534"/>
    </row>
    <row r="1182" spans="1:1">
      <c r="A1182" s="534"/>
    </row>
    <row r="1183" spans="1:1">
      <c r="A1183" s="534"/>
    </row>
    <row r="1184" spans="1:1">
      <c r="A1184" s="534"/>
    </row>
    <row r="1185" spans="1:1">
      <c r="A1185" s="534"/>
    </row>
    <row r="1186" spans="1:1">
      <c r="A1186" s="534"/>
    </row>
    <row r="1187" spans="1:1">
      <c r="A1187" s="534"/>
    </row>
    <row r="1188" spans="1:1">
      <c r="A1188" s="534"/>
    </row>
    <row r="1189" spans="1:1">
      <c r="A1189" s="534"/>
    </row>
    <row r="1190" spans="1:1">
      <c r="A1190" s="534"/>
    </row>
    <row r="1191" spans="1:1">
      <c r="A1191" s="534"/>
    </row>
    <row r="1192" spans="1:1">
      <c r="A1192" s="534"/>
    </row>
    <row r="1193" spans="1:1">
      <c r="A1193" s="534"/>
    </row>
    <row r="1194" spans="1:1">
      <c r="A1194" s="534"/>
    </row>
    <row r="1195" spans="1:1">
      <c r="A1195" s="534"/>
    </row>
    <row r="1196" spans="1:1">
      <c r="A1196" s="534"/>
    </row>
    <row r="1197" spans="1:1">
      <c r="A1197" s="534"/>
    </row>
    <row r="1198" spans="1:1">
      <c r="A1198" s="534"/>
    </row>
    <row r="1199" spans="1:1">
      <c r="A1199" s="534"/>
    </row>
    <row r="1200" spans="1:1">
      <c r="A1200" s="534"/>
    </row>
    <row r="1201" spans="1:1">
      <c r="A1201" s="534"/>
    </row>
    <row r="1202" spans="1:1">
      <c r="A1202" s="534"/>
    </row>
    <row r="1203" spans="1:1">
      <c r="A1203" s="534"/>
    </row>
    <row r="1204" spans="1:1">
      <c r="A1204" s="534"/>
    </row>
    <row r="1205" spans="1:1">
      <c r="A1205" s="534"/>
    </row>
    <row r="1206" spans="1:1">
      <c r="A1206" s="534"/>
    </row>
    <row r="1207" spans="1:1">
      <c r="A1207" s="534"/>
    </row>
    <row r="1208" spans="1:1">
      <c r="A1208" s="534"/>
    </row>
    <row r="1209" spans="1:1">
      <c r="A1209" s="534"/>
    </row>
    <row r="1210" spans="1:1">
      <c r="A1210" s="534"/>
    </row>
    <row r="1211" spans="1:1">
      <c r="A1211" s="534"/>
    </row>
    <row r="1212" spans="1:1">
      <c r="A1212" s="534"/>
    </row>
    <row r="1213" spans="1:1">
      <c r="A1213" s="534"/>
    </row>
    <row r="1214" spans="1:1">
      <c r="A1214" s="534"/>
    </row>
    <row r="1215" spans="1:1">
      <c r="A1215" s="534"/>
    </row>
    <row r="1216" spans="1:1">
      <c r="A1216" s="534"/>
    </row>
    <row r="1217" spans="1:1">
      <c r="A1217" s="534"/>
    </row>
    <row r="1218" spans="1:1">
      <c r="A1218" s="534"/>
    </row>
    <row r="1219" spans="1:1">
      <c r="A1219" s="534"/>
    </row>
    <row r="1220" spans="1:1">
      <c r="A1220" s="534"/>
    </row>
    <row r="1221" spans="1:1">
      <c r="A1221" s="534"/>
    </row>
    <row r="1222" spans="1:1">
      <c r="A1222" s="534"/>
    </row>
    <row r="1223" spans="1:1">
      <c r="A1223" s="534"/>
    </row>
    <row r="1224" spans="1:1">
      <c r="A1224" s="534"/>
    </row>
    <row r="1225" spans="1:1">
      <c r="A1225" s="534"/>
    </row>
    <row r="1226" spans="1:1">
      <c r="A1226" s="534"/>
    </row>
    <row r="1227" spans="1:1">
      <c r="A1227" s="534"/>
    </row>
    <row r="1228" spans="1:1">
      <c r="A1228" s="534"/>
    </row>
    <row r="1229" spans="1:1">
      <c r="A1229" s="534"/>
    </row>
    <row r="1230" spans="1:1">
      <c r="A1230" s="534"/>
    </row>
    <row r="1231" spans="1:1">
      <c r="A1231" s="534"/>
    </row>
    <row r="1232" spans="1:1">
      <c r="A1232" s="534"/>
    </row>
    <row r="1233" spans="1:1">
      <c r="A1233" s="534"/>
    </row>
    <row r="1234" spans="1:1">
      <c r="A1234" s="534"/>
    </row>
    <row r="1235" spans="1:1">
      <c r="A1235" s="534"/>
    </row>
    <row r="1236" spans="1:1">
      <c r="A1236" s="534"/>
    </row>
    <row r="1237" spans="1:1">
      <c r="A1237" s="534"/>
    </row>
    <row r="1238" spans="1:1">
      <c r="A1238" s="534"/>
    </row>
    <row r="1239" spans="1:1">
      <c r="A1239" s="534"/>
    </row>
    <row r="1240" spans="1:1">
      <c r="A1240" s="534"/>
    </row>
    <row r="1241" spans="1:1">
      <c r="A1241" s="534"/>
    </row>
    <row r="1242" spans="1:1">
      <c r="A1242" s="534"/>
    </row>
    <row r="1243" spans="1:1">
      <c r="A1243" s="534"/>
    </row>
    <row r="1244" spans="1:1">
      <c r="A1244" s="534"/>
    </row>
    <row r="1245" spans="1:1">
      <c r="A1245" s="534"/>
    </row>
    <row r="1246" spans="1:1">
      <c r="A1246" s="534"/>
    </row>
    <row r="1247" spans="1:1">
      <c r="A1247" s="534"/>
    </row>
    <row r="1248" spans="1:1">
      <c r="A1248" s="534"/>
    </row>
    <row r="1249" spans="1:1">
      <c r="A1249" s="534"/>
    </row>
    <row r="1250" spans="1:1">
      <c r="A1250" s="534"/>
    </row>
    <row r="1251" spans="1:1">
      <c r="A1251" s="534"/>
    </row>
    <row r="1252" spans="1:1">
      <c r="A1252" s="534"/>
    </row>
    <row r="1253" spans="1:1">
      <c r="A1253" s="534"/>
    </row>
    <row r="1254" spans="1:1">
      <c r="A1254" s="534"/>
    </row>
    <row r="1255" spans="1:1">
      <c r="A1255" s="534"/>
    </row>
    <row r="1256" spans="1:1">
      <c r="A1256" s="534"/>
    </row>
    <row r="1257" spans="1:1">
      <c r="A1257" s="534"/>
    </row>
    <row r="1258" spans="1:1">
      <c r="A1258" s="534"/>
    </row>
    <row r="1259" spans="1:1">
      <c r="A1259" s="534"/>
    </row>
    <row r="1260" spans="1:1">
      <c r="A1260" s="534"/>
    </row>
    <row r="1261" spans="1:1">
      <c r="A1261" s="534"/>
    </row>
    <row r="1262" spans="1:1">
      <c r="A1262" s="534"/>
    </row>
    <row r="1263" spans="1:1">
      <c r="A1263" s="534"/>
    </row>
    <row r="1264" spans="1:1">
      <c r="A1264" s="534"/>
    </row>
    <row r="1265" spans="1:1">
      <c r="A1265" s="534"/>
    </row>
    <row r="1266" spans="1:1">
      <c r="A1266" s="534"/>
    </row>
    <row r="1267" spans="1:1">
      <c r="A1267" s="534"/>
    </row>
    <row r="1268" spans="1:1">
      <c r="A1268" s="534"/>
    </row>
    <row r="1269" spans="1:1">
      <c r="A1269" s="534"/>
    </row>
    <row r="1270" spans="1:1">
      <c r="A1270" s="534"/>
    </row>
    <row r="1271" spans="1:1">
      <c r="A1271" s="534"/>
    </row>
    <row r="1272" spans="1:1">
      <c r="A1272" s="534"/>
    </row>
    <row r="1273" spans="1:1">
      <c r="A1273" s="534"/>
    </row>
    <row r="1274" spans="1:1">
      <c r="A1274" s="534"/>
    </row>
    <row r="1275" spans="1:1">
      <c r="A1275" s="534"/>
    </row>
    <row r="1276" spans="1:1">
      <c r="A1276" s="534"/>
    </row>
    <row r="1277" spans="1:1">
      <c r="A1277" s="534"/>
    </row>
    <row r="1278" spans="1:1">
      <c r="A1278" s="534"/>
    </row>
    <row r="1279" spans="1:1">
      <c r="A1279" s="534"/>
    </row>
    <row r="1280" spans="1:1">
      <c r="A1280" s="534"/>
    </row>
    <row r="1281" spans="1:1">
      <c r="A1281" s="534"/>
    </row>
    <row r="1282" spans="1:1">
      <c r="A1282" s="534"/>
    </row>
    <row r="1283" spans="1:1">
      <c r="A1283" s="534"/>
    </row>
    <row r="1284" spans="1:1">
      <c r="A1284" s="534"/>
    </row>
    <row r="1285" spans="1:1">
      <c r="A1285" s="534"/>
    </row>
    <row r="1286" spans="1:1">
      <c r="A1286" s="534"/>
    </row>
    <row r="1287" spans="1:1">
      <c r="A1287" s="534"/>
    </row>
    <row r="1288" spans="1:1">
      <c r="A1288" s="534"/>
    </row>
    <row r="1289" spans="1:1">
      <c r="A1289" s="534"/>
    </row>
    <row r="1290" spans="1:1">
      <c r="A1290" s="534"/>
    </row>
    <row r="1291" spans="1:1">
      <c r="A1291" s="534"/>
    </row>
    <row r="1292" spans="1:1">
      <c r="A1292" s="534"/>
    </row>
    <row r="1293" spans="1:1">
      <c r="A1293" s="534"/>
    </row>
    <row r="1294" spans="1:1">
      <c r="A1294" s="534"/>
    </row>
    <row r="1295" spans="1:1">
      <c r="A1295" s="534"/>
    </row>
    <row r="1296" spans="1:1">
      <c r="A1296" s="534"/>
    </row>
    <row r="1297" spans="1:1">
      <c r="A1297" s="534"/>
    </row>
    <row r="1298" spans="1:1">
      <c r="A1298" s="534"/>
    </row>
    <row r="1299" spans="1:1">
      <c r="A1299" s="534"/>
    </row>
    <row r="1300" spans="1:1">
      <c r="A1300" s="534"/>
    </row>
    <row r="1301" spans="1:1">
      <c r="A1301" s="534"/>
    </row>
    <row r="1302" spans="1:1">
      <c r="A1302" s="534"/>
    </row>
    <row r="1303" spans="1:1">
      <c r="A1303" s="534"/>
    </row>
    <row r="1304" spans="1:1">
      <c r="A1304" s="534"/>
    </row>
    <row r="1305" spans="1:1">
      <c r="A1305" s="534"/>
    </row>
    <row r="1306" spans="1:1">
      <c r="A1306" s="534"/>
    </row>
    <row r="1307" spans="1:1">
      <c r="A1307" s="534"/>
    </row>
    <row r="1308" spans="1:1">
      <c r="A1308" s="534"/>
    </row>
    <row r="1309" spans="1:1">
      <c r="A1309" s="534"/>
    </row>
    <row r="1310" spans="1:1">
      <c r="A1310" s="534"/>
    </row>
    <row r="1311" spans="1:1">
      <c r="A1311" s="534"/>
    </row>
    <row r="1312" spans="1:1">
      <c r="A1312" s="534"/>
    </row>
    <row r="1313" spans="1:1">
      <c r="A1313" s="534"/>
    </row>
    <row r="1314" spans="1:1">
      <c r="A1314" s="534"/>
    </row>
    <row r="1315" spans="1:1">
      <c r="A1315" s="534"/>
    </row>
    <row r="1316" spans="1:1">
      <c r="A1316" s="534"/>
    </row>
    <row r="1317" spans="1:1">
      <c r="A1317" s="534"/>
    </row>
    <row r="1318" spans="1:1">
      <c r="A1318" s="534"/>
    </row>
    <row r="1319" spans="1:1">
      <c r="A1319" s="534"/>
    </row>
    <row r="1320" spans="1:1">
      <c r="A1320" s="534"/>
    </row>
    <row r="1321" spans="1:1">
      <c r="A1321" s="534"/>
    </row>
    <row r="1322" spans="1:1">
      <c r="A1322" s="534"/>
    </row>
    <row r="1323" spans="1:1">
      <c r="A1323" s="534"/>
    </row>
    <row r="1324" spans="1:1">
      <c r="A1324" s="534"/>
    </row>
    <row r="1325" spans="1:1">
      <c r="A1325" s="534"/>
    </row>
    <row r="1326" spans="1:1">
      <c r="A1326" s="534"/>
    </row>
    <row r="1327" spans="1:1">
      <c r="A1327" s="534"/>
    </row>
    <row r="1328" spans="1:1">
      <c r="A1328" s="534"/>
    </row>
    <row r="1329" spans="1:1">
      <c r="A1329" s="534"/>
    </row>
    <row r="1330" spans="1:1">
      <c r="A1330" s="534"/>
    </row>
    <row r="1331" spans="1:1">
      <c r="A1331" s="534"/>
    </row>
    <row r="1332" spans="1:1">
      <c r="A1332" s="534"/>
    </row>
    <row r="1333" spans="1:1">
      <c r="A1333" s="534"/>
    </row>
    <row r="1334" spans="1:1">
      <c r="A1334" s="534"/>
    </row>
    <row r="1335" spans="1:1">
      <c r="A1335" s="534"/>
    </row>
    <row r="1336" spans="1:1">
      <c r="A1336" s="534"/>
    </row>
    <row r="1337" spans="1:1">
      <c r="A1337" s="534"/>
    </row>
    <row r="1338" spans="1:1">
      <c r="A1338" s="534"/>
    </row>
    <row r="1339" spans="1:1">
      <c r="A1339" s="534"/>
    </row>
    <row r="1340" spans="1:1">
      <c r="A1340" s="534"/>
    </row>
    <row r="1341" spans="1:1">
      <c r="A1341" s="534"/>
    </row>
    <row r="1342" spans="1:1">
      <c r="A1342" s="534"/>
    </row>
    <row r="1343" spans="1:1">
      <c r="A1343" s="534"/>
    </row>
    <row r="1344" spans="1:1">
      <c r="A1344" s="534"/>
    </row>
    <row r="1345" spans="1:1">
      <c r="A1345" s="534"/>
    </row>
    <row r="1346" spans="1:1">
      <c r="A1346" s="534"/>
    </row>
    <row r="1347" spans="1:1">
      <c r="A1347" s="534"/>
    </row>
    <row r="1348" spans="1:1">
      <c r="A1348" s="534"/>
    </row>
    <row r="1349" spans="1:1">
      <c r="A1349" s="534"/>
    </row>
    <row r="1350" spans="1:1">
      <c r="A1350" s="534"/>
    </row>
    <row r="1351" spans="1:1">
      <c r="A1351" s="534"/>
    </row>
    <row r="1352" spans="1:1">
      <c r="A1352" s="534"/>
    </row>
    <row r="1353" spans="1:1">
      <c r="A1353" s="534"/>
    </row>
    <row r="1354" spans="1:1">
      <c r="A1354" s="534"/>
    </row>
    <row r="1355" spans="1:1">
      <c r="A1355" s="534"/>
    </row>
    <row r="1356" spans="1:1">
      <c r="A1356" s="534"/>
    </row>
    <row r="1357" spans="1:1">
      <c r="A1357" s="534"/>
    </row>
    <row r="1358" spans="1:1">
      <c r="A1358" s="534"/>
    </row>
    <row r="1359" spans="1:1">
      <c r="A1359" s="534"/>
    </row>
    <row r="1360" spans="1:1">
      <c r="A1360" s="534"/>
    </row>
    <row r="1361" spans="1:1">
      <c r="A1361" s="534"/>
    </row>
    <row r="1362" spans="1:1">
      <c r="A1362" s="534"/>
    </row>
    <row r="1363" spans="1:1">
      <c r="A1363" s="534"/>
    </row>
    <row r="1364" spans="1:1">
      <c r="A1364" s="534"/>
    </row>
    <row r="1365" spans="1:1">
      <c r="A1365" s="534"/>
    </row>
    <row r="1366" spans="1:1">
      <c r="A1366" s="534"/>
    </row>
    <row r="1367" spans="1:1">
      <c r="A1367" s="534"/>
    </row>
    <row r="1368" spans="1:1">
      <c r="A1368" s="534"/>
    </row>
    <row r="1369" spans="1:1">
      <c r="A1369" s="534"/>
    </row>
    <row r="1370" spans="1:1">
      <c r="A1370" s="534"/>
    </row>
    <row r="1371" spans="1:1">
      <c r="A1371" s="534"/>
    </row>
    <row r="1372" spans="1:1">
      <c r="A1372" s="534"/>
    </row>
    <row r="1373" spans="1:1">
      <c r="A1373" s="534"/>
    </row>
    <row r="1374" spans="1:1">
      <c r="A1374" s="534"/>
    </row>
    <row r="1375" spans="1:1">
      <c r="A1375" s="534"/>
    </row>
    <row r="1376" spans="1:1">
      <c r="A1376" s="534"/>
    </row>
    <row r="1377" spans="1:1">
      <c r="A1377" s="534"/>
    </row>
    <row r="1378" spans="1:1">
      <c r="A1378" s="534"/>
    </row>
    <row r="1379" spans="1:1">
      <c r="A1379" s="534"/>
    </row>
    <row r="1380" spans="1:1">
      <c r="A1380" s="534"/>
    </row>
    <row r="1381" spans="1:1">
      <c r="A1381" s="534"/>
    </row>
    <row r="1382" spans="1:1">
      <c r="A1382" s="534"/>
    </row>
    <row r="1383" spans="1:1">
      <c r="A1383" s="534"/>
    </row>
    <row r="1384" spans="1:1">
      <c r="A1384" s="534"/>
    </row>
    <row r="1385" spans="1:1">
      <c r="A1385" s="534"/>
    </row>
    <row r="1386" spans="1:1">
      <c r="A1386" s="534"/>
    </row>
    <row r="1387" spans="1:1">
      <c r="A1387" s="534"/>
    </row>
    <row r="1388" spans="1:1">
      <c r="A1388" s="534"/>
    </row>
    <row r="1389" spans="1:1">
      <c r="A1389" s="534"/>
    </row>
    <row r="1390" spans="1:1">
      <c r="A1390" s="534"/>
    </row>
    <row r="1391" spans="1:1">
      <c r="A1391" s="534"/>
    </row>
    <row r="1392" spans="1:1">
      <c r="A1392" s="534"/>
    </row>
    <row r="1393" spans="1:1">
      <c r="A1393" s="534"/>
    </row>
    <row r="1394" spans="1:1">
      <c r="A1394" s="534"/>
    </row>
    <row r="1395" spans="1:1">
      <c r="A1395" s="534"/>
    </row>
    <row r="1396" spans="1:1">
      <c r="A1396" s="534"/>
    </row>
    <row r="1397" spans="1:1">
      <c r="A1397" s="534"/>
    </row>
    <row r="1398" spans="1:1">
      <c r="A1398" s="534"/>
    </row>
    <row r="1399" spans="1:1">
      <c r="A1399" s="534"/>
    </row>
    <row r="1400" spans="1:1">
      <c r="A1400" s="534"/>
    </row>
    <row r="1401" spans="1:1">
      <c r="A1401" s="534"/>
    </row>
    <row r="1402" spans="1:1">
      <c r="A1402" s="534"/>
    </row>
    <row r="1403" spans="1:1">
      <c r="A1403" s="534"/>
    </row>
    <row r="1404" spans="1:1">
      <c r="A1404" s="534"/>
    </row>
    <row r="1405" spans="1:1">
      <c r="A1405" s="534"/>
    </row>
    <row r="1406" spans="1:1">
      <c r="A1406" s="534"/>
    </row>
    <row r="1407" spans="1:1">
      <c r="A1407" s="534"/>
    </row>
    <row r="1408" spans="1:1">
      <c r="A1408" s="534"/>
    </row>
    <row r="1409" spans="1:1">
      <c r="A1409" s="534"/>
    </row>
    <row r="1410" spans="1:1">
      <c r="A1410" s="534"/>
    </row>
    <row r="1411" spans="1:1">
      <c r="A1411" s="534"/>
    </row>
    <row r="1412" spans="1:1">
      <c r="A1412" s="534"/>
    </row>
    <row r="1413" spans="1:1">
      <c r="A1413" s="534"/>
    </row>
    <row r="1414" spans="1:1">
      <c r="A1414" s="534"/>
    </row>
    <row r="1415" spans="1:1">
      <c r="A1415" s="534"/>
    </row>
    <row r="1416" spans="1:1">
      <c r="A1416" s="534"/>
    </row>
    <row r="1417" spans="1:1">
      <c r="A1417" s="534"/>
    </row>
    <row r="1418" spans="1:1">
      <c r="A1418" s="534"/>
    </row>
    <row r="1419" spans="1:1">
      <c r="A1419" s="534"/>
    </row>
    <row r="1420" spans="1:1">
      <c r="A1420" s="534"/>
    </row>
    <row r="1421" spans="1:1">
      <c r="A1421" s="534"/>
    </row>
    <row r="1422" spans="1:1">
      <c r="A1422" s="534"/>
    </row>
    <row r="1423" spans="1:1">
      <c r="A1423" s="534"/>
    </row>
    <row r="1424" spans="1:1">
      <c r="A1424" s="534"/>
    </row>
    <row r="1425" spans="1:1">
      <c r="A1425" s="534"/>
    </row>
    <row r="1426" spans="1:1">
      <c r="A1426" s="534"/>
    </row>
    <row r="1427" spans="1:1">
      <c r="A1427" s="534"/>
    </row>
    <row r="1428" spans="1:1">
      <c r="A1428" s="534"/>
    </row>
    <row r="1429" spans="1:1">
      <c r="A1429" s="534"/>
    </row>
    <row r="1430" spans="1:1">
      <c r="A1430" s="534"/>
    </row>
    <row r="1431" spans="1:1">
      <c r="A1431" s="534"/>
    </row>
    <row r="1432" spans="1:1">
      <c r="A1432" s="534"/>
    </row>
    <row r="1433" spans="1:1">
      <c r="A1433" s="534"/>
    </row>
    <row r="1434" spans="1:1">
      <c r="A1434" s="534"/>
    </row>
    <row r="1435" spans="1:1">
      <c r="A1435" s="534"/>
    </row>
    <row r="1436" spans="1:1">
      <c r="A1436" s="534"/>
    </row>
    <row r="1437" spans="1:1">
      <c r="A1437" s="534"/>
    </row>
    <row r="1438" spans="1:1">
      <c r="A1438" s="534"/>
    </row>
    <row r="1439" spans="1:1">
      <c r="A1439" s="534"/>
    </row>
    <row r="1440" spans="1:1">
      <c r="A1440" s="534"/>
    </row>
    <row r="1441" spans="1:1">
      <c r="A1441" s="534"/>
    </row>
    <row r="1442" spans="1:1">
      <c r="A1442" s="534"/>
    </row>
    <row r="1443" spans="1:1">
      <c r="A1443" s="534"/>
    </row>
    <row r="1444" spans="1:1">
      <c r="A1444" s="534"/>
    </row>
    <row r="1445" spans="1:1">
      <c r="A1445" s="534"/>
    </row>
    <row r="1446" spans="1:1">
      <c r="A1446" s="534"/>
    </row>
    <row r="1447" spans="1:1">
      <c r="A1447" s="534"/>
    </row>
    <row r="1448" spans="1:1">
      <c r="A1448" s="534"/>
    </row>
    <row r="1449" spans="1:1">
      <c r="A1449" s="534"/>
    </row>
    <row r="1450" spans="1:1">
      <c r="A1450" s="534"/>
    </row>
    <row r="1451" spans="1:1">
      <c r="A1451" s="534"/>
    </row>
    <row r="1452" spans="1:1">
      <c r="A1452" s="534"/>
    </row>
    <row r="1453" spans="1:1">
      <c r="A1453" s="534"/>
    </row>
    <row r="1454" spans="1:1">
      <c r="A1454" s="534"/>
    </row>
    <row r="1455" spans="1:1">
      <c r="A1455" s="534"/>
    </row>
    <row r="1456" spans="1:1">
      <c r="A1456" s="534"/>
    </row>
    <row r="1457" spans="1:1">
      <c r="A1457" s="534"/>
    </row>
    <row r="1458" spans="1:1">
      <c r="A1458" s="534"/>
    </row>
    <row r="1459" spans="1:1">
      <c r="A1459" s="534"/>
    </row>
    <row r="1460" spans="1:1">
      <c r="A1460" s="534"/>
    </row>
    <row r="1461" spans="1:1">
      <c r="A1461" s="534"/>
    </row>
    <row r="1462" spans="1:1">
      <c r="A1462" s="534"/>
    </row>
    <row r="1463" spans="1:1">
      <c r="A1463" s="534"/>
    </row>
    <row r="1464" spans="1:1">
      <c r="A1464" s="534"/>
    </row>
    <row r="1465" spans="1:1">
      <c r="A1465" s="534"/>
    </row>
    <row r="1466" spans="1:1">
      <c r="A1466" s="534"/>
    </row>
    <row r="1467" spans="1:1">
      <c r="A1467" s="534"/>
    </row>
    <row r="1468" spans="1:1">
      <c r="A1468" s="534"/>
    </row>
    <row r="1469" spans="1:1">
      <c r="A1469" s="534"/>
    </row>
    <row r="1470" spans="1:1">
      <c r="A1470" s="534"/>
    </row>
    <row r="1471" spans="1:1">
      <c r="A1471" s="534"/>
    </row>
    <row r="1472" spans="1:1">
      <c r="A1472" s="534"/>
    </row>
    <row r="1473" spans="1:1">
      <c r="A1473" s="534"/>
    </row>
    <row r="1474" spans="1:1">
      <c r="A1474" s="534"/>
    </row>
    <row r="1475" spans="1:1">
      <c r="A1475" s="534"/>
    </row>
    <row r="1476" spans="1:1">
      <c r="A1476" s="534"/>
    </row>
    <row r="1477" spans="1:1">
      <c r="A1477" s="534"/>
    </row>
    <row r="1478" spans="1:1">
      <c r="A1478" s="534"/>
    </row>
    <row r="1479" spans="1:1">
      <c r="A1479" s="534"/>
    </row>
    <row r="1480" spans="1:1">
      <c r="A1480" s="534"/>
    </row>
    <row r="1481" spans="1:1">
      <c r="A1481" s="534"/>
    </row>
    <row r="1482" spans="1:1">
      <c r="A1482" s="534"/>
    </row>
    <row r="1483" spans="1:1">
      <c r="A1483" s="534"/>
    </row>
    <row r="1484" spans="1:1">
      <c r="A1484" s="534"/>
    </row>
    <row r="1485" spans="1:1">
      <c r="A1485" s="534"/>
    </row>
    <row r="1486" spans="1:1">
      <c r="A1486" s="534"/>
    </row>
    <row r="1487" spans="1:1">
      <c r="A1487" s="534"/>
    </row>
    <row r="1488" spans="1:1">
      <c r="A1488" s="534"/>
    </row>
    <row r="1489" spans="1:1">
      <c r="A1489" s="534"/>
    </row>
    <row r="1490" spans="1:1">
      <c r="A1490" s="534"/>
    </row>
    <row r="1491" spans="1:1">
      <c r="A1491" s="534"/>
    </row>
    <row r="1492" spans="1:1">
      <c r="A1492" s="534"/>
    </row>
    <row r="1493" spans="1:1">
      <c r="A1493" s="534"/>
    </row>
    <row r="1494" spans="1:1">
      <c r="A1494" s="534"/>
    </row>
    <row r="1495" spans="1:1">
      <c r="A1495" s="534"/>
    </row>
    <row r="1496" spans="1:1">
      <c r="A1496" s="534"/>
    </row>
    <row r="1497" spans="1:1">
      <c r="A1497" s="534"/>
    </row>
    <row r="1498" spans="1:1">
      <c r="A1498" s="534"/>
    </row>
    <row r="1499" spans="1:1">
      <c r="A1499" s="534"/>
    </row>
    <row r="1500" spans="1:1">
      <c r="A1500" s="534"/>
    </row>
    <row r="1501" spans="1:1">
      <c r="A1501" s="534"/>
    </row>
    <row r="1502" spans="1:1">
      <c r="A1502" s="534"/>
    </row>
    <row r="1503" spans="1:1">
      <c r="A1503" s="534"/>
    </row>
    <row r="1504" spans="1:1">
      <c r="A1504" s="534"/>
    </row>
    <row r="1505" spans="1:1">
      <c r="A1505" s="534"/>
    </row>
    <row r="1506" spans="1:1">
      <c r="A1506" s="534"/>
    </row>
    <row r="1507" spans="1:1">
      <c r="A1507" s="534"/>
    </row>
    <row r="1508" spans="1:1">
      <c r="A1508" s="534"/>
    </row>
    <row r="1509" spans="1:1">
      <c r="A1509" s="534"/>
    </row>
    <row r="1510" spans="1:1">
      <c r="A1510" s="534"/>
    </row>
    <row r="1511" spans="1:1">
      <c r="A1511" s="534"/>
    </row>
    <row r="1512" spans="1:1">
      <c r="A1512" s="534"/>
    </row>
    <row r="1513" spans="1:1">
      <c r="A1513" s="534"/>
    </row>
    <row r="1514" spans="1:1">
      <c r="A1514" s="534"/>
    </row>
    <row r="1515" spans="1:1">
      <c r="A1515" s="534"/>
    </row>
    <row r="1516" spans="1:1">
      <c r="A1516" s="534"/>
    </row>
    <row r="1517" spans="1:1">
      <c r="A1517" s="534"/>
    </row>
    <row r="1518" spans="1:1">
      <c r="A1518" s="534"/>
    </row>
    <row r="1519" spans="1:1">
      <c r="A1519" s="534"/>
    </row>
    <row r="1520" spans="1:1">
      <c r="A1520" s="534"/>
    </row>
    <row r="1521" spans="1:1">
      <c r="A1521" s="534"/>
    </row>
    <row r="1522" spans="1:1">
      <c r="A1522" s="534"/>
    </row>
    <row r="1523" spans="1:1">
      <c r="A1523" s="534"/>
    </row>
    <row r="1524" spans="1:1">
      <c r="A1524" s="534"/>
    </row>
    <row r="1525" spans="1:1">
      <c r="A1525" s="534"/>
    </row>
    <row r="1526" spans="1:1">
      <c r="A1526" s="534"/>
    </row>
    <row r="1527" spans="1:1">
      <c r="A1527" s="534"/>
    </row>
    <row r="1528" spans="1:1">
      <c r="A1528" s="534"/>
    </row>
    <row r="1529" spans="1:1">
      <c r="A1529" s="534"/>
    </row>
    <row r="1530" spans="1:1">
      <c r="A1530" s="534"/>
    </row>
    <row r="1531" spans="1:1">
      <c r="A1531" s="534"/>
    </row>
    <row r="1532" spans="1:1">
      <c r="A1532" s="534"/>
    </row>
    <row r="1533" spans="1:1">
      <c r="A1533" s="534"/>
    </row>
    <row r="1534" spans="1:1">
      <c r="A1534" s="534"/>
    </row>
    <row r="1535" spans="1:1">
      <c r="A1535" s="534"/>
    </row>
    <row r="1536" spans="1:1">
      <c r="A1536" s="534"/>
    </row>
    <row r="1537" spans="1:1">
      <c r="A1537" s="534"/>
    </row>
    <row r="1538" spans="1:1">
      <c r="A1538" s="534"/>
    </row>
    <row r="1539" spans="1:1">
      <c r="A1539" s="534"/>
    </row>
    <row r="1540" spans="1:1">
      <c r="A1540" s="534"/>
    </row>
    <row r="1541" spans="1:1">
      <c r="A1541" s="534"/>
    </row>
    <row r="1542" spans="1:1">
      <c r="A1542" s="534"/>
    </row>
    <row r="1543" spans="1:1">
      <c r="A1543" s="534"/>
    </row>
    <row r="1544" spans="1:1">
      <c r="A1544" s="534"/>
    </row>
    <row r="1545" spans="1:1">
      <c r="A1545" s="534"/>
    </row>
    <row r="1546" spans="1:1">
      <c r="A1546" s="534"/>
    </row>
    <row r="1547" spans="1:1">
      <c r="A1547" s="534"/>
    </row>
    <row r="1548" spans="1:1">
      <c r="A1548" s="534"/>
    </row>
    <row r="1549" spans="1:1">
      <c r="A1549" s="534"/>
    </row>
    <row r="1550" spans="1:1">
      <c r="A1550" s="534"/>
    </row>
    <row r="1551" spans="1:1">
      <c r="A1551" s="534"/>
    </row>
    <row r="1552" spans="1:1">
      <c r="A1552" s="534"/>
    </row>
    <row r="1553" spans="1:1">
      <c r="A1553" s="534"/>
    </row>
    <row r="1554" spans="1:1">
      <c r="A1554" s="534"/>
    </row>
    <row r="1555" spans="1:1">
      <c r="A1555" s="534"/>
    </row>
    <row r="1556" spans="1:1">
      <c r="A1556" s="534"/>
    </row>
    <row r="1557" spans="1:1">
      <c r="A1557" s="534"/>
    </row>
    <row r="1558" spans="1:1">
      <c r="A1558" s="534"/>
    </row>
    <row r="1559" spans="1:1">
      <c r="A1559" s="534"/>
    </row>
    <row r="1560" spans="1:1">
      <c r="A1560" s="534"/>
    </row>
    <row r="1561" spans="1:1">
      <c r="A1561" s="534"/>
    </row>
    <row r="1562" spans="1:1">
      <c r="A1562" s="534"/>
    </row>
    <row r="1563" spans="1:1">
      <c r="A1563" s="534"/>
    </row>
    <row r="1564" spans="1:1">
      <c r="A1564" s="534"/>
    </row>
    <row r="1565" spans="1:1">
      <c r="A1565" s="534"/>
    </row>
    <row r="1566" spans="1:1">
      <c r="A1566" s="534"/>
    </row>
    <row r="1567" spans="1:1">
      <c r="A1567" s="534"/>
    </row>
    <row r="1568" spans="1:1">
      <c r="A1568" s="534"/>
    </row>
    <row r="1569" spans="1:1">
      <c r="A1569" s="534"/>
    </row>
    <row r="1570" spans="1:1">
      <c r="A1570" s="534"/>
    </row>
    <row r="1571" spans="1:1">
      <c r="A1571" s="534"/>
    </row>
    <row r="1572" spans="1:1">
      <c r="A1572" s="534"/>
    </row>
    <row r="1573" spans="1:1">
      <c r="A1573" s="534"/>
    </row>
    <row r="1574" spans="1:1">
      <c r="A1574" s="534"/>
    </row>
    <row r="1575" spans="1:1">
      <c r="A1575" s="534"/>
    </row>
    <row r="1576" spans="1:1">
      <c r="A1576" s="534"/>
    </row>
    <row r="1577" spans="1:1">
      <c r="A1577" s="534"/>
    </row>
    <row r="1578" spans="1:1">
      <c r="A1578" s="534"/>
    </row>
    <row r="1579" spans="1:1">
      <c r="A1579" s="534"/>
    </row>
    <row r="1580" spans="1:1">
      <c r="A1580" s="534"/>
    </row>
    <row r="1581" spans="1:1">
      <c r="A1581" s="534"/>
    </row>
    <row r="1582" spans="1:1">
      <c r="A1582" s="534"/>
    </row>
    <row r="1583" spans="1:1">
      <c r="A1583" s="534"/>
    </row>
    <row r="1584" spans="1:1">
      <c r="A1584" s="534"/>
    </row>
    <row r="1585" spans="1:1">
      <c r="A1585" s="534"/>
    </row>
    <row r="1586" spans="1:1">
      <c r="A1586" s="534"/>
    </row>
    <row r="1587" spans="1:1">
      <c r="A1587" s="534"/>
    </row>
    <row r="1588" spans="1:1">
      <c r="A1588" s="534"/>
    </row>
    <row r="1589" spans="1:1">
      <c r="A1589" s="534"/>
    </row>
    <row r="1590" spans="1:1">
      <c r="A1590" s="534"/>
    </row>
    <row r="1591" spans="1:1">
      <c r="A1591" s="534"/>
    </row>
    <row r="1592" spans="1:1">
      <c r="A1592" s="534"/>
    </row>
    <row r="1593" spans="1:1">
      <c r="A1593" s="534"/>
    </row>
    <row r="1594" spans="1:1">
      <c r="A1594" s="534"/>
    </row>
    <row r="1595" spans="1:1">
      <c r="A1595" s="534"/>
    </row>
    <row r="1596" spans="1:1">
      <c r="A1596" s="534"/>
    </row>
    <row r="1597" spans="1:1">
      <c r="A1597" s="534"/>
    </row>
    <row r="1598" spans="1:1">
      <c r="A1598" s="534"/>
    </row>
    <row r="1599" spans="1:1">
      <c r="A1599" s="534"/>
    </row>
    <row r="1600" spans="1:1">
      <c r="A1600" s="534"/>
    </row>
    <row r="1601" spans="1:1">
      <c r="A1601" s="534"/>
    </row>
    <row r="1602" spans="1:1">
      <c r="A1602" s="534"/>
    </row>
    <row r="1603" spans="1:1">
      <c r="A1603" s="534"/>
    </row>
    <row r="1604" spans="1:1">
      <c r="A1604" s="534"/>
    </row>
    <row r="1605" spans="1:1">
      <c r="A1605" s="534"/>
    </row>
    <row r="1606" spans="1:1">
      <c r="A1606" s="534"/>
    </row>
    <row r="1607" spans="1:1">
      <c r="A1607" s="534"/>
    </row>
    <row r="1608" spans="1:1">
      <c r="A1608" s="534"/>
    </row>
    <row r="1609" spans="1:1">
      <c r="A1609" s="534"/>
    </row>
    <row r="1610" spans="1:1">
      <c r="A1610" s="534"/>
    </row>
    <row r="1611" spans="1:1">
      <c r="A1611" s="534"/>
    </row>
    <row r="1612" spans="1:1">
      <c r="A1612" s="534"/>
    </row>
    <row r="1613" spans="1:1">
      <c r="A1613" s="534"/>
    </row>
    <row r="1614" spans="1:1">
      <c r="A1614" s="534"/>
    </row>
    <row r="1615" spans="1:1">
      <c r="A1615" s="534"/>
    </row>
    <row r="1616" spans="1:1">
      <c r="A1616" s="534"/>
    </row>
    <row r="1617" spans="1:1">
      <c r="A1617" s="534"/>
    </row>
    <row r="1618" spans="1:1">
      <c r="A1618" s="534"/>
    </row>
    <row r="1619" spans="1:1">
      <c r="A1619" s="534"/>
    </row>
    <row r="1620" spans="1:1">
      <c r="A1620" s="534"/>
    </row>
    <row r="1621" spans="1:1">
      <c r="A1621" s="534"/>
    </row>
    <row r="1622" spans="1:1">
      <c r="A1622" s="534"/>
    </row>
    <row r="1623" spans="1:1">
      <c r="A1623" s="534"/>
    </row>
    <row r="1624" spans="1:1">
      <c r="A1624" s="534"/>
    </row>
    <row r="1625" spans="1:1">
      <c r="A1625" s="534"/>
    </row>
    <row r="1626" spans="1:1">
      <c r="A1626" s="534"/>
    </row>
    <row r="1627" spans="1:1">
      <c r="A1627" s="534"/>
    </row>
    <row r="1628" spans="1:1">
      <c r="A1628" s="534"/>
    </row>
    <row r="1629" spans="1:1">
      <c r="A1629" s="534"/>
    </row>
    <row r="1630" spans="1:1">
      <c r="A1630" s="534"/>
    </row>
    <row r="1631" spans="1:1">
      <c r="A1631" s="534"/>
    </row>
    <row r="1632" spans="1:1">
      <c r="A1632" s="534"/>
    </row>
    <row r="1633" spans="1:1">
      <c r="A1633" s="534"/>
    </row>
    <row r="1634" spans="1:1">
      <c r="A1634" s="534"/>
    </row>
    <row r="1635" spans="1:1">
      <c r="A1635" s="534"/>
    </row>
    <row r="1636" spans="1:1">
      <c r="A1636" s="534"/>
    </row>
    <row r="1637" spans="1:1">
      <c r="A1637" s="534"/>
    </row>
    <row r="1638" spans="1:1">
      <c r="A1638" s="534"/>
    </row>
    <row r="1639" spans="1:1">
      <c r="A1639" s="534"/>
    </row>
    <row r="1640" spans="1:1">
      <c r="A1640" s="534"/>
    </row>
    <row r="1641" spans="1:1">
      <c r="A1641" s="534"/>
    </row>
    <row r="1642" spans="1:1">
      <c r="A1642" s="534"/>
    </row>
    <row r="1643" spans="1:1">
      <c r="A1643" s="534"/>
    </row>
    <row r="1644" spans="1:1">
      <c r="A1644" s="534"/>
    </row>
    <row r="1645" spans="1:1">
      <c r="A1645" s="534"/>
    </row>
    <row r="1646" spans="1:1">
      <c r="A1646" s="534"/>
    </row>
    <row r="1647" spans="1:1">
      <c r="A1647" s="534"/>
    </row>
    <row r="1648" spans="1:1">
      <c r="A1648" s="534"/>
    </row>
    <row r="1649" spans="1:1">
      <c r="A1649" s="534"/>
    </row>
    <row r="1650" spans="1:1">
      <c r="A1650" s="534"/>
    </row>
    <row r="1651" spans="1:1">
      <c r="A1651" s="534"/>
    </row>
    <row r="1652" spans="1:1">
      <c r="A1652" s="534"/>
    </row>
    <row r="1653" spans="1:1">
      <c r="A1653" s="534"/>
    </row>
    <row r="1654" spans="1:1">
      <c r="A1654" s="534"/>
    </row>
    <row r="1655" spans="1:1">
      <c r="A1655" s="534"/>
    </row>
    <row r="1656" spans="1:1">
      <c r="A1656" s="534"/>
    </row>
    <row r="1657" spans="1:1">
      <c r="A1657" s="534"/>
    </row>
    <row r="1658" spans="1:1">
      <c r="A1658" s="534"/>
    </row>
    <row r="1659" spans="1:1">
      <c r="A1659" s="534"/>
    </row>
    <row r="1660" spans="1:1">
      <c r="A1660" s="534"/>
    </row>
    <row r="1661" spans="1:1">
      <c r="A1661" s="534"/>
    </row>
    <row r="1662" spans="1:1">
      <c r="A1662" s="534"/>
    </row>
    <row r="1663" spans="1:1">
      <c r="A1663" s="534"/>
    </row>
    <row r="1664" spans="1:1">
      <c r="A1664" s="534"/>
    </row>
    <row r="1665" spans="1:1">
      <c r="A1665" s="534"/>
    </row>
    <row r="1666" spans="1:1">
      <c r="A1666" s="534"/>
    </row>
    <row r="1667" spans="1:1">
      <c r="A1667" s="534"/>
    </row>
    <row r="1668" spans="1:1">
      <c r="A1668" s="534"/>
    </row>
    <row r="1669" spans="1:1">
      <c r="A1669" s="534"/>
    </row>
    <row r="1670" spans="1:1">
      <c r="A1670" s="534"/>
    </row>
    <row r="1671" spans="1:1">
      <c r="A1671" s="534"/>
    </row>
    <row r="1672" spans="1:1">
      <c r="A1672" s="534"/>
    </row>
    <row r="1673" spans="1:1">
      <c r="A1673" s="534"/>
    </row>
    <row r="1674" spans="1:1">
      <c r="A1674" s="534"/>
    </row>
    <row r="1675" spans="1:1">
      <c r="A1675" s="534"/>
    </row>
    <row r="1676" spans="1:1">
      <c r="A1676" s="534"/>
    </row>
    <row r="1677" spans="1:1">
      <c r="A1677" s="534"/>
    </row>
    <row r="1678" spans="1:1">
      <c r="A1678" s="534"/>
    </row>
    <row r="1679" spans="1:1">
      <c r="A1679" s="534"/>
    </row>
    <row r="1680" spans="1:1">
      <c r="A1680" s="534"/>
    </row>
    <row r="1681" spans="1:1">
      <c r="A1681" s="534"/>
    </row>
    <row r="1682" spans="1:1">
      <c r="A1682" s="534"/>
    </row>
    <row r="1683" spans="1:1">
      <c r="A1683" s="534"/>
    </row>
    <row r="1684" spans="1:1">
      <c r="A1684" s="534"/>
    </row>
    <row r="1685" spans="1:1">
      <c r="A1685" s="534"/>
    </row>
    <row r="1686" spans="1:1">
      <c r="A1686" s="534"/>
    </row>
    <row r="1687" spans="1:1">
      <c r="A1687" s="534"/>
    </row>
    <row r="1688" spans="1:1">
      <c r="A1688" s="534"/>
    </row>
    <row r="1689" spans="1:1">
      <c r="A1689" s="534"/>
    </row>
    <row r="1690" spans="1:1">
      <c r="A1690" s="534"/>
    </row>
    <row r="1691" spans="1:1">
      <c r="A1691" s="534"/>
    </row>
    <row r="1692" spans="1:1">
      <c r="A1692" s="534"/>
    </row>
    <row r="1693" spans="1:1">
      <c r="A1693" s="534"/>
    </row>
    <row r="1694" spans="1:1">
      <c r="A1694" s="534"/>
    </row>
    <row r="1695" spans="1:1">
      <c r="A1695" s="534"/>
    </row>
    <row r="1696" spans="1:1">
      <c r="A1696" s="534"/>
    </row>
    <row r="1697" spans="1:1">
      <c r="A1697" s="534"/>
    </row>
    <row r="1698" spans="1:1">
      <c r="A1698" s="534"/>
    </row>
    <row r="1699" spans="1:1">
      <c r="A1699" s="534"/>
    </row>
    <row r="1700" spans="1:1">
      <c r="A1700" s="534"/>
    </row>
    <row r="1701" spans="1:1">
      <c r="A1701" s="534"/>
    </row>
    <row r="1702" spans="1:1">
      <c r="A1702" s="534"/>
    </row>
    <row r="1703" spans="1:1">
      <c r="A1703" s="534"/>
    </row>
    <row r="1704" spans="1:1">
      <c r="A1704" s="534"/>
    </row>
    <row r="1705" spans="1:1">
      <c r="A1705" s="534"/>
    </row>
    <row r="1706" spans="1:1">
      <c r="A1706" s="534"/>
    </row>
    <row r="1707" spans="1:1">
      <c r="A1707" s="534"/>
    </row>
    <row r="1708" spans="1:1">
      <c r="A1708" s="534"/>
    </row>
    <row r="1709" spans="1:1">
      <c r="A1709" s="534"/>
    </row>
    <row r="1710" spans="1:1">
      <c r="A1710" s="534"/>
    </row>
    <row r="1711" spans="1:1">
      <c r="A1711" s="534"/>
    </row>
    <row r="1712" spans="1:1">
      <c r="A1712" s="534"/>
    </row>
    <row r="1713" spans="1:1">
      <c r="A1713" s="534"/>
    </row>
    <row r="1714" spans="1:1">
      <c r="A1714" s="534"/>
    </row>
    <row r="1715" spans="1:1">
      <c r="A1715" s="534"/>
    </row>
    <row r="1716" spans="1:1">
      <c r="A1716" s="534"/>
    </row>
    <row r="1717" spans="1:1">
      <c r="A1717" s="534"/>
    </row>
    <row r="1718" spans="1:1">
      <c r="A1718" s="534"/>
    </row>
    <row r="1719" spans="1:1">
      <c r="A1719" s="534"/>
    </row>
    <row r="1720" spans="1:1">
      <c r="A1720" s="534"/>
    </row>
    <row r="1721" spans="1:1">
      <c r="A1721" s="534"/>
    </row>
    <row r="1722" spans="1:1">
      <c r="A1722" s="534"/>
    </row>
    <row r="1723" spans="1:1">
      <c r="A1723" s="534"/>
    </row>
    <row r="1724" spans="1:1">
      <c r="A1724" s="534"/>
    </row>
    <row r="1725" spans="1:1">
      <c r="A1725" s="534"/>
    </row>
    <row r="1726" spans="1:1">
      <c r="A1726" s="534"/>
    </row>
    <row r="1727" spans="1:1">
      <c r="A1727" s="534"/>
    </row>
    <row r="1728" spans="1:1">
      <c r="A1728" s="534"/>
    </row>
    <row r="1729" spans="1:1">
      <c r="A1729" s="534"/>
    </row>
    <row r="1730" spans="1:1">
      <c r="A1730" s="534"/>
    </row>
    <row r="1731" spans="1:1">
      <c r="A1731" s="534"/>
    </row>
    <row r="1732" spans="1:1">
      <c r="A1732" s="534"/>
    </row>
    <row r="1733" spans="1:1">
      <c r="A1733" s="534"/>
    </row>
    <row r="1734" spans="1:1">
      <c r="A1734" s="534"/>
    </row>
    <row r="1735" spans="1:1">
      <c r="A1735" s="534"/>
    </row>
    <row r="1736" spans="1:1">
      <c r="A1736" s="534"/>
    </row>
    <row r="1737" spans="1:1">
      <c r="A1737" s="534"/>
    </row>
    <row r="1738" spans="1:1">
      <c r="A1738" s="534"/>
    </row>
    <row r="1739" spans="1:1">
      <c r="A1739" s="534"/>
    </row>
    <row r="1740" spans="1:1">
      <c r="A1740" s="534"/>
    </row>
    <row r="1741" spans="1:1">
      <c r="A1741" s="534"/>
    </row>
    <row r="1742" spans="1:1">
      <c r="A1742" s="534"/>
    </row>
    <row r="1743" spans="1:1">
      <c r="A1743" s="534"/>
    </row>
    <row r="1744" spans="1:1">
      <c r="A1744" s="534"/>
    </row>
    <row r="1745" spans="1:1">
      <c r="A1745" s="534"/>
    </row>
    <row r="1746" spans="1:1">
      <c r="A1746" s="534"/>
    </row>
    <row r="1747" spans="1:1">
      <c r="A1747" s="534"/>
    </row>
    <row r="1748" spans="1:1">
      <c r="A1748" s="534"/>
    </row>
    <row r="1749" spans="1:1">
      <c r="A1749" s="534"/>
    </row>
    <row r="1750" spans="1:1">
      <c r="A1750" s="534"/>
    </row>
    <row r="1751" spans="1:1">
      <c r="A1751" s="534"/>
    </row>
    <row r="1752" spans="1:1">
      <c r="A1752" s="534"/>
    </row>
    <row r="1753" spans="1:1">
      <c r="A1753" s="534"/>
    </row>
    <row r="1754" spans="1:1">
      <c r="A1754" s="534"/>
    </row>
    <row r="1755" spans="1:1">
      <c r="A1755" s="534"/>
    </row>
    <row r="1756" spans="1:1">
      <c r="A1756" s="534"/>
    </row>
    <row r="1757" spans="1:1">
      <c r="A1757" s="534"/>
    </row>
    <row r="1758" spans="1:1">
      <c r="A1758" s="534"/>
    </row>
    <row r="1759" spans="1:1">
      <c r="A1759" s="534"/>
    </row>
    <row r="1760" spans="1:1">
      <c r="A1760" s="534"/>
    </row>
    <row r="1761" spans="1:1">
      <c r="A1761" s="534"/>
    </row>
    <row r="1762" spans="1:1">
      <c r="A1762" s="534"/>
    </row>
    <row r="1763" spans="1:1">
      <c r="A1763" s="534"/>
    </row>
    <row r="1764" spans="1:1">
      <c r="A1764" s="534"/>
    </row>
    <row r="1765" spans="1:1">
      <c r="A1765" s="534"/>
    </row>
    <row r="1766" spans="1:1">
      <c r="A1766" s="534"/>
    </row>
    <row r="1767" spans="1:1">
      <c r="A1767" s="534"/>
    </row>
    <row r="1768" spans="1:1">
      <c r="A1768" s="534"/>
    </row>
    <row r="1769" spans="1:1">
      <c r="A1769" s="534"/>
    </row>
    <row r="1770" spans="1:1">
      <c r="A1770" s="534"/>
    </row>
    <row r="1771" spans="1:1">
      <c r="A1771" s="534"/>
    </row>
    <row r="1772" spans="1:1">
      <c r="A1772" s="534"/>
    </row>
    <row r="1773" spans="1:1">
      <c r="A1773" s="534"/>
    </row>
    <row r="1774" spans="1:1">
      <c r="A1774" s="534"/>
    </row>
    <row r="1775" spans="1:1">
      <c r="A1775" s="534"/>
    </row>
    <row r="1776" spans="1:1">
      <c r="A1776" s="534"/>
    </row>
    <row r="1777" spans="1:1">
      <c r="A1777" s="534"/>
    </row>
    <row r="1778" spans="1:1">
      <c r="A1778" s="534"/>
    </row>
    <row r="1779" spans="1:1">
      <c r="A1779" s="534"/>
    </row>
    <row r="1780" spans="1:1">
      <c r="A1780" s="534"/>
    </row>
    <row r="1781" spans="1:1">
      <c r="A1781" s="534"/>
    </row>
    <row r="1782" spans="1:1">
      <c r="A1782" s="534"/>
    </row>
    <row r="1783" spans="1:1">
      <c r="A1783" s="534"/>
    </row>
    <row r="1784" spans="1:1">
      <c r="A1784" s="534"/>
    </row>
    <row r="1785" spans="1:1">
      <c r="A1785" s="534"/>
    </row>
    <row r="1786" spans="1:1">
      <c r="A1786" s="534"/>
    </row>
    <row r="1787" spans="1:1">
      <c r="A1787" s="534"/>
    </row>
    <row r="1788" spans="1:1">
      <c r="A1788" s="534"/>
    </row>
    <row r="1789" spans="1:1">
      <c r="A1789" s="534"/>
    </row>
    <row r="1790" spans="1:1">
      <c r="A1790" s="534"/>
    </row>
    <row r="1791" spans="1:1">
      <c r="A1791" s="534"/>
    </row>
    <row r="1792" spans="1:1">
      <c r="A1792" s="534"/>
    </row>
    <row r="1793" spans="1:1">
      <c r="A1793" s="534"/>
    </row>
    <row r="1794" spans="1:1">
      <c r="A1794" s="534"/>
    </row>
    <row r="1795" spans="1:1">
      <c r="A1795" s="534"/>
    </row>
    <row r="1796" spans="1:1">
      <c r="A1796" s="534"/>
    </row>
    <row r="1797" spans="1:1">
      <c r="A1797" s="534"/>
    </row>
    <row r="1798" spans="1:1">
      <c r="A1798" s="534"/>
    </row>
    <row r="1799" spans="1:1">
      <c r="A1799" s="534"/>
    </row>
    <row r="1800" spans="1:1">
      <c r="A1800" s="534"/>
    </row>
    <row r="1801" spans="1:1">
      <c r="A1801" s="534"/>
    </row>
    <row r="1802" spans="1:1">
      <c r="A1802" s="534"/>
    </row>
    <row r="1803" spans="1:1">
      <c r="A1803" s="534"/>
    </row>
    <row r="1804" spans="1:1">
      <c r="A1804" s="534"/>
    </row>
    <row r="1805" spans="1:1">
      <c r="A1805" s="534"/>
    </row>
    <row r="1806" spans="1:1">
      <c r="A1806" s="534"/>
    </row>
    <row r="1807" spans="1:1">
      <c r="A1807" s="534"/>
    </row>
    <row r="1808" spans="1:1">
      <c r="A1808" s="534"/>
    </row>
    <row r="1809" spans="1:1">
      <c r="A1809" s="534"/>
    </row>
    <row r="1810" spans="1:1">
      <c r="A1810" s="534"/>
    </row>
    <row r="1811" spans="1:1">
      <c r="A1811" s="534"/>
    </row>
    <row r="1812" spans="1:1">
      <c r="A1812" s="534"/>
    </row>
    <row r="1813" spans="1:1">
      <c r="A1813" s="534"/>
    </row>
    <row r="1814" spans="1:1">
      <c r="A1814" s="534"/>
    </row>
    <row r="1815" spans="1:1">
      <c r="A1815" s="534"/>
    </row>
    <row r="1816" spans="1:1">
      <c r="A1816" s="534"/>
    </row>
    <row r="1817" spans="1:1">
      <c r="A1817" s="534"/>
    </row>
    <row r="1818" spans="1:1">
      <c r="A1818" s="534"/>
    </row>
    <row r="1819" spans="1:1">
      <c r="A1819" s="534"/>
    </row>
    <row r="1820" spans="1:1">
      <c r="A1820" s="534"/>
    </row>
    <row r="1821" spans="1:1">
      <c r="A1821" s="534"/>
    </row>
    <row r="1822" spans="1:1">
      <c r="A1822" s="534"/>
    </row>
    <row r="1823" spans="1:1">
      <c r="A1823" s="534"/>
    </row>
    <row r="1824" spans="1:1">
      <c r="A1824" s="534"/>
    </row>
    <row r="1825" spans="1:1">
      <c r="A1825" s="534"/>
    </row>
    <row r="1826" spans="1:1">
      <c r="A1826" s="534"/>
    </row>
    <row r="1827" spans="1:1">
      <c r="A1827" s="534"/>
    </row>
    <row r="1828" spans="1:1">
      <c r="A1828" s="534"/>
    </row>
    <row r="1829" spans="1:1">
      <c r="A1829" s="534"/>
    </row>
    <row r="1830" spans="1:1">
      <c r="A1830" s="534"/>
    </row>
    <row r="1831" spans="1:1">
      <c r="A1831" s="534"/>
    </row>
    <row r="1832" spans="1:1">
      <c r="A1832" s="534"/>
    </row>
    <row r="1833" spans="1:1">
      <c r="A1833" s="534"/>
    </row>
    <row r="1834" spans="1:1">
      <c r="A1834" s="534"/>
    </row>
    <row r="1835" spans="1:1">
      <c r="A1835" s="534"/>
    </row>
    <row r="1836" spans="1:1">
      <c r="A1836" s="534"/>
    </row>
    <row r="1837" spans="1:1">
      <c r="A1837" s="534"/>
    </row>
    <row r="1838" spans="1:1">
      <c r="A1838" s="534"/>
    </row>
    <row r="1839" spans="1:1">
      <c r="A1839" s="534"/>
    </row>
    <row r="1840" spans="1:1">
      <c r="A1840" s="534"/>
    </row>
    <row r="1841" spans="1:1">
      <c r="A1841" s="534"/>
    </row>
    <row r="1842" spans="1:1">
      <c r="A1842" s="534"/>
    </row>
    <row r="1843" spans="1:1">
      <c r="A1843" s="534"/>
    </row>
    <row r="1844" spans="1:1">
      <c r="A1844" s="534"/>
    </row>
    <row r="1845" spans="1:1">
      <c r="A1845" s="534"/>
    </row>
    <row r="1846" spans="1:1">
      <c r="A1846" s="534"/>
    </row>
    <row r="1847" spans="1:1">
      <c r="A1847" s="534"/>
    </row>
    <row r="1848" spans="1:1">
      <c r="A1848" s="534"/>
    </row>
    <row r="1849" spans="1:1">
      <c r="A1849" s="534"/>
    </row>
    <row r="1850" spans="1:1">
      <c r="A1850" s="534"/>
    </row>
    <row r="1851" spans="1:1">
      <c r="A1851" s="534"/>
    </row>
    <row r="1852" spans="1:1">
      <c r="A1852" s="534"/>
    </row>
    <row r="1853" spans="1:1">
      <c r="A1853" s="534"/>
    </row>
    <row r="1854" spans="1:1">
      <c r="A1854" s="534"/>
    </row>
    <row r="1855" spans="1:1">
      <c r="A1855" s="534"/>
    </row>
    <row r="1856" spans="1:1">
      <c r="A1856" s="534"/>
    </row>
    <row r="1857" spans="1:1">
      <c r="A1857" s="534"/>
    </row>
    <row r="1858" spans="1:1">
      <c r="A1858" s="534"/>
    </row>
    <row r="1859" spans="1:1">
      <c r="A1859" s="534"/>
    </row>
    <row r="1860" spans="1:1">
      <c r="A1860" s="534"/>
    </row>
    <row r="1861" spans="1:1">
      <c r="A1861" s="534"/>
    </row>
    <row r="1862" spans="1:1">
      <c r="A1862" s="534"/>
    </row>
    <row r="1863" spans="1:1">
      <c r="A1863" s="534"/>
    </row>
    <row r="1864" spans="1:1">
      <c r="A1864" s="534"/>
    </row>
    <row r="1865" spans="1:1">
      <c r="A1865" s="534"/>
    </row>
    <row r="1866" spans="1:1">
      <c r="A1866" s="534"/>
    </row>
    <row r="1867" spans="1:1">
      <c r="A1867" s="534"/>
    </row>
    <row r="1868" spans="1:1">
      <c r="A1868" s="534"/>
    </row>
    <row r="1869" spans="1:1">
      <c r="A1869" s="534"/>
    </row>
    <row r="1870" spans="1:1">
      <c r="A1870" s="534"/>
    </row>
    <row r="1871" spans="1:1">
      <c r="A1871" s="534"/>
    </row>
    <row r="1872" spans="1:1">
      <c r="A1872" s="534"/>
    </row>
    <row r="1873" spans="1:1">
      <c r="A1873" s="534"/>
    </row>
    <row r="1874" spans="1:1">
      <c r="A1874" s="534"/>
    </row>
    <row r="1875" spans="1:1">
      <c r="A1875" s="534"/>
    </row>
    <row r="1876" spans="1:1">
      <c r="A1876" s="534"/>
    </row>
    <row r="1877" spans="1:1">
      <c r="A1877" s="534"/>
    </row>
    <row r="1878" spans="1:1">
      <c r="A1878" s="534"/>
    </row>
    <row r="1879" spans="1:1">
      <c r="A1879" s="534"/>
    </row>
    <row r="1880" spans="1:1">
      <c r="A1880" s="534"/>
    </row>
    <row r="1881" spans="1:1">
      <c r="A1881" s="534"/>
    </row>
    <row r="1882" spans="1:1">
      <c r="A1882" s="534"/>
    </row>
    <row r="1883" spans="1:1">
      <c r="A1883" s="534"/>
    </row>
    <row r="1884" spans="1:1">
      <c r="A1884" s="534"/>
    </row>
    <row r="1885" spans="1:1">
      <c r="A1885" s="534"/>
    </row>
    <row r="1886" spans="1:1">
      <c r="A1886" s="534"/>
    </row>
    <row r="1887" spans="1:1">
      <c r="A1887" s="534"/>
    </row>
    <row r="1888" spans="1:1">
      <c r="A1888" s="534"/>
    </row>
    <row r="1889" spans="1:1">
      <c r="A1889" s="534"/>
    </row>
    <row r="1890" spans="1:1">
      <c r="A1890" s="534"/>
    </row>
    <row r="1891" spans="1:1">
      <c r="A1891" s="534"/>
    </row>
    <row r="1892" spans="1:1">
      <c r="A1892" s="534"/>
    </row>
    <row r="1893" spans="1:1">
      <c r="A1893" s="534"/>
    </row>
    <row r="1894" spans="1:1">
      <c r="A1894" s="534"/>
    </row>
    <row r="1895" spans="1:1">
      <c r="A1895" s="534"/>
    </row>
    <row r="1896" spans="1:1">
      <c r="A1896" s="534"/>
    </row>
    <row r="1897" spans="1:1">
      <c r="A1897" s="534"/>
    </row>
    <row r="1898" spans="1:1">
      <c r="A1898" s="534"/>
    </row>
    <row r="1899" spans="1:1">
      <c r="A1899" s="534"/>
    </row>
    <row r="1900" spans="1:1">
      <c r="A1900" s="534"/>
    </row>
    <row r="1901" spans="1:1">
      <c r="A1901" s="534"/>
    </row>
    <row r="1902" spans="1:1">
      <c r="A1902" s="534"/>
    </row>
    <row r="1903" spans="1:1">
      <c r="A1903" s="534"/>
    </row>
    <row r="1904" spans="1:1">
      <c r="A1904" s="534"/>
    </row>
    <row r="1905" spans="1:1">
      <c r="A1905" s="534"/>
    </row>
    <row r="1906" spans="1:1">
      <c r="A1906" s="534"/>
    </row>
    <row r="1907" spans="1:1">
      <c r="A1907" s="534"/>
    </row>
    <row r="1908" spans="1:1">
      <c r="A1908" s="534"/>
    </row>
    <row r="1909" spans="1:1">
      <c r="A1909" s="534"/>
    </row>
    <row r="1910" spans="1:1">
      <c r="A1910" s="534"/>
    </row>
    <row r="1911" spans="1:1">
      <c r="A1911" s="534"/>
    </row>
    <row r="1912" spans="1:1">
      <c r="A1912" s="534"/>
    </row>
    <row r="1913" spans="1:1">
      <c r="A1913" s="534"/>
    </row>
    <row r="1914" spans="1:1">
      <c r="A1914" s="534"/>
    </row>
    <row r="1915" spans="1:1">
      <c r="A1915" s="534"/>
    </row>
    <row r="1916" spans="1:1">
      <c r="A1916" s="534"/>
    </row>
    <row r="1917" spans="1:1">
      <c r="A1917" s="534"/>
    </row>
    <row r="1918" spans="1:1">
      <c r="A1918" s="534"/>
    </row>
    <row r="1919" spans="1:1">
      <c r="A1919" s="534"/>
    </row>
    <row r="1920" spans="1:1">
      <c r="A1920" s="534"/>
    </row>
    <row r="1921" spans="1:1">
      <c r="A1921" s="534"/>
    </row>
    <row r="1922" spans="1:1">
      <c r="A1922" s="534"/>
    </row>
    <row r="1923" spans="1:1">
      <c r="A1923" s="534"/>
    </row>
    <row r="1924" spans="1:1">
      <c r="A1924" s="534"/>
    </row>
    <row r="1925" spans="1:1">
      <c r="A1925" s="534"/>
    </row>
    <row r="1926" spans="1:1">
      <c r="A1926" s="534"/>
    </row>
    <row r="1927" spans="1:1">
      <c r="A1927" s="534"/>
    </row>
    <row r="1928" spans="1:1">
      <c r="A1928" s="534"/>
    </row>
    <row r="1929" spans="1:1">
      <c r="A1929" s="534"/>
    </row>
    <row r="1930" spans="1:1">
      <c r="A1930" s="534"/>
    </row>
    <row r="1931" spans="1:1">
      <c r="A1931" s="534"/>
    </row>
    <row r="1932" spans="1:1">
      <c r="A1932" s="534"/>
    </row>
    <row r="1933" spans="1:1">
      <c r="A1933" s="534"/>
    </row>
    <row r="1934" spans="1:1">
      <c r="A1934" s="534"/>
    </row>
    <row r="1935" spans="1:1">
      <c r="A1935" s="534"/>
    </row>
    <row r="1936" spans="1:1">
      <c r="A1936" s="534"/>
    </row>
    <row r="1937" spans="1:1">
      <c r="A1937" s="534"/>
    </row>
    <row r="1938" spans="1:1">
      <c r="A1938" s="534"/>
    </row>
    <row r="1939" spans="1:1">
      <c r="A1939" s="534"/>
    </row>
    <row r="1940" spans="1:1">
      <c r="A1940" s="534"/>
    </row>
    <row r="1941" spans="1:1">
      <c r="A1941" s="534"/>
    </row>
    <row r="1942" spans="1:1">
      <c r="A1942" s="534"/>
    </row>
    <row r="1943" spans="1:1">
      <c r="A1943" s="534"/>
    </row>
    <row r="1944" spans="1:1">
      <c r="A1944" s="534"/>
    </row>
    <row r="1945" spans="1:1">
      <c r="A1945" s="534"/>
    </row>
    <row r="1946" spans="1:1">
      <c r="A1946" s="534"/>
    </row>
    <row r="1947" spans="1:1">
      <c r="A1947" s="534"/>
    </row>
    <row r="1948" spans="1:1">
      <c r="A1948" s="534"/>
    </row>
    <row r="1949" spans="1:1">
      <c r="A1949" s="534"/>
    </row>
    <row r="1950" spans="1:1">
      <c r="A1950" s="534"/>
    </row>
    <row r="1951" spans="1:1">
      <c r="A1951" s="534"/>
    </row>
    <row r="1952" spans="1:1">
      <c r="A1952" s="534"/>
    </row>
    <row r="1953" spans="1:1">
      <c r="A1953" s="534"/>
    </row>
    <row r="1954" spans="1:1">
      <c r="A1954" s="534"/>
    </row>
    <row r="1955" spans="1:1">
      <c r="A1955" s="534"/>
    </row>
    <row r="1956" spans="1:1">
      <c r="A1956" s="534"/>
    </row>
    <row r="1957" spans="1:1">
      <c r="A1957" s="534"/>
    </row>
    <row r="1958" spans="1:1">
      <c r="A1958" s="534"/>
    </row>
    <row r="1959" spans="1:1">
      <c r="A1959" s="534"/>
    </row>
    <row r="1960" spans="1:1">
      <c r="A1960" s="534"/>
    </row>
    <row r="1961" spans="1:1">
      <c r="A1961" s="534"/>
    </row>
    <row r="1962" spans="1:1">
      <c r="A1962" s="534"/>
    </row>
    <row r="1963" spans="1:1">
      <c r="A1963" s="534"/>
    </row>
    <row r="1964" spans="1:1">
      <c r="A1964" s="534"/>
    </row>
    <row r="1965" spans="1:1">
      <c r="A1965" s="534"/>
    </row>
    <row r="1966" spans="1:1">
      <c r="A1966" s="534"/>
    </row>
    <row r="1967" spans="1:1">
      <c r="A1967" s="534"/>
    </row>
    <row r="1968" spans="1:1">
      <c r="A1968" s="534"/>
    </row>
    <row r="1969" spans="1:1">
      <c r="A1969" s="534"/>
    </row>
    <row r="1970" spans="1:1">
      <c r="A1970" s="534"/>
    </row>
    <row r="1971" spans="1:1">
      <c r="A1971" s="534"/>
    </row>
    <row r="1972" spans="1:1">
      <c r="A1972" s="534"/>
    </row>
    <row r="1973" spans="1:1">
      <c r="A1973" s="534"/>
    </row>
    <row r="1974" spans="1:1">
      <c r="A1974" s="534"/>
    </row>
    <row r="1975" spans="1:1">
      <c r="A1975" s="534"/>
    </row>
    <row r="1976" spans="1:1">
      <c r="A1976" s="534"/>
    </row>
    <row r="1977" spans="1:1">
      <c r="A1977" s="534"/>
    </row>
    <row r="1978" spans="1:1">
      <c r="A1978" s="534"/>
    </row>
    <row r="1979" spans="1:1">
      <c r="A1979" s="534"/>
    </row>
    <row r="1980" spans="1:1">
      <c r="A1980" s="534"/>
    </row>
    <row r="1981" spans="1:1">
      <c r="A1981" s="534"/>
    </row>
    <row r="1982" spans="1:1">
      <c r="A1982" s="534"/>
    </row>
    <row r="1983" spans="1:1">
      <c r="A1983" s="534"/>
    </row>
    <row r="1984" spans="1:1">
      <c r="A1984" s="534"/>
    </row>
    <row r="1985" spans="1:1">
      <c r="A1985" s="534"/>
    </row>
    <row r="1986" spans="1:1">
      <c r="A1986" s="534"/>
    </row>
    <row r="1987" spans="1:1">
      <c r="A1987" s="534"/>
    </row>
    <row r="1988" spans="1:1">
      <c r="A1988" s="534"/>
    </row>
    <row r="1989" spans="1:1">
      <c r="A1989" s="534"/>
    </row>
    <row r="1990" spans="1:1">
      <c r="A1990" s="534"/>
    </row>
    <row r="1991" spans="1:1">
      <c r="A1991" s="534"/>
    </row>
    <row r="1992" spans="1:1">
      <c r="A1992" s="534"/>
    </row>
    <row r="1993" spans="1:1">
      <c r="A1993" s="534"/>
    </row>
    <row r="1994" spans="1:1">
      <c r="A1994" s="534"/>
    </row>
    <row r="1995" spans="1:1">
      <c r="A1995" s="534"/>
    </row>
    <row r="1996" spans="1:1">
      <c r="A1996" s="534"/>
    </row>
    <row r="1997" spans="1:1">
      <c r="A1997" s="534"/>
    </row>
    <row r="1998" spans="1:1">
      <c r="A1998" s="534"/>
    </row>
    <row r="1999" spans="1:1">
      <c r="A1999" s="534"/>
    </row>
    <row r="2000" spans="1:1">
      <c r="A2000" s="534"/>
    </row>
    <row r="2001" spans="1:1">
      <c r="A2001" s="534"/>
    </row>
    <row r="2002" spans="1:1">
      <c r="A2002" s="534"/>
    </row>
    <row r="2003" spans="1:1">
      <c r="A2003" s="534"/>
    </row>
    <row r="2004" spans="1:1">
      <c r="A2004" s="534"/>
    </row>
    <row r="2005" spans="1:1">
      <c r="A2005" s="534"/>
    </row>
    <row r="2006" spans="1:1">
      <c r="A2006" s="534"/>
    </row>
    <row r="2007" spans="1:1">
      <c r="A2007" s="534"/>
    </row>
    <row r="2008" spans="1:1">
      <c r="A2008" s="534"/>
    </row>
    <row r="2009" spans="1:1">
      <c r="A2009" s="534"/>
    </row>
    <row r="2010" spans="1:1">
      <c r="A2010" s="534"/>
    </row>
    <row r="2011" spans="1:1">
      <c r="A2011" s="534"/>
    </row>
    <row r="2012" spans="1:1">
      <c r="A2012" s="534"/>
    </row>
    <row r="2013" spans="1:1">
      <c r="A2013" s="534"/>
    </row>
    <row r="2014" spans="1:1">
      <c r="A2014" s="534"/>
    </row>
    <row r="2015" spans="1:1">
      <c r="A2015" s="534"/>
    </row>
    <row r="2016" spans="1:1">
      <c r="A2016" s="534"/>
    </row>
    <row r="2017" spans="1:1">
      <c r="A2017" s="534"/>
    </row>
    <row r="2018" spans="1:1">
      <c r="A2018" s="534"/>
    </row>
    <row r="2019" spans="1:1">
      <c r="A2019" s="534"/>
    </row>
    <row r="2020" spans="1:1">
      <c r="A2020" s="534"/>
    </row>
    <row r="2021" spans="1:1">
      <c r="A2021" s="534"/>
    </row>
    <row r="2022" spans="1:1">
      <c r="A2022" s="534"/>
    </row>
    <row r="2023" spans="1:1">
      <c r="A2023" s="534"/>
    </row>
    <row r="2024" spans="1:1">
      <c r="A2024" s="534"/>
    </row>
    <row r="2025" spans="1:1">
      <c r="A2025" s="534"/>
    </row>
    <row r="2026" spans="1:1">
      <c r="A2026" s="534"/>
    </row>
    <row r="2027" spans="1:1">
      <c r="A2027" s="534"/>
    </row>
    <row r="2028" spans="1:1">
      <c r="A2028" s="534"/>
    </row>
    <row r="2029" spans="1:1">
      <c r="A2029" s="534"/>
    </row>
    <row r="2030" spans="1:1">
      <c r="A2030" s="534"/>
    </row>
    <row r="2031" spans="1:1">
      <c r="A2031" s="534"/>
    </row>
    <row r="2032" spans="1:1">
      <c r="A2032" s="534"/>
    </row>
    <row r="2033" spans="1:1">
      <c r="A2033" s="534"/>
    </row>
    <row r="2034" spans="1:1">
      <c r="A2034" s="534"/>
    </row>
    <row r="2035" spans="1:1">
      <c r="A2035" s="534"/>
    </row>
    <row r="2036" spans="1:1">
      <c r="A2036" s="534"/>
    </row>
    <row r="2037" spans="1:1">
      <c r="A2037" s="534"/>
    </row>
    <row r="2038" spans="1:1">
      <c r="A2038" s="534"/>
    </row>
    <row r="2039" spans="1:1">
      <c r="A2039" s="534"/>
    </row>
    <row r="2040" spans="1:1">
      <c r="A2040" s="534"/>
    </row>
    <row r="2041" spans="1:1">
      <c r="A2041" s="534"/>
    </row>
    <row r="2042" spans="1:1">
      <c r="A2042" s="534"/>
    </row>
    <row r="2043" spans="1:1">
      <c r="A2043" s="534"/>
    </row>
    <row r="2044" spans="1:1">
      <c r="A2044" s="534"/>
    </row>
    <row r="2045" spans="1:1">
      <c r="A2045" s="534"/>
    </row>
    <row r="2046" spans="1:1">
      <c r="A2046" s="534"/>
    </row>
    <row r="2047" spans="1:1">
      <c r="A2047" s="534"/>
    </row>
    <row r="2048" spans="1:1">
      <c r="A2048" s="534"/>
    </row>
    <row r="2049" spans="1:1">
      <c r="A2049" s="534"/>
    </row>
    <row r="2050" spans="1:1">
      <c r="A2050" s="534"/>
    </row>
    <row r="2051" spans="1:1">
      <c r="A2051" s="534"/>
    </row>
    <row r="2052" spans="1:1">
      <c r="A2052" s="534"/>
    </row>
    <row r="2053" spans="1:1">
      <c r="A2053" s="534"/>
    </row>
    <row r="2054" spans="1:1">
      <c r="A2054" s="534"/>
    </row>
    <row r="2055" spans="1:1">
      <c r="A2055" s="534"/>
    </row>
    <row r="2056" spans="1:1">
      <c r="A2056" s="534"/>
    </row>
    <row r="2057" spans="1:1">
      <c r="A2057" s="534"/>
    </row>
    <row r="2058" spans="1:1">
      <c r="A2058" s="534"/>
    </row>
    <row r="2059" spans="1:1">
      <c r="A2059" s="534"/>
    </row>
    <row r="2060" spans="1:1">
      <c r="A2060" s="534"/>
    </row>
    <row r="2061" spans="1:1">
      <c r="A2061" s="534"/>
    </row>
    <row r="2062" spans="1:1">
      <c r="A2062" s="534"/>
    </row>
    <row r="2063" spans="1:1">
      <c r="A2063" s="534"/>
    </row>
    <row r="2064" spans="1:1">
      <c r="A2064" s="534"/>
    </row>
    <row r="2065" spans="1:1">
      <c r="A2065" s="534"/>
    </row>
    <row r="2066" spans="1:1">
      <c r="A2066" s="534"/>
    </row>
    <row r="2067" spans="1:1">
      <c r="A2067" s="534"/>
    </row>
    <row r="2068" spans="1:1">
      <c r="A2068" s="534"/>
    </row>
    <row r="2069" spans="1:1">
      <c r="A2069" s="534"/>
    </row>
    <row r="2070" spans="1:1">
      <c r="A2070" s="534"/>
    </row>
    <row r="2071" spans="1:1">
      <c r="A2071" s="534"/>
    </row>
    <row r="2072" spans="1:1">
      <c r="A2072" s="534"/>
    </row>
    <row r="2073" spans="1:1">
      <c r="A2073" s="534"/>
    </row>
    <row r="2074" spans="1:1">
      <c r="A2074" s="534"/>
    </row>
    <row r="2075" spans="1:1">
      <c r="A2075" s="534"/>
    </row>
    <row r="2076" spans="1:1">
      <c r="A2076" s="534"/>
    </row>
    <row r="2077" spans="1:1">
      <c r="A2077" s="534"/>
    </row>
    <row r="2078" spans="1:1">
      <c r="A2078" s="534"/>
    </row>
    <row r="2079" spans="1:1">
      <c r="A2079" s="534"/>
    </row>
    <row r="2080" spans="1:1">
      <c r="A2080" s="534"/>
    </row>
    <row r="2081" spans="1:1">
      <c r="A2081" s="534"/>
    </row>
    <row r="2082" spans="1:1">
      <c r="A2082" s="534"/>
    </row>
    <row r="2083" spans="1:1">
      <c r="A2083" s="534"/>
    </row>
    <row r="2084" spans="1:1">
      <c r="A2084" s="534"/>
    </row>
    <row r="2085" spans="1:1">
      <c r="A2085" s="534"/>
    </row>
    <row r="2086" spans="1:1">
      <c r="A2086" s="534"/>
    </row>
    <row r="2087" spans="1:1">
      <c r="A2087" s="534"/>
    </row>
    <row r="2088" spans="1:1">
      <c r="A2088" s="534"/>
    </row>
    <row r="2089" spans="1:1">
      <c r="A2089" s="534"/>
    </row>
    <row r="2090" spans="1:1">
      <c r="A2090" s="534"/>
    </row>
    <row r="2091" spans="1:1">
      <c r="A2091" s="534"/>
    </row>
    <row r="2092" spans="1:1">
      <c r="A2092" s="534"/>
    </row>
    <row r="2093" spans="1:1">
      <c r="A2093" s="534"/>
    </row>
    <row r="2094" spans="1:1">
      <c r="A2094" s="534"/>
    </row>
    <row r="2095" spans="1:1">
      <c r="A2095" s="534"/>
    </row>
    <row r="2096" spans="1:1">
      <c r="A2096" s="534"/>
    </row>
    <row r="2097" spans="1:1">
      <c r="A2097" s="534"/>
    </row>
    <row r="2098" spans="1:1">
      <c r="A2098" s="534"/>
    </row>
    <row r="2099" spans="1:1">
      <c r="A2099" s="534"/>
    </row>
    <row r="2100" spans="1:1">
      <c r="A2100" s="534"/>
    </row>
    <row r="2101" spans="1:1">
      <c r="A2101" s="534"/>
    </row>
    <row r="2102" spans="1:1">
      <c r="A2102" s="534"/>
    </row>
    <row r="2103" spans="1:1">
      <c r="A2103" s="534"/>
    </row>
    <row r="2104" spans="1:1">
      <c r="A2104" s="534"/>
    </row>
    <row r="2105" spans="1:1">
      <c r="A2105" s="534"/>
    </row>
    <row r="2106" spans="1:1">
      <c r="A2106" s="534"/>
    </row>
    <row r="2107" spans="1:1">
      <c r="A2107" s="534"/>
    </row>
    <row r="2108" spans="1:1">
      <c r="A2108" s="534"/>
    </row>
    <row r="2109" spans="1:1">
      <c r="A2109" s="534"/>
    </row>
    <row r="2110" spans="1:1">
      <c r="A2110" s="534"/>
    </row>
    <row r="2111" spans="1:1">
      <c r="A2111" s="534"/>
    </row>
    <row r="2112" spans="1:1">
      <c r="A2112" s="534"/>
    </row>
    <row r="2113" spans="1:1">
      <c r="A2113" s="534"/>
    </row>
    <row r="2114" spans="1:1">
      <c r="A2114" s="534"/>
    </row>
    <row r="2115" spans="1:1">
      <c r="A2115" s="534"/>
    </row>
    <row r="2116" spans="1:1">
      <c r="A2116" s="534"/>
    </row>
    <row r="2117" spans="1:1">
      <c r="A2117" s="534"/>
    </row>
    <row r="2118" spans="1:1">
      <c r="A2118" s="534"/>
    </row>
    <row r="2119" spans="1:1">
      <c r="A2119" s="534"/>
    </row>
    <row r="2120" spans="1:1">
      <c r="A2120" s="534"/>
    </row>
    <row r="2121" spans="1:1">
      <c r="A2121" s="534"/>
    </row>
    <row r="2122" spans="1:1">
      <c r="A2122" s="534"/>
    </row>
    <row r="2123" spans="1:1">
      <c r="A2123" s="534"/>
    </row>
    <row r="2124" spans="1:1">
      <c r="A2124" s="534"/>
    </row>
    <row r="2125" spans="1:1">
      <c r="A2125" s="534"/>
    </row>
    <row r="2126" spans="1:1">
      <c r="A2126" s="534"/>
    </row>
    <row r="2127" spans="1:1">
      <c r="A2127" s="534"/>
    </row>
    <row r="2128" spans="1:1">
      <c r="A2128" s="534"/>
    </row>
    <row r="2129" spans="1:1">
      <c r="A2129" s="534"/>
    </row>
    <row r="2130" spans="1:1">
      <c r="A2130" s="534"/>
    </row>
    <row r="2131" spans="1:1">
      <c r="A2131" s="534"/>
    </row>
    <row r="2132" spans="1:1">
      <c r="A2132" s="534"/>
    </row>
    <row r="2133" spans="1:1">
      <c r="A2133" s="534"/>
    </row>
    <row r="2134" spans="1:1">
      <c r="A2134" s="534"/>
    </row>
    <row r="2135" spans="1:1">
      <c r="A2135" s="534"/>
    </row>
    <row r="2136" spans="1:1">
      <c r="A2136" s="534"/>
    </row>
    <row r="2137" spans="1:1">
      <c r="A2137" s="534"/>
    </row>
    <row r="2138" spans="1:1">
      <c r="A2138" s="534"/>
    </row>
    <row r="2139" spans="1:1">
      <c r="A2139" s="534"/>
    </row>
    <row r="2140" spans="1:1">
      <c r="A2140" s="534"/>
    </row>
    <row r="2141" spans="1:1">
      <c r="A2141" s="534"/>
    </row>
    <row r="2142" spans="1:1">
      <c r="A2142" s="534"/>
    </row>
    <row r="2143" spans="1:1">
      <c r="A2143" s="534"/>
    </row>
    <row r="2144" spans="1:1">
      <c r="A2144" s="534"/>
    </row>
    <row r="2145" spans="1:1">
      <c r="A2145" s="534"/>
    </row>
    <row r="2146" spans="1:1">
      <c r="A2146" s="534"/>
    </row>
    <row r="2147" spans="1:1">
      <c r="A2147" s="534"/>
    </row>
    <row r="2148" spans="1:1">
      <c r="A2148" s="534"/>
    </row>
    <row r="2149" spans="1:1">
      <c r="A2149" s="534"/>
    </row>
    <row r="2150" spans="1:1">
      <c r="A2150" s="534"/>
    </row>
    <row r="2151" spans="1:1">
      <c r="A2151" s="534"/>
    </row>
    <row r="2152" spans="1:1">
      <c r="A2152" s="534"/>
    </row>
    <row r="2153" spans="1:1">
      <c r="A2153" s="534"/>
    </row>
    <row r="2154" spans="1:1">
      <c r="A2154" s="534"/>
    </row>
    <row r="2155" spans="1:1">
      <c r="A2155" s="534"/>
    </row>
    <row r="2156" spans="1:1">
      <c r="A2156" s="534"/>
    </row>
    <row r="2157" spans="1:1">
      <c r="A2157" s="534"/>
    </row>
    <row r="2158" spans="1:1">
      <c r="A2158" s="534"/>
    </row>
    <row r="2159" spans="1:1">
      <c r="A2159" s="534"/>
    </row>
    <row r="2160" spans="1:1">
      <c r="A2160" s="534"/>
    </row>
    <row r="2161" spans="1:1">
      <c r="A2161" s="534"/>
    </row>
    <row r="2162" spans="1:1">
      <c r="A2162" s="534"/>
    </row>
    <row r="2163" spans="1:1">
      <c r="A2163" s="534"/>
    </row>
    <row r="2164" spans="1:1">
      <c r="A2164" s="534"/>
    </row>
    <row r="2165" spans="1:1">
      <c r="A2165" s="534"/>
    </row>
    <row r="2166" spans="1:1">
      <c r="A2166" s="534"/>
    </row>
    <row r="2167" spans="1:1">
      <c r="A2167" s="534"/>
    </row>
    <row r="2168" spans="1:1">
      <c r="A2168" s="534"/>
    </row>
    <row r="2169" spans="1:1">
      <c r="A2169" s="534"/>
    </row>
    <row r="2170" spans="1:1">
      <c r="A2170" s="534"/>
    </row>
    <row r="2171" spans="1:1">
      <c r="A2171" s="534"/>
    </row>
    <row r="2172" spans="1:1">
      <c r="A2172" s="534"/>
    </row>
    <row r="2173" spans="1:1">
      <c r="A2173" s="534"/>
    </row>
    <row r="2174" spans="1:1">
      <c r="A2174" s="534"/>
    </row>
    <row r="2175" spans="1:1">
      <c r="A2175" s="534"/>
    </row>
    <row r="2176" spans="1:1">
      <c r="A2176" s="534"/>
    </row>
    <row r="2177" spans="1:1">
      <c r="A2177" s="534"/>
    </row>
    <row r="2178" spans="1:1">
      <c r="A2178" s="534"/>
    </row>
    <row r="2179" spans="1:1">
      <c r="A2179" s="534"/>
    </row>
    <row r="2180" spans="1:1">
      <c r="A2180" s="534"/>
    </row>
    <row r="2181" spans="1:1">
      <c r="A2181" s="534"/>
    </row>
    <row r="2182" spans="1:1">
      <c r="A2182" s="534"/>
    </row>
    <row r="2183" spans="1:1">
      <c r="A2183" s="534"/>
    </row>
    <row r="2184" spans="1:1">
      <c r="A2184" s="534"/>
    </row>
    <row r="2185" spans="1:1">
      <c r="A2185" s="534"/>
    </row>
    <row r="2186" spans="1:1">
      <c r="A2186" s="534"/>
    </row>
    <row r="2187" spans="1:1">
      <c r="A2187" s="534"/>
    </row>
    <row r="2188" spans="1:1">
      <c r="A2188" s="534"/>
    </row>
    <row r="2189" spans="1:1">
      <c r="A2189" s="534"/>
    </row>
    <row r="2190" spans="1:1">
      <c r="A2190" s="534"/>
    </row>
    <row r="2191" spans="1:1">
      <c r="A2191" s="534"/>
    </row>
    <row r="2192" spans="1:1">
      <c r="A2192" s="534"/>
    </row>
    <row r="2193" spans="1:1">
      <c r="A2193" s="534"/>
    </row>
    <row r="2194" spans="1:1">
      <c r="A2194" s="534"/>
    </row>
    <row r="2195" spans="1:1">
      <c r="A2195" s="534"/>
    </row>
    <row r="2196" spans="1:1">
      <c r="A2196" s="534"/>
    </row>
    <row r="2197" spans="1:1">
      <c r="A2197" s="534"/>
    </row>
    <row r="2198" spans="1:1">
      <c r="A2198" s="534"/>
    </row>
    <row r="2199" spans="1:1">
      <c r="A2199" s="534"/>
    </row>
    <row r="2200" spans="1:1">
      <c r="A2200" s="534"/>
    </row>
    <row r="2201" spans="1:1">
      <c r="A2201" s="534"/>
    </row>
    <row r="2202" spans="1:1">
      <c r="A2202" s="534"/>
    </row>
    <row r="2203" spans="1:1">
      <c r="A2203" s="534"/>
    </row>
    <row r="2204" spans="1:1">
      <c r="A2204" s="534"/>
    </row>
    <row r="2205" spans="1:1">
      <c r="A2205" s="534"/>
    </row>
    <row r="2206" spans="1:1">
      <c r="A2206" s="534"/>
    </row>
    <row r="2207" spans="1:1">
      <c r="A2207" s="534"/>
    </row>
    <row r="2208" spans="1:1">
      <c r="A2208" s="534"/>
    </row>
    <row r="2209" spans="1:1">
      <c r="A2209" s="534"/>
    </row>
    <row r="2210" spans="1:1">
      <c r="A2210" s="534"/>
    </row>
    <row r="2211" spans="1:1">
      <c r="A2211" s="534"/>
    </row>
    <row r="2212" spans="1:1">
      <c r="A2212" s="534"/>
    </row>
    <row r="2213" spans="1:1">
      <c r="A2213" s="534"/>
    </row>
    <row r="2214" spans="1:1">
      <c r="A2214" s="534"/>
    </row>
    <row r="2215" spans="1:1">
      <c r="A2215" s="534"/>
    </row>
    <row r="2216" spans="1:1">
      <c r="A2216" s="534"/>
    </row>
    <row r="2217" spans="1:1">
      <c r="A2217" s="534"/>
    </row>
    <row r="2218" spans="1:1">
      <c r="A2218" s="534"/>
    </row>
    <row r="2219" spans="1:1">
      <c r="A2219" s="534"/>
    </row>
    <row r="2220" spans="1:1">
      <c r="A2220" s="534"/>
    </row>
    <row r="2221" spans="1:1">
      <c r="A2221" s="534"/>
    </row>
    <row r="2222" spans="1:1">
      <c r="A2222" s="534"/>
    </row>
    <row r="2223" spans="1:1">
      <c r="A2223" s="534"/>
    </row>
    <row r="2224" spans="1:1">
      <c r="A2224" s="534"/>
    </row>
    <row r="2225" spans="1:1">
      <c r="A2225" s="534"/>
    </row>
    <row r="2226" spans="1:1">
      <c r="A2226" s="534"/>
    </row>
    <row r="2227" spans="1:1">
      <c r="A2227" s="534"/>
    </row>
    <row r="2228" spans="1:1">
      <c r="A2228" s="534"/>
    </row>
    <row r="2229" spans="1:1">
      <c r="A2229" s="534"/>
    </row>
    <row r="2230" spans="1:1">
      <c r="A2230" s="534"/>
    </row>
    <row r="2231" spans="1:1">
      <c r="A2231" s="534"/>
    </row>
    <row r="2232" spans="1:1">
      <c r="A2232" s="534"/>
    </row>
    <row r="2233" spans="1:1">
      <c r="A2233" s="534"/>
    </row>
    <row r="2234" spans="1:1">
      <c r="A2234" s="534"/>
    </row>
    <row r="2235" spans="1:1">
      <c r="A2235" s="534"/>
    </row>
    <row r="2236" spans="1:1">
      <c r="A2236" s="534"/>
    </row>
    <row r="2237" spans="1:1">
      <c r="A2237" s="534"/>
    </row>
    <row r="2238" spans="1:1">
      <c r="A2238" s="534"/>
    </row>
    <row r="2239" spans="1:1">
      <c r="A2239" s="534"/>
    </row>
    <row r="2240" spans="1:1">
      <c r="A2240" s="534"/>
    </row>
    <row r="2241" spans="1:1">
      <c r="A2241" s="534"/>
    </row>
    <row r="2242" spans="1:1">
      <c r="A2242" s="534"/>
    </row>
    <row r="2243" spans="1:1">
      <c r="A2243" s="534"/>
    </row>
    <row r="2244" spans="1:1">
      <c r="A2244" s="534"/>
    </row>
    <row r="2245" spans="1:1">
      <c r="A2245" s="534"/>
    </row>
    <row r="2246" spans="1:1">
      <c r="A2246" s="534"/>
    </row>
    <row r="2247" spans="1:1">
      <c r="A2247" s="534"/>
    </row>
    <row r="2248" spans="1:1">
      <c r="A2248" s="534"/>
    </row>
    <row r="2249" spans="1:1">
      <c r="A2249" s="534"/>
    </row>
    <row r="2250" spans="1:1">
      <c r="A2250" s="534"/>
    </row>
    <row r="2251" spans="1:1">
      <c r="A2251" s="534"/>
    </row>
    <row r="2252" spans="1:1">
      <c r="A2252" s="534"/>
    </row>
    <row r="2253" spans="1:1">
      <c r="A2253" s="534"/>
    </row>
    <row r="2254" spans="1:1">
      <c r="A2254" s="534"/>
    </row>
    <row r="2255" spans="1:1">
      <c r="A2255" s="534"/>
    </row>
    <row r="2256" spans="1:1">
      <c r="A2256" s="534"/>
    </row>
    <row r="2257" spans="1:1">
      <c r="A2257" s="534"/>
    </row>
    <row r="2258" spans="1:1">
      <c r="A2258" s="534"/>
    </row>
    <row r="2259" spans="1:1">
      <c r="A2259" s="534"/>
    </row>
    <row r="2260" spans="1:1">
      <c r="A2260" s="534"/>
    </row>
    <row r="2261" spans="1:1">
      <c r="A2261" s="534"/>
    </row>
    <row r="2262" spans="1:1">
      <c r="A2262" s="534"/>
    </row>
    <row r="2263" spans="1:1">
      <c r="A2263" s="534"/>
    </row>
    <row r="2264" spans="1:1">
      <c r="A2264" s="534"/>
    </row>
    <row r="2265" spans="1:1">
      <c r="A2265" s="534"/>
    </row>
    <row r="2266" spans="1:1">
      <c r="A2266" s="534"/>
    </row>
    <row r="2267" spans="1:1">
      <c r="A2267" s="534"/>
    </row>
    <row r="2268" spans="1:1">
      <c r="A2268" s="534"/>
    </row>
    <row r="2269" spans="1:1">
      <c r="A2269" s="534"/>
    </row>
    <row r="2270" spans="1:1">
      <c r="A2270" s="534"/>
    </row>
    <row r="2271" spans="1:1">
      <c r="A2271" s="534"/>
    </row>
    <row r="2272" spans="1:1">
      <c r="A2272" s="534"/>
    </row>
    <row r="2273" spans="1:1">
      <c r="A2273" s="534"/>
    </row>
    <row r="2274" spans="1:1">
      <c r="A2274" s="534"/>
    </row>
    <row r="2275" spans="1:1">
      <c r="A2275" s="534"/>
    </row>
    <row r="2276" spans="1:1">
      <c r="A2276" s="534"/>
    </row>
    <row r="2277" spans="1:1">
      <c r="A2277" s="534"/>
    </row>
    <row r="2278" spans="1:1">
      <c r="A2278" s="534"/>
    </row>
    <row r="2279" spans="1:1">
      <c r="A2279" s="534"/>
    </row>
    <row r="2280" spans="1:1">
      <c r="A2280" s="534"/>
    </row>
    <row r="2281" spans="1:1">
      <c r="A2281" s="534"/>
    </row>
    <row r="2282" spans="1:1">
      <c r="A2282" s="534"/>
    </row>
    <row r="2283" spans="1:1">
      <c r="A2283" s="534"/>
    </row>
    <row r="2284" spans="1:1">
      <c r="A2284" s="534"/>
    </row>
    <row r="2285" spans="1:1">
      <c r="A2285" s="534"/>
    </row>
    <row r="2286" spans="1:1">
      <c r="A2286" s="534"/>
    </row>
    <row r="2287" spans="1:1">
      <c r="A2287" s="534"/>
    </row>
    <row r="2288" spans="1:1">
      <c r="A2288" s="534"/>
    </row>
    <row r="2289" spans="1:1">
      <c r="A2289" s="534"/>
    </row>
    <row r="2290" spans="1:1">
      <c r="A2290" s="534"/>
    </row>
    <row r="2291" spans="1:1">
      <c r="A2291" s="534"/>
    </row>
    <row r="2292" spans="1:1">
      <c r="A2292" s="534"/>
    </row>
    <row r="2293" spans="1:1">
      <c r="A2293" s="534"/>
    </row>
    <row r="2294" spans="1:1">
      <c r="A2294" s="534"/>
    </row>
    <row r="2295" spans="1:1">
      <c r="A2295" s="534"/>
    </row>
    <row r="2296" spans="1:1">
      <c r="A2296" s="534"/>
    </row>
    <row r="2297" spans="1:1">
      <c r="A2297" s="534"/>
    </row>
    <row r="2298" spans="1:1">
      <c r="A2298" s="534"/>
    </row>
    <row r="2299" spans="1:1">
      <c r="A2299" s="534"/>
    </row>
    <row r="2300" spans="1:1">
      <c r="A2300" s="534"/>
    </row>
    <row r="2301" spans="1:1">
      <c r="A2301" s="534"/>
    </row>
    <row r="2302" spans="1:1">
      <c r="A2302" s="534"/>
    </row>
    <row r="2303" spans="1:1">
      <c r="A2303" s="534"/>
    </row>
    <row r="2304" spans="1:1">
      <c r="A2304" s="534"/>
    </row>
    <row r="2305" spans="1:1">
      <c r="A2305" s="534"/>
    </row>
    <row r="2306" spans="1:1">
      <c r="A2306" s="534"/>
    </row>
    <row r="2307" spans="1:1">
      <c r="A2307" s="534"/>
    </row>
    <row r="2308" spans="1:1">
      <c r="A2308" s="534"/>
    </row>
    <row r="2309" spans="1:1">
      <c r="A2309" s="534"/>
    </row>
    <row r="2310" spans="1:1">
      <c r="A2310" s="534"/>
    </row>
    <row r="2311" spans="1:1">
      <c r="A2311" s="534"/>
    </row>
    <row r="2312" spans="1:1">
      <c r="A2312" s="534"/>
    </row>
    <row r="2313" spans="1:1">
      <c r="A2313" s="534"/>
    </row>
    <row r="2314" spans="1:1">
      <c r="A2314" s="534"/>
    </row>
    <row r="2315" spans="1:1">
      <c r="A2315" s="534"/>
    </row>
    <row r="2316" spans="1:1">
      <c r="A2316" s="534"/>
    </row>
    <row r="2317" spans="1:1">
      <c r="A2317" s="534"/>
    </row>
    <row r="2318" spans="1:1">
      <c r="A2318" s="534"/>
    </row>
    <row r="2319" spans="1:1">
      <c r="A2319" s="534"/>
    </row>
    <row r="2320" spans="1:1">
      <c r="A2320" s="534"/>
    </row>
    <row r="2321" spans="1:1">
      <c r="A2321" s="534"/>
    </row>
    <row r="2322" spans="1:1">
      <c r="A2322" s="534"/>
    </row>
    <row r="2323" spans="1:1">
      <c r="A2323" s="534"/>
    </row>
    <row r="2324" spans="1:1">
      <c r="A2324" s="534"/>
    </row>
    <row r="2325" spans="1:1">
      <c r="A2325" s="534"/>
    </row>
    <row r="2326" spans="1:1">
      <c r="A2326" s="534"/>
    </row>
    <row r="2327" spans="1:1">
      <c r="A2327" s="534"/>
    </row>
    <row r="2328" spans="1:1">
      <c r="A2328" s="534"/>
    </row>
    <row r="2329" spans="1:1">
      <c r="A2329" s="534"/>
    </row>
    <row r="2330" spans="1:1">
      <c r="A2330" s="534"/>
    </row>
    <row r="2331" spans="1:1">
      <c r="A2331" s="534"/>
    </row>
    <row r="2332" spans="1:1">
      <c r="A2332" s="534"/>
    </row>
    <row r="2333" spans="1:1">
      <c r="A2333" s="534"/>
    </row>
    <row r="2334" spans="1:1">
      <c r="A2334" s="534"/>
    </row>
    <row r="2335" spans="1:1">
      <c r="A2335" s="534"/>
    </row>
    <row r="2336" spans="1:1">
      <c r="A2336" s="534"/>
    </row>
    <row r="2337" spans="1:1">
      <c r="A2337" s="534"/>
    </row>
    <row r="2338" spans="1:1">
      <c r="A2338" s="534"/>
    </row>
    <row r="2339" spans="1:1">
      <c r="A2339" s="534"/>
    </row>
    <row r="2340" spans="1:1">
      <c r="A2340" s="534"/>
    </row>
    <row r="2341" spans="1:1">
      <c r="A2341" s="534"/>
    </row>
    <row r="2342" spans="1:1">
      <c r="A2342" s="534"/>
    </row>
    <row r="2343" spans="1:1">
      <c r="A2343" s="534"/>
    </row>
    <row r="2344" spans="1:1">
      <c r="A2344" s="534"/>
    </row>
    <row r="2345" spans="1:1">
      <c r="A2345" s="534"/>
    </row>
    <row r="2346" spans="1:1">
      <c r="A2346" s="534"/>
    </row>
    <row r="2347" spans="1:1">
      <c r="A2347" s="534"/>
    </row>
    <row r="2348" spans="1:1">
      <c r="A2348" s="534"/>
    </row>
    <row r="2349" spans="1:1">
      <c r="A2349" s="534"/>
    </row>
    <row r="2350" spans="1:1">
      <c r="A2350" s="534"/>
    </row>
    <row r="2351" spans="1:1">
      <c r="A2351" s="534"/>
    </row>
    <row r="2352" spans="1:1">
      <c r="A2352" s="534"/>
    </row>
    <row r="2353" spans="1:1">
      <c r="A2353" s="534"/>
    </row>
    <row r="2354" spans="1:1">
      <c r="A2354" s="534"/>
    </row>
    <row r="2355" spans="1:1">
      <c r="A2355" s="534"/>
    </row>
    <row r="2356" spans="1:1">
      <c r="A2356" s="534"/>
    </row>
    <row r="2357" spans="1:1">
      <c r="A2357" s="534"/>
    </row>
    <row r="2358" spans="1:1">
      <c r="A2358" s="534"/>
    </row>
    <row r="2359" spans="1:1">
      <c r="A2359" s="534"/>
    </row>
    <row r="2360" spans="1:1">
      <c r="A2360" s="534"/>
    </row>
    <row r="2361" spans="1:1">
      <c r="A2361" s="534"/>
    </row>
    <row r="2362" spans="1:1">
      <c r="A2362" s="534"/>
    </row>
    <row r="2363" spans="1:1">
      <c r="A2363" s="534"/>
    </row>
    <row r="2364" spans="1:1">
      <c r="A2364" s="534"/>
    </row>
    <row r="2365" spans="1:1">
      <c r="A2365" s="534"/>
    </row>
    <row r="2366" spans="1:1">
      <c r="A2366" s="534"/>
    </row>
    <row r="2367" spans="1:1">
      <c r="A2367" s="534"/>
    </row>
    <row r="2368" spans="1:1">
      <c r="A2368" s="534"/>
    </row>
    <row r="2369" spans="1:1">
      <c r="A2369" s="534"/>
    </row>
    <row r="2370" spans="1:1">
      <c r="A2370" s="534"/>
    </row>
    <row r="2371" spans="1:1">
      <c r="A2371" s="534"/>
    </row>
    <row r="2372" spans="1:1">
      <c r="A2372" s="534"/>
    </row>
    <row r="2373" spans="1:1">
      <c r="A2373" s="534"/>
    </row>
    <row r="2374" spans="1:1">
      <c r="A2374" s="534"/>
    </row>
    <row r="2375" spans="1:1">
      <c r="A2375" s="534"/>
    </row>
    <row r="2376" spans="1:1">
      <c r="A2376" s="534"/>
    </row>
    <row r="2377" spans="1:1">
      <c r="A2377" s="534"/>
    </row>
    <row r="2378" spans="1:1">
      <c r="A2378" s="534"/>
    </row>
    <row r="2379" spans="1:1">
      <c r="A2379" s="534"/>
    </row>
    <row r="2380" spans="1:1">
      <c r="A2380" s="534"/>
    </row>
    <row r="2381" spans="1:1">
      <c r="A2381" s="534"/>
    </row>
    <row r="2382" spans="1:1">
      <c r="A2382" s="534"/>
    </row>
    <row r="2383" spans="1:1">
      <c r="A2383" s="534"/>
    </row>
    <row r="2384" spans="1:1">
      <c r="A2384" s="534"/>
    </row>
    <row r="2385" spans="1:1">
      <c r="A2385" s="534"/>
    </row>
    <row r="2386" spans="1:1">
      <c r="A2386" s="534"/>
    </row>
    <row r="2387" spans="1:1">
      <c r="A2387" s="534"/>
    </row>
    <row r="2388" spans="1:1">
      <c r="A2388" s="534"/>
    </row>
    <row r="2389" spans="1:1">
      <c r="A2389" s="534"/>
    </row>
    <row r="2390" spans="1:1">
      <c r="A2390" s="534"/>
    </row>
    <row r="2391" spans="1:1">
      <c r="A2391" s="534"/>
    </row>
    <row r="2392" spans="1:1">
      <c r="A2392" s="534"/>
    </row>
    <row r="2393" spans="1:1">
      <c r="A2393" s="534"/>
    </row>
    <row r="2394" spans="1:1">
      <c r="A2394" s="534"/>
    </row>
    <row r="2395" spans="1:1">
      <c r="A2395" s="534"/>
    </row>
    <row r="2396" spans="1:1">
      <c r="A2396" s="534"/>
    </row>
    <row r="2397" spans="1:1">
      <c r="A2397" s="534"/>
    </row>
    <row r="2398" spans="1:1">
      <c r="A2398" s="534"/>
    </row>
    <row r="2399" spans="1:1">
      <c r="A2399" s="534"/>
    </row>
    <row r="2400" spans="1:1">
      <c r="A2400" s="534"/>
    </row>
    <row r="2401" spans="1:1">
      <c r="A2401" s="534"/>
    </row>
    <row r="2402" spans="1:1">
      <c r="A2402" s="534"/>
    </row>
    <row r="2403" spans="1:1">
      <c r="A2403" s="534"/>
    </row>
    <row r="2404" spans="1:1">
      <c r="A2404" s="534"/>
    </row>
    <row r="2405" spans="1:1">
      <c r="A2405" s="534"/>
    </row>
    <row r="2406" spans="1:1">
      <c r="A2406" s="534"/>
    </row>
    <row r="2407" spans="1:1">
      <c r="A2407" s="534"/>
    </row>
    <row r="2408" spans="1:1">
      <c r="A2408" s="534"/>
    </row>
    <row r="2409" spans="1:1">
      <c r="A2409" s="534"/>
    </row>
    <row r="2410" spans="1:1">
      <c r="A2410" s="534"/>
    </row>
    <row r="2411" spans="1:1">
      <c r="A2411" s="534"/>
    </row>
    <row r="2412" spans="1:1">
      <c r="A2412" s="534"/>
    </row>
    <row r="2413" spans="1:1">
      <c r="A2413" s="534"/>
    </row>
    <row r="2414" spans="1:1">
      <c r="A2414" s="534"/>
    </row>
    <row r="2415" spans="1:1">
      <c r="A2415" s="534"/>
    </row>
    <row r="2416" spans="1:1">
      <c r="A2416" s="534"/>
    </row>
    <row r="2417" spans="1:1">
      <c r="A2417" s="534"/>
    </row>
    <row r="2418" spans="1:1">
      <c r="A2418" s="534"/>
    </row>
    <row r="2419" spans="1:1">
      <c r="A2419" s="534"/>
    </row>
    <row r="2420" spans="1:1">
      <c r="A2420" s="534"/>
    </row>
    <row r="2421" spans="1:1">
      <c r="A2421" s="534"/>
    </row>
    <row r="2422" spans="1:1">
      <c r="A2422" s="534"/>
    </row>
    <row r="2423" spans="1:1">
      <c r="A2423" s="534"/>
    </row>
    <row r="2424" spans="1:1">
      <c r="A2424" s="534"/>
    </row>
    <row r="2425" spans="1:1">
      <c r="A2425" s="534"/>
    </row>
    <row r="2426" spans="1:1">
      <c r="A2426" s="534"/>
    </row>
    <row r="2427" spans="1:1">
      <c r="A2427" s="534"/>
    </row>
    <row r="2428" spans="1:1">
      <c r="A2428" s="534"/>
    </row>
    <row r="2429" spans="1:1">
      <c r="A2429" s="534"/>
    </row>
    <row r="2430" spans="1:1">
      <c r="A2430" s="534"/>
    </row>
    <row r="2431" spans="1:1">
      <c r="A2431" s="534"/>
    </row>
    <row r="2432" spans="1:1">
      <c r="A2432" s="534"/>
    </row>
    <row r="2433" spans="1:1">
      <c r="A2433" s="534"/>
    </row>
    <row r="2434" spans="1:1">
      <c r="A2434" s="534"/>
    </row>
    <row r="2435" spans="1:1">
      <c r="A2435" s="534"/>
    </row>
    <row r="2436" spans="1:1">
      <c r="A2436" s="534"/>
    </row>
    <row r="2437" spans="1:1">
      <c r="A2437" s="534"/>
    </row>
    <row r="2438" spans="1:1">
      <c r="A2438" s="534"/>
    </row>
    <row r="2439" spans="1:1">
      <c r="A2439" s="534"/>
    </row>
    <row r="2440" spans="1:1">
      <c r="A2440" s="534"/>
    </row>
    <row r="2441" spans="1:1">
      <c r="A2441" s="534"/>
    </row>
    <row r="2442" spans="1:1">
      <c r="A2442" s="534"/>
    </row>
    <row r="2443" spans="1:1">
      <c r="A2443" s="534"/>
    </row>
    <row r="2444" spans="1:1">
      <c r="A2444" s="534"/>
    </row>
    <row r="2445" spans="1:1">
      <c r="A2445" s="534"/>
    </row>
    <row r="2446" spans="1:1">
      <c r="A2446" s="534"/>
    </row>
    <row r="2447" spans="1:1">
      <c r="A2447" s="534"/>
    </row>
    <row r="2448" spans="1:1">
      <c r="A2448" s="534"/>
    </row>
    <row r="2449" spans="1:1">
      <c r="A2449" s="534"/>
    </row>
    <row r="2450" spans="1:1">
      <c r="A2450" s="534"/>
    </row>
    <row r="2451" spans="1:1">
      <c r="A2451" s="534"/>
    </row>
    <row r="2452" spans="1:1">
      <c r="A2452" s="534"/>
    </row>
    <row r="2453" spans="1:1">
      <c r="A2453" s="534"/>
    </row>
    <row r="2454" spans="1:1">
      <c r="A2454" s="534"/>
    </row>
    <row r="2455" spans="1:1">
      <c r="A2455" s="534"/>
    </row>
    <row r="2456" spans="1:1">
      <c r="A2456" s="534"/>
    </row>
    <row r="2457" spans="1:1">
      <c r="A2457" s="534"/>
    </row>
    <row r="2458" spans="1:1">
      <c r="A2458" s="534"/>
    </row>
    <row r="2459" spans="1:1">
      <c r="A2459" s="534"/>
    </row>
    <row r="2460" spans="1:1">
      <c r="A2460" s="534"/>
    </row>
    <row r="2461" spans="1:1">
      <c r="A2461" s="534"/>
    </row>
    <row r="2462" spans="1:1">
      <c r="A2462" s="534"/>
    </row>
    <row r="2463" spans="1:1">
      <c r="A2463" s="534"/>
    </row>
    <row r="2464" spans="1:1">
      <c r="A2464" s="534"/>
    </row>
    <row r="2465" spans="1:1">
      <c r="A2465" s="534"/>
    </row>
    <row r="2466" spans="1:1">
      <c r="A2466" s="534"/>
    </row>
    <row r="2467" spans="1:1">
      <c r="A2467" s="534"/>
    </row>
    <row r="2468" spans="1:1">
      <c r="A2468" s="534"/>
    </row>
    <row r="2469" spans="1:1">
      <c r="A2469" s="534"/>
    </row>
    <row r="2470" spans="1:1">
      <c r="A2470" s="534"/>
    </row>
    <row r="2471" spans="1:1">
      <c r="A2471" s="534"/>
    </row>
    <row r="2472" spans="1:1">
      <c r="A2472" s="534"/>
    </row>
    <row r="2473" spans="1:1">
      <c r="A2473" s="534"/>
    </row>
    <row r="2474" spans="1:1">
      <c r="A2474" s="534"/>
    </row>
    <row r="2475" spans="1:1">
      <c r="A2475" s="534"/>
    </row>
    <row r="2476" spans="1:1">
      <c r="A2476" s="534"/>
    </row>
    <row r="2477" spans="1:1">
      <c r="A2477" s="534"/>
    </row>
    <row r="2478" spans="1:1">
      <c r="A2478" s="534"/>
    </row>
    <row r="2479" spans="1:1">
      <c r="A2479" s="534"/>
    </row>
    <row r="2480" spans="1:1">
      <c r="A2480" s="534"/>
    </row>
    <row r="2481" spans="1:1">
      <c r="A2481" s="534"/>
    </row>
    <row r="2482" spans="1:1">
      <c r="A2482" s="534"/>
    </row>
    <row r="2483" spans="1:1">
      <c r="A2483" s="534"/>
    </row>
    <row r="2484" spans="1:1">
      <c r="A2484" s="534"/>
    </row>
    <row r="2485" spans="1:1">
      <c r="A2485" s="534"/>
    </row>
    <row r="2486" spans="1:1">
      <c r="A2486" s="534"/>
    </row>
    <row r="2487" spans="1:1">
      <c r="A2487" s="534"/>
    </row>
    <row r="2488" spans="1:1">
      <c r="A2488" s="534"/>
    </row>
    <row r="2489" spans="1:1">
      <c r="A2489" s="534"/>
    </row>
    <row r="2490" spans="1:1">
      <c r="A2490" s="534"/>
    </row>
    <row r="2491" spans="1:1">
      <c r="A2491" s="534"/>
    </row>
    <row r="2492" spans="1:1">
      <c r="A2492" s="534"/>
    </row>
    <row r="2493" spans="1:1">
      <c r="A2493" s="534"/>
    </row>
    <row r="2494" spans="1:1">
      <c r="A2494" s="534"/>
    </row>
    <row r="2495" spans="1:1">
      <c r="A2495" s="534"/>
    </row>
    <row r="2496" spans="1:1">
      <c r="A2496" s="534"/>
    </row>
    <row r="2497" spans="1:1">
      <c r="A2497" s="534"/>
    </row>
    <row r="2498" spans="1:1">
      <c r="A2498" s="534"/>
    </row>
    <row r="2499" spans="1:1">
      <c r="A2499" s="534"/>
    </row>
    <row r="2500" spans="1:1">
      <c r="A2500" s="534"/>
    </row>
    <row r="2501" spans="1:1">
      <c r="A2501" s="534"/>
    </row>
    <row r="2502" spans="1:1">
      <c r="A2502" s="534"/>
    </row>
    <row r="2503" spans="1:1">
      <c r="A2503" s="534"/>
    </row>
    <row r="2504" spans="1:1">
      <c r="A2504" s="534"/>
    </row>
    <row r="2505" spans="1:1">
      <c r="A2505" s="534"/>
    </row>
    <row r="2506" spans="1:1">
      <c r="A2506" s="534"/>
    </row>
    <row r="2507" spans="1:1">
      <c r="A2507" s="534"/>
    </row>
    <row r="2508" spans="1:1">
      <c r="A2508" s="534"/>
    </row>
    <row r="2509" spans="1:1">
      <c r="A2509" s="534"/>
    </row>
    <row r="2510" spans="1:1">
      <c r="A2510" s="534"/>
    </row>
    <row r="2511" spans="1:1">
      <c r="A2511" s="534"/>
    </row>
    <row r="2512" spans="1:1">
      <c r="A2512" s="534"/>
    </row>
    <row r="2513" spans="1:1">
      <c r="A2513" s="534"/>
    </row>
    <row r="2514" spans="1:1">
      <c r="A2514" s="534"/>
    </row>
    <row r="2515" spans="1:1">
      <c r="A2515" s="534"/>
    </row>
    <row r="2516" spans="1:1">
      <c r="A2516" s="534"/>
    </row>
    <row r="2517" spans="1:1">
      <c r="A2517" s="534"/>
    </row>
    <row r="2518" spans="1:1">
      <c r="A2518" s="534"/>
    </row>
    <row r="2519" spans="1:1">
      <c r="A2519" s="534"/>
    </row>
    <row r="2520" spans="1:1">
      <c r="A2520" s="534"/>
    </row>
    <row r="2521" spans="1:1">
      <c r="A2521" s="534"/>
    </row>
    <row r="2522" spans="1:1">
      <c r="A2522" s="534"/>
    </row>
    <row r="2523" spans="1:1">
      <c r="A2523" s="534"/>
    </row>
    <row r="2524" spans="1:1">
      <c r="A2524" s="534"/>
    </row>
    <row r="2525" spans="1:1">
      <c r="A2525" s="534"/>
    </row>
    <row r="2526" spans="1:1">
      <c r="A2526" s="534"/>
    </row>
    <row r="2527" spans="1:1">
      <c r="A2527" s="534"/>
    </row>
    <row r="2528" spans="1:1">
      <c r="A2528" s="534"/>
    </row>
    <row r="2529" spans="1:1">
      <c r="A2529" s="534"/>
    </row>
    <row r="2530" spans="1:1">
      <c r="A2530" s="534"/>
    </row>
    <row r="2531" spans="1:1">
      <c r="A2531" s="534"/>
    </row>
    <row r="2532" spans="1:1">
      <c r="A2532" s="534"/>
    </row>
    <row r="2533" spans="1:1">
      <c r="A2533" s="534"/>
    </row>
    <row r="2534" spans="1:1">
      <c r="A2534" s="534"/>
    </row>
    <row r="2535" spans="1:1">
      <c r="A2535" s="534"/>
    </row>
    <row r="2536" spans="1:1">
      <c r="A2536" s="534"/>
    </row>
    <row r="2537" spans="1:1">
      <c r="A2537" s="534"/>
    </row>
    <row r="2538" spans="1:1">
      <c r="A2538" s="534"/>
    </row>
    <row r="2539" spans="1:1">
      <c r="A2539" s="534"/>
    </row>
    <row r="2540" spans="1:1">
      <c r="A2540" s="534"/>
    </row>
    <row r="2541" spans="1:1">
      <c r="A2541" s="534"/>
    </row>
    <row r="2542" spans="1:1">
      <c r="A2542" s="534"/>
    </row>
    <row r="2543" spans="1:1">
      <c r="A2543" s="534"/>
    </row>
    <row r="2544" spans="1:1">
      <c r="A2544" s="534"/>
    </row>
    <row r="2545" spans="1:1">
      <c r="A2545" s="534"/>
    </row>
    <row r="2546" spans="1:1">
      <c r="A2546" s="534"/>
    </row>
    <row r="2547" spans="1:1">
      <c r="A2547" s="534"/>
    </row>
    <row r="2548" spans="1:1">
      <c r="A2548" s="534"/>
    </row>
    <row r="2549" spans="1:1">
      <c r="A2549" s="534"/>
    </row>
    <row r="2550" spans="1:1">
      <c r="A2550" s="534"/>
    </row>
    <row r="2551" spans="1:1">
      <c r="A2551" s="534"/>
    </row>
    <row r="2552" spans="1:1">
      <c r="A2552" s="534"/>
    </row>
    <row r="2553" spans="1:1">
      <c r="A2553" s="534"/>
    </row>
    <row r="2554" spans="1:1">
      <c r="A2554" s="534"/>
    </row>
    <row r="2555" spans="1:1">
      <c r="A2555" s="534"/>
    </row>
    <row r="2556" spans="1:1">
      <c r="A2556" s="534"/>
    </row>
    <row r="2557" spans="1:1">
      <c r="A2557" s="534"/>
    </row>
    <row r="2558" spans="1:1">
      <c r="A2558" s="534"/>
    </row>
    <row r="2559" spans="1:1">
      <c r="A2559" s="534"/>
    </row>
    <row r="2560" spans="1:1">
      <c r="A2560" s="534"/>
    </row>
    <row r="2561" spans="1:1">
      <c r="A2561" s="534"/>
    </row>
    <row r="2562" spans="1:1">
      <c r="A2562" s="534"/>
    </row>
    <row r="2563" spans="1:1">
      <c r="A2563" s="534"/>
    </row>
    <row r="2564" spans="1:1">
      <c r="A2564" s="534"/>
    </row>
    <row r="2565" spans="1:1">
      <c r="A2565" s="534"/>
    </row>
    <row r="2566" spans="1:1">
      <c r="A2566" s="534"/>
    </row>
    <row r="2567" spans="1:1">
      <c r="A2567" s="534"/>
    </row>
    <row r="2568" spans="1:1">
      <c r="A2568" s="534"/>
    </row>
    <row r="2569" spans="1:1">
      <c r="A2569" s="534"/>
    </row>
    <row r="2570" spans="1:1">
      <c r="A2570" s="534"/>
    </row>
    <row r="2571" spans="1:1">
      <c r="A2571" s="534"/>
    </row>
    <row r="2572" spans="1:1">
      <c r="A2572" s="534"/>
    </row>
    <row r="2573" spans="1:1">
      <c r="A2573" s="534"/>
    </row>
    <row r="2574" spans="1:1">
      <c r="A2574" s="534"/>
    </row>
    <row r="2575" spans="1:1">
      <c r="A2575" s="534"/>
    </row>
    <row r="2576" spans="1:1">
      <c r="A2576" s="534"/>
    </row>
    <row r="2577" spans="1:1">
      <c r="A2577" s="534"/>
    </row>
    <row r="2578" spans="1:1">
      <c r="A2578" s="534"/>
    </row>
    <row r="2579" spans="1:1">
      <c r="A2579" s="534"/>
    </row>
    <row r="2580" spans="1:1">
      <c r="A2580" s="534"/>
    </row>
    <row r="2581" spans="1:1">
      <c r="A2581" s="534"/>
    </row>
    <row r="2582" spans="1:1">
      <c r="A2582" s="534"/>
    </row>
    <row r="2583" spans="1:1">
      <c r="A2583" s="534"/>
    </row>
    <row r="2584" spans="1:1">
      <c r="A2584" s="534"/>
    </row>
    <row r="2585" spans="1:1">
      <c r="A2585" s="534"/>
    </row>
    <row r="2586" spans="1:1">
      <c r="A2586" s="534"/>
    </row>
    <row r="2587" spans="1:1">
      <c r="A2587" s="534"/>
    </row>
    <row r="2588" spans="1:1">
      <c r="A2588" s="534"/>
    </row>
    <row r="2589" spans="1:1">
      <c r="A2589" s="534"/>
    </row>
    <row r="2590" spans="1:1">
      <c r="A2590" s="534"/>
    </row>
    <row r="2591" spans="1:1">
      <c r="A2591" s="534"/>
    </row>
    <row r="2592" spans="1:1">
      <c r="A2592" s="534"/>
    </row>
    <row r="2593" spans="1:1">
      <c r="A2593" s="534"/>
    </row>
    <row r="2594" spans="1:1">
      <c r="A2594" s="534"/>
    </row>
    <row r="2595" spans="1:1">
      <c r="A2595" s="534"/>
    </row>
    <row r="2596" spans="1:1">
      <c r="A2596" s="534"/>
    </row>
    <row r="2597" spans="1:1">
      <c r="A2597" s="534"/>
    </row>
    <row r="2598" spans="1:1">
      <c r="A2598" s="534"/>
    </row>
    <row r="2599" spans="1:1">
      <c r="A2599" s="534"/>
    </row>
    <row r="2600" spans="1:1">
      <c r="A2600" s="534"/>
    </row>
    <row r="2601" spans="1:1">
      <c r="A2601" s="534"/>
    </row>
    <row r="2602" spans="1:1">
      <c r="A2602" s="534"/>
    </row>
    <row r="2603" spans="1:1">
      <c r="A2603" s="534"/>
    </row>
    <row r="2604" spans="1:1">
      <c r="A2604" s="534"/>
    </row>
    <row r="2605" spans="1:1">
      <c r="A2605" s="534"/>
    </row>
    <row r="2606" spans="1:1">
      <c r="A2606" s="534"/>
    </row>
    <row r="2607" spans="1:1">
      <c r="A2607" s="534"/>
    </row>
    <row r="2608" spans="1:1">
      <c r="A2608" s="534"/>
    </row>
    <row r="2609" spans="1:1">
      <c r="A2609" s="534"/>
    </row>
    <row r="2610" spans="1:1">
      <c r="A2610" s="534"/>
    </row>
    <row r="2611" spans="1:1">
      <c r="A2611" s="534"/>
    </row>
    <row r="2612" spans="1:1">
      <c r="A2612" s="534"/>
    </row>
    <row r="2613" spans="1:1">
      <c r="A2613" s="534"/>
    </row>
    <row r="2614" spans="1:1">
      <c r="A2614" s="534"/>
    </row>
    <row r="2615" spans="1:1">
      <c r="A2615" s="534"/>
    </row>
    <row r="2616" spans="1:1">
      <c r="A2616" s="534"/>
    </row>
    <row r="2617" spans="1:1">
      <c r="A2617" s="534"/>
    </row>
    <row r="2618" spans="1:1">
      <c r="A2618" s="534"/>
    </row>
    <row r="2619" spans="1:1">
      <c r="A2619" s="534"/>
    </row>
    <row r="2620" spans="1:1">
      <c r="A2620" s="534"/>
    </row>
    <row r="2621" spans="1:1">
      <c r="A2621" s="534"/>
    </row>
    <row r="2622" spans="1:1">
      <c r="A2622" s="534"/>
    </row>
    <row r="2623" spans="1:1">
      <c r="A2623" s="534"/>
    </row>
    <row r="2624" spans="1:1">
      <c r="A2624" s="534"/>
    </row>
    <row r="2625" spans="1:1">
      <c r="A2625" s="534"/>
    </row>
    <row r="2626" spans="1:1">
      <c r="A2626" s="534"/>
    </row>
    <row r="2627" spans="1:1">
      <c r="A2627" s="534"/>
    </row>
  </sheetData>
  <sheetProtection algorithmName="SHA-512" hashValue="qjXi7JZMoSdiyZ1jqFlEUnZxfrpSBtylXc4wQsMHqHviYeFVE2rCQgt/oALQ+4lpboGfqJ6gKID2xBmoFjGeBA==" saltValue="2N8WDEqcwxeWbaLAQ10ukw==" spinCount="100000" sheet="1" scenarios="1"/>
  <protectedRanges>
    <protectedRange sqref="B10:C20 B23:C38 E10:E20 E23:E38 G10:H20 G23:H38 K10:M20 K23:M38" name="Range1"/>
    <protectedRange sqref="B6:C9 G6:H9 K6:M9 E6:E9" name="Range1_1"/>
    <protectedRange sqref="B7:C7" name="Range1_9"/>
    <protectedRange sqref="K7:M7" name="Range1_10"/>
    <protectedRange sqref="B8:C8 E8" name="Range1_11"/>
    <protectedRange sqref="K8:M8" name="Range1_12"/>
  </protectedRanges>
  <customSheetViews>
    <customSheetView guid="{A189EEDB-4C08-4033-8253-44851FC119BC}" scale="90">
      <selection activeCell="I31" sqref="I31"/>
      <pageMargins left="0.7" right="0.7" top="0.75" bottom="0.75" header="0.3" footer="0.3"/>
    </customSheetView>
  </customSheetViews>
  <mergeCells count="12">
    <mergeCell ref="AC4:AC5"/>
    <mergeCell ref="AD4:AD5"/>
    <mergeCell ref="V4:Y4"/>
    <mergeCell ref="A4:A5"/>
    <mergeCell ref="U4:U5"/>
    <mergeCell ref="Z4:Z5"/>
    <mergeCell ref="AB4:AB5"/>
    <mergeCell ref="A1:M1"/>
    <mergeCell ref="A2:M2"/>
    <mergeCell ref="E4:F4"/>
    <mergeCell ref="K4:L4"/>
    <mergeCell ref="Q4:T4"/>
  </mergeCells>
  <pageMargins left="0.7" right="0.7" top="0.75" bottom="0.75" header="0.3" footer="0.3"/>
  <pageSetup orientation="portrait" verticalDpi="72"/>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Y303"/>
  <sheetViews>
    <sheetView zoomScale="90" zoomScaleNormal="90" workbookViewId="0">
      <pane xSplit="4" ySplit="8" topLeftCell="E9" activePane="bottomRight" state="frozen"/>
      <selection pane="topRight"/>
      <selection pane="bottomLeft"/>
      <selection pane="bottomRight" activeCell="G37" sqref="G37"/>
    </sheetView>
  </sheetViews>
  <sheetFormatPr defaultColWidth="9.109375" defaultRowHeight="14.4"/>
  <cols>
    <col min="1" max="1" width="11" style="381" customWidth="1"/>
    <col min="2" max="2" width="17.6640625" style="380" customWidth="1"/>
    <col min="3" max="3" width="11.6640625" style="382" customWidth="1"/>
    <col min="4" max="4" width="12.109375" style="382" customWidth="1"/>
    <col min="5" max="5" width="13.109375" style="382" customWidth="1"/>
    <col min="6" max="6" width="10.6640625" style="382" customWidth="1"/>
    <col min="7" max="7" width="8.88671875" style="383" customWidth="1"/>
    <col min="8" max="8" width="15.6640625" style="384" customWidth="1"/>
    <col min="9" max="9" width="11.5546875" style="385" customWidth="1"/>
    <col min="10" max="10" width="28.5546875" style="382" customWidth="1"/>
    <col min="11" max="11" width="14.44140625" style="382" customWidth="1"/>
    <col min="12" max="12" width="8" style="380" customWidth="1"/>
    <col min="13" max="13" width="7.33203125" style="386" customWidth="1"/>
    <col min="14" max="14" width="12.33203125" style="387" customWidth="1"/>
    <col min="15" max="15" width="10.33203125" style="388" customWidth="1"/>
    <col min="16" max="16" width="9.109375" style="389"/>
    <col min="17" max="17" width="11.88671875" style="380" customWidth="1"/>
    <col min="18" max="18" width="13.44140625" style="380" customWidth="1"/>
    <col min="19" max="19" width="10.33203125" style="380" customWidth="1"/>
    <col min="20" max="21" width="9.109375" style="380"/>
    <col min="22" max="22" width="12.5546875" style="380" customWidth="1"/>
    <col min="23" max="23" width="12.33203125" style="380" customWidth="1"/>
    <col min="24" max="24" width="10.5546875" style="380" customWidth="1"/>
    <col min="25" max="25" width="36.5546875" style="380" customWidth="1"/>
    <col min="26" max="26" width="10.44140625" style="471" customWidth="1"/>
    <col min="27" max="28" width="14.6640625" style="380" customWidth="1"/>
    <col min="29" max="29" width="20" style="380" customWidth="1"/>
    <col min="30" max="30" width="22.109375" style="380" customWidth="1"/>
    <col min="31" max="31" width="16.44140625" style="380" customWidth="1"/>
    <col min="32" max="32" width="14.44140625" style="472" customWidth="1"/>
    <col min="33" max="33" width="18.33203125" style="380" customWidth="1"/>
    <col min="34" max="16384" width="9.109375" style="380"/>
  </cols>
  <sheetData>
    <row r="1" spans="1:259" ht="15.6">
      <c r="A1" s="390" t="s">
        <v>40</v>
      </c>
      <c r="B1" s="384"/>
      <c r="C1" s="385"/>
      <c r="D1" s="385"/>
      <c r="G1" s="391"/>
      <c r="L1" s="387"/>
      <c r="M1" s="424"/>
      <c r="O1" s="387"/>
      <c r="P1" s="425"/>
    </row>
    <row r="2" spans="1:259">
      <c r="A2" s="381" t="s">
        <v>213</v>
      </c>
      <c r="B2" s="384"/>
      <c r="C2" s="385"/>
      <c r="D2" s="385"/>
      <c r="G2" s="391"/>
      <c r="J2" s="380"/>
      <c r="K2" s="380"/>
      <c r="M2" s="424"/>
      <c r="O2" s="387"/>
      <c r="P2" s="425"/>
    </row>
    <row r="3" spans="1:259">
      <c r="A3" s="381" t="s">
        <v>41</v>
      </c>
      <c r="B3" s="473"/>
      <c r="C3" s="385"/>
      <c r="D3" s="385"/>
      <c r="G3" s="391"/>
      <c r="J3" s="380"/>
      <c r="K3" s="380"/>
      <c r="M3" s="424"/>
      <c r="O3" s="387"/>
      <c r="P3" s="425"/>
    </row>
    <row r="4" spans="1:259" ht="26.4">
      <c r="A4" s="393" t="s">
        <v>42</v>
      </c>
      <c r="B4" s="394" t="s">
        <v>43</v>
      </c>
      <c r="C4" s="395"/>
      <c r="D4" s="395"/>
      <c r="E4" s="380"/>
      <c r="F4" s="380"/>
      <c r="G4" s="395"/>
      <c r="H4" s="395"/>
      <c r="I4" s="395"/>
      <c r="J4" s="395"/>
      <c r="K4" s="395"/>
      <c r="L4" s="395"/>
      <c r="M4" s="395"/>
      <c r="N4" s="395"/>
      <c r="O4" s="395"/>
      <c r="R4" s="395"/>
      <c r="S4" s="395"/>
      <c r="T4" s="395"/>
      <c r="U4" s="395"/>
      <c r="AA4" s="395"/>
      <c r="AB4" s="395"/>
      <c r="AC4" s="395"/>
      <c r="AD4" s="395"/>
      <c r="AE4" s="894"/>
      <c r="AF4" s="894"/>
      <c r="AG4" s="894"/>
    </row>
    <row r="5" spans="1:259" ht="13.8">
      <c r="A5" s="396" t="s">
        <v>44</v>
      </c>
      <c r="B5" s="397" t="s">
        <v>45</v>
      </c>
      <c r="C5" s="395"/>
      <c r="D5" s="395"/>
      <c r="E5" s="395"/>
      <c r="F5" s="395"/>
      <c r="G5" s="395"/>
      <c r="H5" s="395"/>
      <c r="I5" s="395"/>
      <c r="J5" s="395"/>
      <c r="K5" s="395"/>
      <c r="L5" s="395"/>
      <c r="M5" s="395"/>
      <c r="N5" s="395"/>
      <c r="O5" s="395"/>
      <c r="P5" s="395"/>
      <c r="Q5" s="395"/>
      <c r="R5" s="395"/>
      <c r="S5" s="395"/>
      <c r="T5" s="395"/>
      <c r="U5" s="395"/>
      <c r="V5" s="395"/>
      <c r="W5" s="395"/>
      <c r="X5" s="395"/>
      <c r="Y5" s="395"/>
      <c r="Z5" s="501"/>
      <c r="AA5" s="395"/>
      <c r="AB5" s="395"/>
      <c r="AC5" s="395"/>
      <c r="AD5" s="395"/>
      <c r="AE5" s="395"/>
      <c r="AF5" s="502"/>
      <c r="AG5" s="395"/>
      <c r="AH5" s="395"/>
      <c r="AI5" s="395"/>
      <c r="AJ5" s="395"/>
      <c r="AK5" s="395"/>
      <c r="AL5" s="395"/>
      <c r="AM5" s="395"/>
      <c r="AN5" s="395"/>
      <c r="AO5" s="395"/>
      <c r="AP5" s="395"/>
      <c r="AQ5" s="395"/>
      <c r="AR5" s="395"/>
      <c r="AS5" s="395"/>
      <c r="AT5" s="395"/>
      <c r="AU5" s="395"/>
      <c r="AV5" s="395"/>
      <c r="AW5" s="395"/>
      <c r="AX5" s="395"/>
      <c r="AY5" s="395"/>
      <c r="AZ5" s="395"/>
      <c r="BA5" s="395"/>
      <c r="BB5" s="395"/>
      <c r="BC5" s="395"/>
      <c r="BD5" s="395"/>
      <c r="BE5" s="395"/>
      <c r="BF5" s="395"/>
      <c r="BG5" s="395"/>
      <c r="BH5" s="395"/>
      <c r="BI5" s="395"/>
      <c r="BJ5" s="395"/>
      <c r="BK5" s="395"/>
      <c r="BL5" s="395"/>
      <c r="BM5" s="395"/>
      <c r="BN5" s="395"/>
      <c r="BO5" s="395"/>
      <c r="BP5" s="395"/>
      <c r="BQ5" s="395"/>
      <c r="BR5" s="395"/>
      <c r="BS5" s="395"/>
      <c r="BT5" s="395"/>
      <c r="BU5" s="395"/>
      <c r="BV5" s="395"/>
      <c r="BW5" s="395"/>
      <c r="BX5" s="395"/>
      <c r="BY5" s="395"/>
      <c r="BZ5" s="395"/>
      <c r="CA5" s="395"/>
      <c r="CB5" s="395"/>
      <c r="CC5" s="395"/>
      <c r="CD5" s="395"/>
      <c r="CE5" s="395"/>
      <c r="CF5" s="395"/>
      <c r="CG5" s="395"/>
      <c r="CH5" s="395"/>
      <c r="CI5" s="395"/>
      <c r="CJ5" s="395"/>
      <c r="CK5" s="395"/>
      <c r="CL5" s="395"/>
      <c r="CM5" s="395"/>
      <c r="CN5" s="395"/>
      <c r="CO5" s="395"/>
      <c r="CP5" s="395"/>
      <c r="CQ5" s="395"/>
      <c r="CR5" s="395"/>
      <c r="CS5" s="395"/>
      <c r="CT5" s="395"/>
      <c r="CU5" s="395"/>
      <c r="CV5" s="395"/>
      <c r="CW5" s="395"/>
      <c r="CX5" s="395"/>
      <c r="CY5" s="395"/>
      <c r="CZ5" s="395"/>
      <c r="DA5" s="395"/>
      <c r="DB5" s="395"/>
      <c r="DC5" s="395"/>
      <c r="DD5" s="395"/>
      <c r="DE5" s="395"/>
      <c r="DF5" s="395"/>
      <c r="DG5" s="395"/>
      <c r="DH5" s="395"/>
      <c r="DI5" s="395"/>
      <c r="DJ5" s="395"/>
      <c r="DK5" s="395"/>
      <c r="DL5" s="395"/>
      <c r="DM5" s="395"/>
      <c r="DN5" s="395"/>
      <c r="DO5" s="395"/>
      <c r="DP5" s="395"/>
      <c r="DQ5" s="395"/>
      <c r="DR5" s="395"/>
      <c r="DS5" s="395"/>
      <c r="DT5" s="395"/>
      <c r="DU5" s="395"/>
      <c r="DV5" s="395"/>
      <c r="DW5" s="395"/>
      <c r="DX5" s="395"/>
      <c r="DY5" s="395"/>
      <c r="DZ5" s="395"/>
      <c r="EA5" s="395"/>
      <c r="EB5" s="395"/>
      <c r="EC5" s="395"/>
      <c r="ED5" s="395"/>
      <c r="EE5" s="395"/>
      <c r="EF5" s="395"/>
      <c r="EG5" s="395"/>
      <c r="EH5" s="395"/>
      <c r="EI5" s="395"/>
      <c r="EJ5" s="395"/>
      <c r="EK5" s="395"/>
      <c r="EL5" s="395"/>
      <c r="EM5" s="395"/>
      <c r="EN5" s="395"/>
      <c r="EO5" s="395"/>
      <c r="EP5" s="395"/>
      <c r="EQ5" s="395"/>
      <c r="ER5" s="395"/>
      <c r="ES5" s="395"/>
      <c r="ET5" s="395"/>
      <c r="EU5" s="395"/>
      <c r="EV5" s="395"/>
      <c r="EW5" s="395"/>
      <c r="EX5" s="395"/>
      <c r="EY5" s="395"/>
      <c r="EZ5" s="395"/>
      <c r="FA5" s="395"/>
      <c r="FB5" s="395"/>
      <c r="FC5" s="395"/>
      <c r="FD5" s="395"/>
      <c r="FE5" s="395"/>
      <c r="FF5" s="395"/>
      <c r="FG5" s="395"/>
      <c r="FH5" s="395"/>
      <c r="FI5" s="395"/>
      <c r="FJ5" s="395"/>
      <c r="FK5" s="395"/>
      <c r="FL5" s="395"/>
      <c r="FM5" s="395"/>
      <c r="FN5" s="395"/>
      <c r="FO5" s="395"/>
      <c r="FP5" s="395"/>
      <c r="FQ5" s="395"/>
      <c r="FR5" s="395"/>
      <c r="FS5" s="395"/>
      <c r="FT5" s="395"/>
      <c r="FU5" s="395"/>
      <c r="FV5" s="395"/>
      <c r="FW5" s="395"/>
      <c r="FX5" s="395"/>
      <c r="FY5" s="395"/>
      <c r="FZ5" s="395"/>
      <c r="GA5" s="395"/>
      <c r="GB5" s="395"/>
      <c r="GC5" s="395"/>
      <c r="GD5" s="395"/>
      <c r="GE5" s="395"/>
      <c r="GF5" s="395"/>
      <c r="GG5" s="395"/>
      <c r="GH5" s="395"/>
      <c r="GI5" s="395"/>
      <c r="GJ5" s="395"/>
      <c r="GK5" s="395"/>
      <c r="GL5" s="395"/>
      <c r="GM5" s="395"/>
      <c r="GN5" s="395"/>
      <c r="GO5" s="395"/>
      <c r="GP5" s="395"/>
      <c r="GQ5" s="395"/>
      <c r="GR5" s="395"/>
      <c r="GS5" s="395"/>
      <c r="GT5" s="395"/>
      <c r="GU5" s="395"/>
      <c r="GV5" s="395"/>
      <c r="GW5" s="395"/>
      <c r="GX5" s="395"/>
      <c r="GY5" s="395"/>
      <c r="GZ5" s="395"/>
      <c r="HA5" s="395"/>
      <c r="HB5" s="395"/>
      <c r="HC5" s="395"/>
      <c r="HD5" s="395"/>
      <c r="HE5" s="395"/>
      <c r="HF5" s="395"/>
      <c r="HG5" s="395"/>
      <c r="HH5" s="395"/>
      <c r="HI5" s="395"/>
      <c r="HJ5" s="395"/>
      <c r="HK5" s="395"/>
      <c r="HL5" s="395"/>
      <c r="HM5" s="395"/>
      <c r="HN5" s="395"/>
      <c r="HO5" s="395"/>
      <c r="HP5" s="395"/>
      <c r="HQ5" s="395"/>
      <c r="HR5" s="395"/>
      <c r="HS5" s="395"/>
      <c r="HT5" s="395"/>
      <c r="HU5" s="395"/>
      <c r="HV5" s="395"/>
      <c r="HW5" s="395"/>
      <c r="HX5" s="395"/>
      <c r="HY5" s="395"/>
      <c r="HZ5" s="395"/>
      <c r="IA5" s="395"/>
      <c r="IB5" s="395"/>
      <c r="IC5" s="395"/>
      <c r="ID5" s="395"/>
      <c r="IE5" s="395"/>
      <c r="IF5" s="395"/>
      <c r="IG5" s="395"/>
      <c r="IH5" s="395"/>
      <c r="II5" s="395"/>
      <c r="IJ5" s="395"/>
      <c r="IK5" s="395"/>
      <c r="IL5" s="395"/>
      <c r="IM5" s="395"/>
      <c r="IN5" s="395"/>
      <c r="IO5" s="395"/>
      <c r="IP5" s="395"/>
      <c r="IQ5" s="395"/>
      <c r="IR5" s="395"/>
      <c r="IS5" s="395"/>
      <c r="IT5" s="395"/>
      <c r="IU5" s="395"/>
      <c r="IV5" s="395"/>
      <c r="IW5" s="395"/>
      <c r="IX5" s="395"/>
      <c r="IY5" s="395"/>
    </row>
    <row r="6" spans="1:259" ht="13.8">
      <c r="A6" s="398" t="s">
        <v>46</v>
      </c>
      <c r="B6" s="399" t="s">
        <v>47</v>
      </c>
      <c r="C6" s="395"/>
      <c r="D6" s="395"/>
      <c r="E6" s="395"/>
      <c r="F6" s="395"/>
      <c r="G6" s="395"/>
      <c r="H6" s="395"/>
      <c r="I6" s="395"/>
      <c r="J6" s="395"/>
      <c r="K6" s="395"/>
      <c r="L6" s="395"/>
      <c r="M6" s="395"/>
      <c r="N6" s="395"/>
      <c r="O6" s="395"/>
      <c r="P6" s="395"/>
      <c r="Q6" s="395"/>
      <c r="R6" s="395"/>
      <c r="S6" s="395"/>
      <c r="T6" s="395"/>
      <c r="U6" s="395"/>
      <c r="V6" s="395"/>
      <c r="W6" s="395"/>
      <c r="X6" s="395"/>
      <c r="Y6" s="395"/>
      <c r="Z6" s="501"/>
      <c r="AA6" s="395"/>
      <c r="AB6" s="395"/>
      <c r="AC6" s="395"/>
      <c r="AD6" s="395"/>
      <c r="AE6" s="395"/>
      <c r="AF6" s="502"/>
      <c r="AG6" s="395"/>
      <c r="AH6" s="395"/>
      <c r="AI6" s="395"/>
      <c r="AJ6" s="395"/>
      <c r="AK6" s="395"/>
      <c r="AL6" s="395"/>
      <c r="AM6" s="395"/>
      <c r="AN6" s="395"/>
      <c r="AO6" s="395"/>
      <c r="AP6" s="395"/>
      <c r="AQ6" s="395"/>
      <c r="AR6" s="395"/>
      <c r="AS6" s="395"/>
      <c r="AT6" s="395"/>
      <c r="AU6" s="395"/>
      <c r="AV6" s="395"/>
      <c r="AW6" s="395"/>
      <c r="AX6" s="395"/>
      <c r="AY6" s="395"/>
      <c r="AZ6" s="395"/>
      <c r="BA6" s="395"/>
      <c r="BB6" s="395"/>
      <c r="BC6" s="395"/>
      <c r="BD6" s="395"/>
      <c r="BE6" s="395"/>
      <c r="BF6" s="395"/>
      <c r="BG6" s="395"/>
      <c r="BH6" s="395"/>
      <c r="BI6" s="395"/>
      <c r="BJ6" s="395"/>
      <c r="BK6" s="395"/>
      <c r="BL6" s="395"/>
      <c r="BM6" s="395"/>
      <c r="BN6" s="395"/>
      <c r="BO6" s="395"/>
      <c r="BP6" s="395"/>
      <c r="BQ6" s="395"/>
      <c r="BR6" s="395"/>
      <c r="BS6" s="395"/>
      <c r="BT6" s="395"/>
      <c r="BU6" s="395"/>
      <c r="BV6" s="395"/>
      <c r="BW6" s="395"/>
      <c r="BX6" s="395"/>
      <c r="BY6" s="395"/>
      <c r="BZ6" s="395"/>
      <c r="CA6" s="395"/>
      <c r="CB6" s="395"/>
      <c r="CC6" s="395"/>
      <c r="CD6" s="395"/>
      <c r="CE6" s="395"/>
      <c r="CF6" s="395"/>
      <c r="CG6" s="395"/>
      <c r="CH6" s="395"/>
      <c r="CI6" s="395"/>
      <c r="CJ6" s="395"/>
      <c r="CK6" s="395"/>
      <c r="CL6" s="395"/>
      <c r="CM6" s="395"/>
      <c r="CN6" s="395"/>
      <c r="CO6" s="395"/>
      <c r="CP6" s="395"/>
      <c r="CQ6" s="395"/>
      <c r="CR6" s="395"/>
      <c r="CS6" s="395"/>
      <c r="CT6" s="395"/>
      <c r="CU6" s="395"/>
      <c r="CV6" s="395"/>
      <c r="CW6" s="395"/>
      <c r="CX6" s="395"/>
      <c r="CY6" s="395"/>
      <c r="CZ6" s="395"/>
      <c r="DA6" s="395"/>
      <c r="DB6" s="395"/>
      <c r="DC6" s="395"/>
      <c r="DD6" s="395"/>
      <c r="DE6" s="395"/>
      <c r="DF6" s="395"/>
      <c r="DG6" s="395"/>
      <c r="DH6" s="395"/>
      <c r="DI6" s="395"/>
      <c r="DJ6" s="395"/>
      <c r="DK6" s="395"/>
      <c r="DL6" s="395"/>
      <c r="DM6" s="395"/>
      <c r="DN6" s="395"/>
      <c r="DO6" s="395"/>
      <c r="DP6" s="395"/>
      <c r="DQ6" s="395"/>
      <c r="DR6" s="395"/>
      <c r="DS6" s="395"/>
      <c r="DT6" s="395"/>
      <c r="DU6" s="395"/>
      <c r="DV6" s="395"/>
      <c r="DW6" s="395"/>
      <c r="DX6" s="395"/>
      <c r="DY6" s="395"/>
      <c r="DZ6" s="395"/>
      <c r="EA6" s="395"/>
      <c r="EB6" s="395"/>
      <c r="EC6" s="395"/>
      <c r="ED6" s="395"/>
      <c r="EE6" s="395"/>
      <c r="EF6" s="395"/>
      <c r="EG6" s="395"/>
      <c r="EH6" s="395"/>
      <c r="EI6" s="395"/>
      <c r="EJ6" s="395"/>
      <c r="EK6" s="395"/>
      <c r="EL6" s="395"/>
      <c r="EM6" s="395"/>
      <c r="EN6" s="395"/>
      <c r="EO6" s="395"/>
      <c r="EP6" s="395"/>
      <c r="EQ6" s="395"/>
      <c r="ER6" s="395"/>
      <c r="ES6" s="395"/>
      <c r="ET6" s="395"/>
      <c r="EU6" s="395"/>
      <c r="EV6" s="395"/>
      <c r="EW6" s="395"/>
      <c r="EX6" s="395"/>
      <c r="EY6" s="395"/>
      <c r="EZ6" s="395"/>
      <c r="FA6" s="395"/>
      <c r="FB6" s="395"/>
      <c r="FC6" s="395"/>
      <c r="FD6" s="395"/>
      <c r="FE6" s="395"/>
      <c r="FF6" s="395"/>
      <c r="FG6" s="395"/>
      <c r="FH6" s="395"/>
      <c r="FI6" s="395"/>
      <c r="FJ6" s="395"/>
      <c r="FK6" s="395"/>
      <c r="FL6" s="395"/>
      <c r="FM6" s="395"/>
      <c r="FN6" s="395"/>
      <c r="FO6" s="395"/>
      <c r="FP6" s="395"/>
      <c r="FQ6" s="395"/>
      <c r="FR6" s="395"/>
      <c r="FS6" s="395"/>
      <c r="FT6" s="395"/>
      <c r="FU6" s="395"/>
      <c r="FV6" s="395"/>
      <c r="FW6" s="395"/>
      <c r="FX6" s="395"/>
      <c r="FY6" s="395"/>
      <c r="FZ6" s="395"/>
      <c r="GA6" s="395"/>
      <c r="GB6" s="395"/>
      <c r="GC6" s="395"/>
      <c r="GD6" s="395"/>
      <c r="GE6" s="395"/>
      <c r="GF6" s="395"/>
      <c r="GG6" s="395"/>
      <c r="GH6" s="395"/>
      <c r="GI6" s="395"/>
      <c r="GJ6" s="395"/>
      <c r="GK6" s="395"/>
      <c r="GL6" s="395"/>
      <c r="GM6" s="395"/>
      <c r="GN6" s="395"/>
      <c r="GO6" s="395"/>
      <c r="GP6" s="395"/>
      <c r="GQ6" s="395"/>
      <c r="GR6" s="395"/>
      <c r="GS6" s="395"/>
      <c r="GT6" s="395"/>
      <c r="GU6" s="395"/>
      <c r="GV6" s="395"/>
      <c r="GW6" s="395"/>
      <c r="GX6" s="395"/>
      <c r="GY6" s="395"/>
      <c r="GZ6" s="395"/>
      <c r="HA6" s="395"/>
      <c r="HB6" s="395"/>
      <c r="HC6" s="395"/>
      <c r="HD6" s="395"/>
      <c r="HE6" s="395"/>
      <c r="HF6" s="395"/>
      <c r="HG6" s="395"/>
      <c r="HH6" s="395"/>
      <c r="HI6" s="395"/>
      <c r="HJ6" s="395"/>
      <c r="HK6" s="395"/>
      <c r="HL6" s="395"/>
      <c r="HM6" s="395"/>
      <c r="HN6" s="395"/>
      <c r="HO6" s="395"/>
      <c r="HP6" s="395"/>
      <c r="HQ6" s="395"/>
      <c r="HR6" s="395"/>
      <c r="HS6" s="395"/>
      <c r="HT6" s="395"/>
      <c r="HU6" s="395"/>
      <c r="HV6" s="395"/>
      <c r="HW6" s="395"/>
      <c r="HX6" s="395"/>
      <c r="HY6" s="395"/>
      <c r="HZ6" s="395"/>
      <c r="IA6" s="395"/>
      <c r="IB6" s="395"/>
      <c r="IC6" s="395"/>
      <c r="ID6" s="395"/>
      <c r="IE6" s="395"/>
      <c r="IF6" s="395"/>
      <c r="IG6" s="395"/>
      <c r="IH6" s="395"/>
      <c r="II6" s="395"/>
      <c r="IJ6" s="395"/>
      <c r="IK6" s="395"/>
      <c r="IL6" s="395"/>
      <c r="IM6" s="395"/>
      <c r="IN6" s="395"/>
      <c r="IO6" s="395"/>
      <c r="IP6" s="395"/>
      <c r="IQ6" s="395"/>
      <c r="IR6" s="395"/>
      <c r="IS6" s="395"/>
      <c r="IT6" s="395"/>
      <c r="IU6" s="395"/>
      <c r="IV6" s="395"/>
      <c r="IW6" s="395"/>
      <c r="IX6" s="395"/>
      <c r="IY6" s="395"/>
    </row>
    <row r="7" spans="1:259" ht="13.2">
      <c r="A7" s="395"/>
      <c r="B7" s="395"/>
      <c r="C7" s="395"/>
      <c r="D7" s="395"/>
      <c r="E7" s="395"/>
      <c r="F7" s="395"/>
      <c r="G7" s="395"/>
      <c r="H7" s="395"/>
      <c r="I7" s="395"/>
      <c r="J7" s="395"/>
      <c r="K7" s="395"/>
      <c r="L7" s="395"/>
      <c r="M7" s="395"/>
      <c r="N7" s="395"/>
      <c r="O7" s="395"/>
      <c r="P7" s="895" t="s">
        <v>16</v>
      </c>
      <c r="Q7" s="896"/>
      <c r="R7" s="395"/>
      <c r="S7" s="395"/>
      <c r="T7" s="395"/>
      <c r="U7" s="395"/>
      <c r="V7" s="897" t="s">
        <v>5</v>
      </c>
      <c r="W7" s="898"/>
      <c r="X7" s="898"/>
      <c r="Y7" s="898"/>
      <c r="Z7" s="899"/>
      <c r="AA7" s="395"/>
      <c r="AB7" s="395"/>
      <c r="AC7" s="395"/>
      <c r="AD7" s="395"/>
      <c r="AE7" s="395"/>
      <c r="AF7" s="502"/>
      <c r="AG7" s="395"/>
      <c r="AH7" s="395"/>
      <c r="AI7" s="395"/>
      <c r="AJ7" s="395"/>
      <c r="AK7" s="395"/>
      <c r="AL7" s="395"/>
      <c r="AM7" s="395"/>
      <c r="AN7" s="395"/>
      <c r="AO7" s="395"/>
      <c r="AP7" s="395"/>
      <c r="AQ7" s="395"/>
      <c r="AR7" s="395"/>
      <c r="AS7" s="395"/>
      <c r="AT7" s="395"/>
      <c r="AU7" s="395"/>
      <c r="AV7" s="395"/>
      <c r="AW7" s="395"/>
      <c r="AX7" s="395"/>
      <c r="AY7" s="395"/>
      <c r="AZ7" s="395"/>
      <c r="BA7" s="395"/>
      <c r="BB7" s="395"/>
      <c r="BC7" s="395"/>
      <c r="BD7" s="395"/>
      <c r="BE7" s="395"/>
      <c r="BF7" s="395"/>
      <c r="BG7" s="395"/>
      <c r="BH7" s="395"/>
      <c r="BI7" s="395"/>
      <c r="BJ7" s="395"/>
      <c r="BK7" s="395"/>
      <c r="BL7" s="395"/>
      <c r="BM7" s="395"/>
      <c r="BN7" s="395"/>
      <c r="BO7" s="395"/>
      <c r="BP7" s="395"/>
      <c r="BQ7" s="395"/>
      <c r="BR7" s="395"/>
      <c r="BS7" s="395"/>
      <c r="BT7" s="395"/>
      <c r="BU7" s="395"/>
      <c r="BV7" s="395"/>
      <c r="BW7" s="395"/>
      <c r="BX7" s="395"/>
      <c r="BY7" s="395"/>
      <c r="BZ7" s="395"/>
      <c r="CA7" s="395"/>
      <c r="CB7" s="395"/>
      <c r="CC7" s="395"/>
      <c r="CD7" s="395"/>
      <c r="CE7" s="395"/>
      <c r="CF7" s="395"/>
      <c r="CG7" s="395"/>
      <c r="CH7" s="395"/>
      <c r="CI7" s="395"/>
      <c r="CJ7" s="395"/>
      <c r="CK7" s="395"/>
      <c r="CL7" s="395"/>
      <c r="CM7" s="395"/>
      <c r="CN7" s="395"/>
      <c r="CO7" s="395"/>
      <c r="CP7" s="395"/>
      <c r="CQ7" s="395"/>
      <c r="CR7" s="395"/>
      <c r="CS7" s="395"/>
      <c r="CT7" s="395"/>
      <c r="CU7" s="395"/>
      <c r="CV7" s="395"/>
      <c r="CW7" s="395"/>
      <c r="CX7" s="395"/>
      <c r="CY7" s="395"/>
      <c r="CZ7" s="395"/>
      <c r="DA7" s="395"/>
      <c r="DB7" s="395"/>
      <c r="DC7" s="395"/>
      <c r="DD7" s="395"/>
      <c r="DE7" s="395"/>
      <c r="DF7" s="395"/>
      <c r="DG7" s="395"/>
      <c r="DH7" s="395"/>
      <c r="DI7" s="395"/>
      <c r="DJ7" s="395"/>
      <c r="DK7" s="395"/>
      <c r="DL7" s="395"/>
      <c r="DM7" s="395"/>
      <c r="DN7" s="395"/>
      <c r="DO7" s="395"/>
      <c r="DP7" s="395"/>
      <c r="DQ7" s="395"/>
      <c r="DR7" s="395"/>
      <c r="DS7" s="395"/>
      <c r="DT7" s="395"/>
      <c r="DU7" s="395"/>
      <c r="DV7" s="395"/>
      <c r="DW7" s="395"/>
      <c r="DX7" s="395"/>
      <c r="DY7" s="395"/>
      <c r="DZ7" s="395"/>
      <c r="EA7" s="395"/>
      <c r="EB7" s="395"/>
      <c r="EC7" s="395"/>
      <c r="ED7" s="395"/>
      <c r="EE7" s="395"/>
      <c r="EF7" s="395"/>
      <c r="EG7" s="395"/>
      <c r="EH7" s="395"/>
      <c r="EI7" s="395"/>
      <c r="EJ7" s="395"/>
      <c r="EK7" s="395"/>
      <c r="EL7" s="395"/>
      <c r="EM7" s="395"/>
      <c r="EN7" s="395"/>
      <c r="EO7" s="395"/>
      <c r="EP7" s="395"/>
      <c r="EQ7" s="395"/>
      <c r="ER7" s="395"/>
      <c r="ES7" s="395"/>
      <c r="ET7" s="395"/>
      <c r="EU7" s="395"/>
      <c r="EV7" s="395"/>
      <c r="EW7" s="395"/>
      <c r="EX7" s="395"/>
      <c r="EY7" s="395"/>
      <c r="EZ7" s="395"/>
      <c r="FA7" s="395"/>
      <c r="FB7" s="395"/>
      <c r="FC7" s="395"/>
      <c r="FD7" s="395"/>
      <c r="FE7" s="395"/>
      <c r="FF7" s="395"/>
      <c r="FG7" s="395"/>
      <c r="FH7" s="395"/>
      <c r="FI7" s="395"/>
      <c r="FJ7" s="395"/>
      <c r="FK7" s="395"/>
      <c r="FL7" s="395"/>
      <c r="FM7" s="395"/>
      <c r="FN7" s="395"/>
      <c r="FO7" s="395"/>
      <c r="FP7" s="395"/>
      <c r="FQ7" s="395"/>
      <c r="FR7" s="395"/>
      <c r="FS7" s="395"/>
      <c r="FT7" s="395"/>
      <c r="FU7" s="395"/>
      <c r="FV7" s="395"/>
      <c r="FW7" s="395"/>
      <c r="FX7" s="395"/>
      <c r="FY7" s="395"/>
      <c r="FZ7" s="395"/>
      <c r="GA7" s="395"/>
      <c r="GB7" s="395"/>
      <c r="GC7" s="395"/>
      <c r="GD7" s="395"/>
      <c r="GE7" s="395"/>
      <c r="GF7" s="395"/>
      <c r="GG7" s="395"/>
      <c r="GH7" s="395"/>
      <c r="GI7" s="395"/>
      <c r="GJ7" s="395"/>
      <c r="GK7" s="395"/>
      <c r="GL7" s="395"/>
      <c r="GM7" s="395"/>
      <c r="GN7" s="395"/>
      <c r="GO7" s="395"/>
      <c r="GP7" s="395"/>
      <c r="GQ7" s="395"/>
      <c r="GR7" s="395"/>
      <c r="GS7" s="395"/>
      <c r="GT7" s="395"/>
      <c r="GU7" s="395"/>
      <c r="GV7" s="395"/>
      <c r="GW7" s="395"/>
      <c r="GX7" s="395"/>
      <c r="GY7" s="395"/>
      <c r="GZ7" s="395"/>
      <c r="HA7" s="395"/>
      <c r="HB7" s="395"/>
      <c r="HC7" s="395"/>
      <c r="HD7" s="395"/>
      <c r="HE7" s="395"/>
      <c r="HF7" s="395"/>
      <c r="HG7" s="395"/>
      <c r="HH7" s="395"/>
      <c r="HI7" s="395"/>
      <c r="HJ7" s="395"/>
      <c r="HK7" s="395"/>
      <c r="HL7" s="395"/>
      <c r="HM7" s="395"/>
      <c r="HN7" s="395"/>
      <c r="HO7" s="395"/>
      <c r="HP7" s="395"/>
      <c r="HQ7" s="395"/>
      <c r="HR7" s="395"/>
      <c r="HS7" s="395"/>
      <c r="HT7" s="395"/>
      <c r="HU7" s="395"/>
      <c r="HV7" s="395"/>
      <c r="HW7" s="395"/>
      <c r="HX7" s="395"/>
      <c r="HY7" s="395"/>
      <c r="HZ7" s="395"/>
      <c r="IA7" s="395"/>
      <c r="IB7" s="395"/>
      <c r="IC7" s="395"/>
      <c r="ID7" s="395"/>
      <c r="IE7" s="395"/>
      <c r="IF7" s="395"/>
      <c r="IG7" s="395"/>
      <c r="IH7" s="395"/>
      <c r="II7" s="395"/>
      <c r="IJ7" s="395"/>
      <c r="IK7" s="395"/>
      <c r="IL7" s="395"/>
      <c r="IM7" s="395"/>
      <c r="IN7" s="395"/>
      <c r="IO7" s="395"/>
      <c r="IP7" s="395"/>
      <c r="IQ7" s="395"/>
      <c r="IR7" s="395"/>
      <c r="IS7" s="395"/>
      <c r="IT7" s="395"/>
      <c r="IU7" s="395"/>
      <c r="IV7" s="395"/>
      <c r="IW7" s="395"/>
      <c r="IX7" s="395"/>
      <c r="IY7" s="395"/>
    </row>
    <row r="8" spans="1:259" s="470" customFormat="1" ht="38.25" customHeight="1">
      <c r="A8" s="474" t="s">
        <v>48</v>
      </c>
      <c r="B8" s="475" t="s">
        <v>49</v>
      </c>
      <c r="C8" s="476" t="s">
        <v>50</v>
      </c>
      <c r="D8" s="477" t="s">
        <v>51</v>
      </c>
      <c r="E8" s="477" t="s">
        <v>52</v>
      </c>
      <c r="F8" s="477" t="s">
        <v>53</v>
      </c>
      <c r="G8" s="478" t="s">
        <v>54</v>
      </c>
      <c r="H8" s="479" t="s">
        <v>55</v>
      </c>
      <c r="I8" s="486" t="s">
        <v>56</v>
      </c>
      <c r="J8" s="486" t="s">
        <v>57</v>
      </c>
      <c r="K8" s="487" t="s">
        <v>58</v>
      </c>
      <c r="L8" s="479" t="s">
        <v>59</v>
      </c>
      <c r="M8" s="479" t="s">
        <v>60</v>
      </c>
      <c r="N8" s="488" t="s">
        <v>61</v>
      </c>
      <c r="O8" s="488" t="s">
        <v>62</v>
      </c>
      <c r="P8" s="489" t="s">
        <v>63</v>
      </c>
      <c r="Q8" s="488" t="s">
        <v>64</v>
      </c>
      <c r="R8" s="488" t="s">
        <v>65</v>
      </c>
      <c r="S8" s="496" t="s">
        <v>66</v>
      </c>
      <c r="T8" s="496" t="s">
        <v>67</v>
      </c>
      <c r="U8" s="496" t="s">
        <v>32</v>
      </c>
      <c r="V8" s="496" t="s">
        <v>68</v>
      </c>
      <c r="W8" s="496" t="s">
        <v>69</v>
      </c>
      <c r="X8" s="496" t="s">
        <v>70</v>
      </c>
      <c r="Y8" s="496" t="s">
        <v>71</v>
      </c>
      <c r="Z8" s="503" t="s">
        <v>5</v>
      </c>
      <c r="AA8" s="496" t="s">
        <v>72</v>
      </c>
      <c r="AB8" s="496" t="s">
        <v>35</v>
      </c>
      <c r="AC8" s="457" t="s">
        <v>43</v>
      </c>
      <c r="AD8" s="457" t="s">
        <v>73</v>
      </c>
      <c r="AE8" s="457" t="s">
        <v>74</v>
      </c>
      <c r="AF8" s="457" t="s">
        <v>75</v>
      </c>
      <c r="AG8" s="463" t="s">
        <v>76</v>
      </c>
    </row>
    <row r="9" spans="1:259">
      <c r="A9" s="480"/>
      <c r="B9" s="481"/>
      <c r="C9" s="414"/>
      <c r="D9" s="482"/>
      <c r="E9" s="409"/>
      <c r="F9" s="482"/>
      <c r="G9" s="483"/>
      <c r="H9" s="484"/>
      <c r="I9" s="2"/>
      <c r="J9" s="414"/>
      <c r="K9" s="440"/>
      <c r="L9" s="430"/>
      <c r="M9" s="431"/>
      <c r="N9" s="430"/>
      <c r="O9" s="432">
        <f t="shared" ref="O9:O19" si="0">M9*N9</f>
        <v>0</v>
      </c>
      <c r="P9" s="433"/>
      <c r="Q9" s="449">
        <f t="shared" ref="Q9:Q15" si="1">O9*P9</f>
        <v>0</v>
      </c>
      <c r="R9" s="450">
        <f t="shared" ref="R9:R19" si="2">O9-Q9</f>
        <v>0</v>
      </c>
      <c r="S9" s="497"/>
      <c r="T9" s="497"/>
      <c r="U9" s="497"/>
      <c r="V9" s="497"/>
      <c r="W9" s="497"/>
      <c r="X9" s="497"/>
      <c r="Y9" s="408"/>
      <c r="Z9" s="497"/>
      <c r="AA9" s="451"/>
      <c r="AB9" s="451"/>
      <c r="AC9" s="459"/>
      <c r="AD9" s="408"/>
      <c r="AE9" s="408"/>
      <c r="AF9" s="504"/>
      <c r="AG9" s="464"/>
    </row>
    <row r="10" spans="1:259">
      <c r="A10" s="480"/>
      <c r="B10" s="481"/>
      <c r="C10" s="414"/>
      <c r="D10" s="414"/>
      <c r="E10" s="414"/>
      <c r="F10" s="414"/>
      <c r="G10" s="485"/>
      <c r="H10" s="442"/>
      <c r="I10" s="490"/>
      <c r="J10" s="414"/>
      <c r="K10" s="491"/>
      <c r="L10" s="492"/>
      <c r="M10" s="492"/>
      <c r="N10" s="493"/>
      <c r="O10" s="432">
        <f t="shared" si="0"/>
        <v>0</v>
      </c>
      <c r="P10" s="439"/>
      <c r="Q10" s="452">
        <f t="shared" si="1"/>
        <v>0</v>
      </c>
      <c r="R10" s="454">
        <f t="shared" si="2"/>
        <v>0</v>
      </c>
      <c r="S10" s="497"/>
      <c r="T10" s="497"/>
      <c r="U10" s="497"/>
      <c r="V10" s="497"/>
      <c r="W10" s="497"/>
      <c r="X10" s="497"/>
      <c r="Y10" s="408"/>
      <c r="Z10" s="497"/>
      <c r="AA10" s="451"/>
      <c r="AB10" s="451"/>
      <c r="AC10" s="459"/>
      <c r="AD10" s="418"/>
      <c r="AE10" s="408"/>
      <c r="AF10" s="504"/>
      <c r="AG10" s="466"/>
    </row>
    <row r="11" spans="1:259">
      <c r="A11" s="480"/>
      <c r="B11" s="481"/>
      <c r="C11" s="414"/>
      <c r="D11" s="414"/>
      <c r="E11" s="414"/>
      <c r="F11" s="414"/>
      <c r="G11" s="485"/>
      <c r="H11" s="442"/>
      <c r="I11" s="490"/>
      <c r="J11" s="414"/>
      <c r="K11" s="491"/>
      <c r="L11" s="492"/>
      <c r="M11" s="492"/>
      <c r="N11" s="443"/>
      <c r="O11" s="432">
        <f t="shared" si="0"/>
        <v>0</v>
      </c>
      <c r="P11" s="439"/>
      <c r="Q11" s="452">
        <f t="shared" si="1"/>
        <v>0</v>
      </c>
      <c r="R11" s="454">
        <f t="shared" si="2"/>
        <v>0</v>
      </c>
      <c r="S11" s="497"/>
      <c r="T11" s="497"/>
      <c r="U11" s="497"/>
      <c r="V11" s="497"/>
      <c r="W11" s="497"/>
      <c r="X11" s="497"/>
      <c r="Y11" s="408"/>
      <c r="Z11" s="497"/>
      <c r="AA11" s="451"/>
      <c r="AB11" s="451"/>
      <c r="AC11" s="459"/>
      <c r="AD11" s="418"/>
      <c r="AE11" s="408"/>
      <c r="AF11" s="504"/>
      <c r="AG11" s="466"/>
    </row>
    <row r="12" spans="1:259">
      <c r="A12" s="480"/>
      <c r="B12" s="481"/>
      <c r="C12" s="414"/>
      <c r="D12" s="414"/>
      <c r="E12" s="414"/>
      <c r="F12" s="414"/>
      <c r="G12" s="485"/>
      <c r="H12" s="442"/>
      <c r="I12" s="490"/>
      <c r="J12" s="414"/>
      <c r="K12" s="491"/>
      <c r="L12" s="442"/>
      <c r="M12" s="442"/>
      <c r="N12" s="443"/>
      <c r="O12" s="432">
        <f t="shared" si="0"/>
        <v>0</v>
      </c>
      <c r="P12" s="439"/>
      <c r="Q12" s="452">
        <f t="shared" si="1"/>
        <v>0</v>
      </c>
      <c r="R12" s="454">
        <f t="shared" si="2"/>
        <v>0</v>
      </c>
      <c r="S12" s="497"/>
      <c r="T12" s="497"/>
      <c r="U12" s="497"/>
      <c r="V12" s="497"/>
      <c r="W12" s="497"/>
      <c r="X12" s="498"/>
      <c r="Y12" s="408"/>
      <c r="Z12" s="497"/>
      <c r="AA12" s="451"/>
      <c r="AB12" s="451"/>
      <c r="AC12" s="459"/>
      <c r="AD12" s="418"/>
      <c r="AE12" s="408"/>
      <c r="AF12" s="505"/>
      <c r="AG12" s="466"/>
    </row>
    <row r="13" spans="1:259">
      <c r="A13" s="480"/>
      <c r="B13" s="413"/>
      <c r="C13" s="414"/>
      <c r="D13" s="414"/>
      <c r="E13" s="414"/>
      <c r="F13" s="414"/>
      <c r="G13" s="485"/>
      <c r="H13" s="442"/>
      <c r="I13" s="490"/>
      <c r="J13" s="414"/>
      <c r="K13" s="494"/>
      <c r="L13" s="442"/>
      <c r="M13" s="442"/>
      <c r="N13" s="443"/>
      <c r="O13" s="432">
        <f t="shared" si="0"/>
        <v>0</v>
      </c>
      <c r="P13" s="439"/>
      <c r="Q13" s="452">
        <f t="shared" si="1"/>
        <v>0</v>
      </c>
      <c r="R13" s="454">
        <f t="shared" si="2"/>
        <v>0</v>
      </c>
      <c r="S13" s="497"/>
      <c r="T13" s="497"/>
      <c r="U13" s="497"/>
      <c r="V13" s="497"/>
      <c r="W13" s="497"/>
      <c r="X13" s="497"/>
      <c r="Y13" s="408"/>
      <c r="Z13" s="497"/>
      <c r="AA13" s="451"/>
      <c r="AB13" s="451"/>
      <c r="AC13" s="459"/>
      <c r="AD13" s="418"/>
      <c r="AE13" s="408"/>
      <c r="AF13" s="505"/>
      <c r="AG13" s="466"/>
    </row>
    <row r="14" spans="1:259">
      <c r="A14" s="480"/>
      <c r="B14" s="413"/>
      <c r="C14" s="414"/>
      <c r="D14" s="408"/>
      <c r="E14" s="414"/>
      <c r="F14" s="414"/>
      <c r="G14" s="485"/>
      <c r="H14" s="442"/>
      <c r="I14" s="2"/>
      <c r="J14" s="414"/>
      <c r="K14" s="440"/>
      <c r="L14" s="442"/>
      <c r="M14" s="442"/>
      <c r="N14" s="441"/>
      <c r="O14" s="432">
        <f t="shared" si="0"/>
        <v>0</v>
      </c>
      <c r="P14" s="439"/>
      <c r="Q14" s="452">
        <f t="shared" si="1"/>
        <v>0</v>
      </c>
      <c r="R14" s="453">
        <f t="shared" si="2"/>
        <v>0</v>
      </c>
      <c r="S14" s="497"/>
      <c r="T14" s="497"/>
      <c r="U14" s="497"/>
      <c r="V14" s="497"/>
      <c r="W14" s="497"/>
      <c r="X14" s="497"/>
      <c r="Y14" s="408"/>
      <c r="Z14" s="497"/>
      <c r="AA14" s="451"/>
      <c r="AB14" s="451"/>
      <c r="AC14" s="459"/>
      <c r="AD14" s="418"/>
      <c r="AE14" s="408"/>
      <c r="AF14" s="506"/>
      <c r="AG14" s="465"/>
    </row>
    <row r="15" spans="1:259">
      <c r="A15" s="480"/>
      <c r="B15" s="413"/>
      <c r="C15" s="414"/>
      <c r="D15" s="408"/>
      <c r="E15" s="414"/>
      <c r="F15" s="414"/>
      <c r="G15" s="485"/>
      <c r="H15" s="442"/>
      <c r="I15" s="2"/>
      <c r="J15" s="414"/>
      <c r="K15" s="440"/>
      <c r="L15" s="442"/>
      <c r="M15" s="442"/>
      <c r="N15" s="441"/>
      <c r="O15" s="432">
        <f t="shared" si="0"/>
        <v>0</v>
      </c>
      <c r="P15" s="439"/>
      <c r="Q15" s="452">
        <f t="shared" si="1"/>
        <v>0</v>
      </c>
      <c r="R15" s="453">
        <f t="shared" si="2"/>
        <v>0</v>
      </c>
      <c r="S15" s="497"/>
      <c r="T15" s="497"/>
      <c r="U15" s="497"/>
      <c r="V15" s="497"/>
      <c r="W15" s="497"/>
      <c r="X15" s="497"/>
      <c r="Y15" s="408"/>
      <c r="Z15" s="500"/>
      <c r="AA15" s="460"/>
      <c r="AB15" s="460"/>
      <c r="AC15" s="459"/>
      <c r="AD15" s="418"/>
      <c r="AE15" s="408"/>
      <c r="AF15" s="506"/>
      <c r="AG15" s="465"/>
    </row>
    <row r="16" spans="1:259">
      <c r="A16" s="480"/>
      <c r="B16" s="413"/>
      <c r="C16" s="414"/>
      <c r="D16" s="408"/>
      <c r="E16" s="414"/>
      <c r="F16" s="414"/>
      <c r="G16" s="485"/>
      <c r="H16" s="442"/>
      <c r="I16" s="2"/>
      <c r="J16" s="414"/>
      <c r="K16" s="440"/>
      <c r="L16" s="495"/>
      <c r="M16" s="442"/>
      <c r="N16" s="441"/>
      <c r="O16" s="432">
        <f t="shared" si="0"/>
        <v>0</v>
      </c>
      <c r="P16" s="439"/>
      <c r="Q16" s="452">
        <f t="shared" ref="Q16:Q19" si="3">O16*P16</f>
        <v>0</v>
      </c>
      <c r="R16" s="453">
        <f t="shared" si="2"/>
        <v>0</v>
      </c>
      <c r="S16" s="497"/>
      <c r="T16" s="497"/>
      <c r="U16" s="497"/>
      <c r="V16" s="497"/>
      <c r="W16" s="497"/>
      <c r="X16" s="497"/>
      <c r="Y16" s="408"/>
      <c r="Z16" s="497"/>
      <c r="AA16" s="451"/>
      <c r="AB16" s="451"/>
      <c r="AC16" s="459"/>
      <c r="AD16" s="418"/>
      <c r="AE16" s="408"/>
      <c r="AF16" s="506"/>
      <c r="AG16" s="465"/>
    </row>
    <row r="17" spans="1:33">
      <c r="A17" s="480"/>
      <c r="B17" s="413"/>
      <c r="C17" s="414"/>
      <c r="D17" s="408"/>
      <c r="E17" s="414"/>
      <c r="F17" s="414"/>
      <c r="G17" s="485"/>
      <c r="H17" s="442"/>
      <c r="I17" s="2"/>
      <c r="J17" s="414"/>
      <c r="K17" s="440"/>
      <c r="L17" s="495"/>
      <c r="M17" s="442"/>
      <c r="N17" s="441"/>
      <c r="O17" s="432">
        <f t="shared" si="0"/>
        <v>0</v>
      </c>
      <c r="P17" s="439"/>
      <c r="Q17" s="499">
        <f t="shared" si="3"/>
        <v>0</v>
      </c>
      <c r="R17" s="453">
        <f t="shared" si="2"/>
        <v>0</v>
      </c>
      <c r="S17" s="497"/>
      <c r="T17" s="497"/>
      <c r="U17" s="497"/>
      <c r="V17" s="497"/>
      <c r="W17" s="497"/>
      <c r="X17" s="497"/>
      <c r="Y17" s="408"/>
      <c r="Z17" s="497"/>
      <c r="AA17" s="451"/>
      <c r="AB17" s="451"/>
      <c r="AC17" s="459"/>
      <c r="AD17" s="418"/>
      <c r="AE17" s="408"/>
      <c r="AF17" s="506"/>
      <c r="AG17" s="465"/>
    </row>
    <row r="18" spans="1:33">
      <c r="A18" s="480"/>
      <c r="B18" s="413"/>
      <c r="C18" s="414"/>
      <c r="D18" s="408"/>
      <c r="E18" s="414"/>
      <c r="F18" s="414"/>
      <c r="G18" s="485"/>
      <c r="H18" s="442"/>
      <c r="I18" s="2"/>
      <c r="J18" s="414"/>
      <c r="K18" s="440"/>
      <c r="L18" s="495"/>
      <c r="M18" s="442"/>
      <c r="N18" s="441"/>
      <c r="O18" s="432">
        <f t="shared" si="0"/>
        <v>0</v>
      </c>
      <c r="P18" s="439"/>
      <c r="Q18" s="499">
        <f t="shared" si="3"/>
        <v>0</v>
      </c>
      <c r="R18" s="453">
        <f t="shared" si="2"/>
        <v>0</v>
      </c>
      <c r="S18" s="497"/>
      <c r="T18" s="497"/>
      <c r="U18" s="497"/>
      <c r="V18" s="497"/>
      <c r="W18" s="497"/>
      <c r="X18" s="497"/>
      <c r="Y18" s="408"/>
      <c r="Z18" s="497"/>
      <c r="AA18" s="451"/>
      <c r="AB18" s="451"/>
      <c r="AC18" s="459"/>
      <c r="AD18" s="418"/>
      <c r="AE18" s="408"/>
      <c r="AF18" s="506"/>
      <c r="AG18" s="465"/>
    </row>
    <row r="19" spans="1:33">
      <c r="A19" s="480"/>
      <c r="B19" s="421"/>
      <c r="C19" s="418"/>
      <c r="D19" s="482"/>
      <c r="E19" s="418"/>
      <c r="F19" s="418"/>
      <c r="G19" s="422"/>
      <c r="H19" s="423"/>
      <c r="I19" s="445"/>
      <c r="J19" s="418"/>
      <c r="K19" s="446"/>
      <c r="L19" s="436"/>
      <c r="M19" s="423"/>
      <c r="N19" s="436"/>
      <c r="O19" s="444">
        <f t="shared" si="0"/>
        <v>0</v>
      </c>
      <c r="P19" s="447"/>
      <c r="Q19" s="455">
        <f t="shared" si="3"/>
        <v>0</v>
      </c>
      <c r="R19" s="454">
        <f t="shared" si="2"/>
        <v>0</v>
      </c>
      <c r="S19" s="500"/>
      <c r="T19" s="500"/>
      <c r="U19" s="500"/>
      <c r="V19" s="500"/>
      <c r="W19" s="500"/>
      <c r="X19" s="500"/>
      <c r="Y19" s="414"/>
      <c r="Z19" s="500"/>
      <c r="AA19" s="460"/>
      <c r="AB19" s="460"/>
      <c r="AC19" s="462"/>
      <c r="AD19" s="456"/>
      <c r="AE19" s="456"/>
      <c r="AF19" s="505"/>
      <c r="AG19" s="466"/>
    </row>
    <row r="20" spans="1:33">
      <c r="C20" s="385"/>
      <c r="D20" s="385"/>
      <c r="E20" s="385"/>
      <c r="F20" s="385"/>
      <c r="G20" s="391"/>
    </row>
    <row r="21" spans="1:33">
      <c r="C21" s="385"/>
      <c r="D21" s="385"/>
      <c r="E21" s="385"/>
      <c r="F21" s="385"/>
      <c r="G21" s="391"/>
    </row>
    <row r="22" spans="1:33">
      <c r="C22" s="385"/>
      <c r="D22" s="385"/>
      <c r="E22" s="385"/>
      <c r="F22" s="385"/>
      <c r="G22" s="391"/>
    </row>
    <row r="23" spans="1:33">
      <c r="C23" s="385"/>
      <c r="D23" s="385"/>
      <c r="E23" s="385"/>
      <c r="F23" s="385"/>
      <c r="G23" s="391"/>
    </row>
    <row r="24" spans="1:33">
      <c r="C24" s="385"/>
      <c r="D24" s="385"/>
      <c r="E24" s="385"/>
      <c r="F24" s="385"/>
      <c r="G24" s="391"/>
    </row>
    <row r="25" spans="1:33">
      <c r="C25" s="385"/>
      <c r="D25" s="385"/>
      <c r="E25" s="385"/>
      <c r="F25" s="385"/>
      <c r="G25" s="391"/>
    </row>
    <row r="26" spans="1:33">
      <c r="C26" s="385"/>
      <c r="D26" s="385"/>
      <c r="E26" s="385"/>
      <c r="F26" s="385"/>
      <c r="G26" s="391"/>
    </row>
    <row r="27" spans="1:33">
      <c r="C27" s="385"/>
      <c r="D27" s="385"/>
      <c r="E27" s="385"/>
      <c r="F27" s="385"/>
      <c r="G27" s="391"/>
    </row>
    <row r="28" spans="1:33">
      <c r="C28" s="385"/>
      <c r="D28" s="385"/>
      <c r="E28" s="385"/>
      <c r="F28" s="385"/>
      <c r="G28" s="391"/>
    </row>
    <row r="29" spans="1:33">
      <c r="C29" s="385"/>
      <c r="D29" s="385"/>
      <c r="E29" s="385"/>
      <c r="F29" s="385"/>
      <c r="G29" s="391"/>
    </row>
    <row r="30" spans="1:33">
      <c r="C30" s="385"/>
      <c r="D30" s="385"/>
      <c r="E30" s="385"/>
      <c r="F30" s="385"/>
      <c r="G30" s="391"/>
    </row>
    <row r="31" spans="1:33">
      <c r="C31" s="385"/>
      <c r="D31" s="385"/>
      <c r="E31" s="385"/>
      <c r="F31" s="385"/>
      <c r="G31" s="391"/>
    </row>
    <row r="32" spans="1:33">
      <c r="C32" s="385"/>
      <c r="D32" s="385"/>
      <c r="E32" s="385"/>
      <c r="F32" s="385"/>
      <c r="G32" s="391"/>
    </row>
    <row r="33" spans="3:7">
      <c r="C33" s="385"/>
      <c r="D33" s="385"/>
      <c r="E33" s="385"/>
      <c r="F33" s="385"/>
      <c r="G33" s="391"/>
    </row>
    <row r="34" spans="3:7">
      <c r="C34" s="385"/>
      <c r="D34" s="385"/>
      <c r="E34" s="385"/>
      <c r="F34" s="385"/>
      <c r="G34" s="391"/>
    </row>
    <row r="35" spans="3:7">
      <c r="C35" s="385"/>
      <c r="D35" s="385"/>
      <c r="E35" s="385"/>
      <c r="F35" s="385"/>
      <c r="G35" s="391"/>
    </row>
    <row r="36" spans="3:7">
      <c r="C36" s="385"/>
      <c r="D36" s="385"/>
      <c r="E36" s="385"/>
      <c r="F36" s="385"/>
      <c r="G36" s="391"/>
    </row>
    <row r="37" spans="3:7">
      <c r="C37" s="385"/>
      <c r="D37" s="385"/>
      <c r="E37" s="385"/>
      <c r="F37" s="385"/>
      <c r="G37" s="391"/>
    </row>
    <row r="38" spans="3:7">
      <c r="C38" s="385"/>
      <c r="D38" s="385"/>
      <c r="E38" s="385"/>
      <c r="F38" s="385"/>
      <c r="G38" s="391"/>
    </row>
    <row r="39" spans="3:7">
      <c r="C39" s="385"/>
      <c r="D39" s="385"/>
      <c r="E39" s="385"/>
      <c r="F39" s="385"/>
      <c r="G39" s="391"/>
    </row>
    <row r="40" spans="3:7">
      <c r="C40" s="385"/>
      <c r="D40" s="385"/>
      <c r="E40" s="385"/>
      <c r="F40" s="385"/>
      <c r="G40" s="391"/>
    </row>
    <row r="41" spans="3:7">
      <c r="C41" s="385"/>
      <c r="D41" s="385"/>
      <c r="E41" s="385"/>
      <c r="F41" s="385"/>
      <c r="G41" s="391"/>
    </row>
    <row r="42" spans="3:7">
      <c r="C42" s="385"/>
      <c r="D42" s="385"/>
      <c r="E42" s="385"/>
      <c r="F42" s="385"/>
      <c r="G42" s="391"/>
    </row>
    <row r="43" spans="3:7">
      <c r="C43" s="385"/>
      <c r="D43" s="385"/>
      <c r="E43" s="385"/>
      <c r="F43" s="385"/>
      <c r="G43" s="391"/>
    </row>
    <row r="44" spans="3:7">
      <c r="C44" s="385"/>
      <c r="D44" s="385"/>
      <c r="E44" s="385"/>
      <c r="F44" s="385"/>
      <c r="G44" s="391"/>
    </row>
    <row r="45" spans="3:7">
      <c r="C45" s="385"/>
      <c r="D45" s="385"/>
      <c r="E45" s="385"/>
      <c r="F45" s="385"/>
      <c r="G45" s="391"/>
    </row>
    <row r="46" spans="3:7">
      <c r="C46" s="385"/>
      <c r="D46" s="385"/>
      <c r="E46" s="385"/>
      <c r="F46" s="385"/>
      <c r="G46" s="391"/>
    </row>
    <row r="47" spans="3:7">
      <c r="C47" s="385"/>
      <c r="D47" s="385"/>
      <c r="E47" s="385"/>
      <c r="F47" s="385"/>
      <c r="G47" s="391"/>
    </row>
    <row r="48" spans="3:7">
      <c r="C48" s="385"/>
      <c r="D48" s="385"/>
      <c r="E48" s="385"/>
      <c r="F48" s="385"/>
      <c r="G48" s="391"/>
    </row>
    <row r="49" spans="3:7">
      <c r="C49" s="385"/>
      <c r="D49" s="385"/>
      <c r="E49" s="385"/>
      <c r="F49" s="385"/>
      <c r="G49" s="391"/>
    </row>
    <row r="50" spans="3:7">
      <c r="C50" s="385"/>
      <c r="D50" s="385"/>
      <c r="E50" s="385"/>
      <c r="F50" s="385"/>
      <c r="G50" s="391"/>
    </row>
    <row r="51" spans="3:7">
      <c r="C51" s="385"/>
      <c r="D51" s="385"/>
      <c r="E51" s="385"/>
      <c r="F51" s="385"/>
      <c r="G51" s="391"/>
    </row>
    <row r="52" spans="3:7">
      <c r="C52" s="385"/>
      <c r="D52" s="385"/>
      <c r="E52" s="385"/>
      <c r="F52" s="385"/>
      <c r="G52" s="391"/>
    </row>
    <row r="53" spans="3:7">
      <c r="C53" s="385"/>
      <c r="D53" s="385"/>
      <c r="E53" s="385"/>
      <c r="F53" s="385"/>
      <c r="G53" s="391"/>
    </row>
    <row r="54" spans="3:7">
      <c r="C54" s="385"/>
      <c r="D54" s="385"/>
      <c r="E54" s="385"/>
      <c r="F54" s="385"/>
      <c r="G54" s="391"/>
    </row>
    <row r="55" spans="3:7">
      <c r="C55" s="385"/>
      <c r="D55" s="385"/>
      <c r="E55" s="385"/>
      <c r="F55" s="385"/>
      <c r="G55" s="391"/>
    </row>
    <row r="56" spans="3:7">
      <c r="C56" s="385"/>
      <c r="D56" s="385"/>
      <c r="E56" s="385"/>
      <c r="F56" s="385"/>
      <c r="G56" s="391"/>
    </row>
    <row r="57" spans="3:7">
      <c r="C57" s="385"/>
      <c r="D57" s="385"/>
      <c r="E57" s="385"/>
      <c r="F57" s="385"/>
      <c r="G57" s="391"/>
    </row>
    <row r="58" spans="3:7">
      <c r="C58" s="385"/>
      <c r="D58" s="385"/>
      <c r="E58" s="385"/>
      <c r="F58" s="385"/>
      <c r="G58" s="391"/>
    </row>
    <row r="59" spans="3:7">
      <c r="C59" s="385"/>
      <c r="D59" s="385"/>
      <c r="E59" s="385"/>
      <c r="F59" s="385"/>
      <c r="G59" s="391"/>
    </row>
    <row r="60" spans="3:7">
      <c r="C60" s="385"/>
      <c r="D60" s="385"/>
      <c r="E60" s="385"/>
      <c r="F60" s="385"/>
      <c r="G60" s="391"/>
    </row>
    <row r="61" spans="3:7">
      <c r="C61" s="385"/>
      <c r="D61" s="385"/>
      <c r="E61" s="385"/>
      <c r="F61" s="385"/>
      <c r="G61" s="391"/>
    </row>
    <row r="62" spans="3:7">
      <c r="C62" s="385"/>
      <c r="D62" s="385"/>
      <c r="E62" s="385"/>
      <c r="F62" s="385"/>
      <c r="G62" s="391"/>
    </row>
    <row r="63" spans="3:7">
      <c r="C63" s="385"/>
      <c r="D63" s="385"/>
      <c r="E63" s="385"/>
      <c r="F63" s="385"/>
      <c r="G63" s="391"/>
    </row>
    <row r="64" spans="3:7">
      <c r="C64" s="385"/>
      <c r="D64" s="385"/>
      <c r="E64" s="385"/>
      <c r="F64" s="385"/>
      <c r="G64" s="391"/>
    </row>
    <row r="65" spans="3:7">
      <c r="C65" s="385"/>
      <c r="D65" s="385"/>
      <c r="E65" s="385"/>
      <c r="F65" s="385"/>
      <c r="G65" s="391"/>
    </row>
    <row r="66" spans="3:7">
      <c r="C66" s="385"/>
      <c r="D66" s="385"/>
      <c r="E66" s="385"/>
      <c r="F66" s="385"/>
      <c r="G66" s="391"/>
    </row>
    <row r="67" spans="3:7">
      <c r="C67" s="385"/>
      <c r="D67" s="385"/>
      <c r="E67" s="385"/>
      <c r="F67" s="385"/>
      <c r="G67" s="391"/>
    </row>
    <row r="68" spans="3:7">
      <c r="C68" s="385"/>
      <c r="D68" s="385"/>
      <c r="E68" s="385"/>
      <c r="F68" s="385"/>
      <c r="G68" s="391"/>
    </row>
    <row r="69" spans="3:7">
      <c r="C69" s="385"/>
      <c r="D69" s="385"/>
      <c r="E69" s="385"/>
      <c r="F69" s="385"/>
      <c r="G69" s="391"/>
    </row>
    <row r="70" spans="3:7">
      <c r="C70" s="385"/>
      <c r="D70" s="385"/>
      <c r="E70" s="385"/>
      <c r="F70" s="385"/>
      <c r="G70" s="391"/>
    </row>
    <row r="71" spans="3:7">
      <c r="C71" s="385"/>
      <c r="D71" s="385"/>
      <c r="E71" s="385"/>
      <c r="F71" s="385"/>
      <c r="G71" s="391"/>
    </row>
    <row r="72" spans="3:7">
      <c r="C72" s="385"/>
      <c r="D72" s="385"/>
      <c r="E72" s="385"/>
      <c r="F72" s="385"/>
      <c r="G72" s="391"/>
    </row>
    <row r="73" spans="3:7">
      <c r="C73" s="385"/>
      <c r="D73" s="385"/>
      <c r="E73" s="385"/>
      <c r="F73" s="385"/>
      <c r="G73" s="391"/>
    </row>
    <row r="74" spans="3:7">
      <c r="C74" s="385"/>
      <c r="D74" s="385"/>
      <c r="E74" s="385"/>
      <c r="F74" s="385"/>
      <c r="G74" s="391"/>
    </row>
    <row r="75" spans="3:7">
      <c r="C75" s="385"/>
      <c r="D75" s="385"/>
      <c r="E75" s="385"/>
      <c r="F75" s="385"/>
      <c r="G75" s="391"/>
    </row>
    <row r="76" spans="3:7">
      <c r="C76" s="385"/>
      <c r="D76" s="385"/>
      <c r="E76" s="385"/>
      <c r="F76" s="385"/>
      <c r="G76" s="391"/>
    </row>
    <row r="77" spans="3:7">
      <c r="C77" s="385"/>
      <c r="D77" s="385"/>
      <c r="E77" s="385"/>
      <c r="F77" s="385"/>
      <c r="G77" s="391"/>
    </row>
    <row r="78" spans="3:7">
      <c r="C78" s="385"/>
      <c r="D78" s="385"/>
      <c r="E78" s="385"/>
      <c r="F78" s="385"/>
      <c r="G78" s="391"/>
    </row>
    <row r="79" spans="3:7">
      <c r="C79" s="385"/>
      <c r="D79" s="385"/>
      <c r="E79" s="385"/>
      <c r="F79" s="385"/>
      <c r="G79" s="391"/>
    </row>
    <row r="80" spans="3:7">
      <c r="C80" s="385"/>
      <c r="D80" s="385"/>
      <c r="E80" s="385"/>
      <c r="F80" s="385"/>
      <c r="G80" s="391"/>
    </row>
    <row r="81" spans="3:7">
      <c r="C81" s="385"/>
      <c r="D81" s="385"/>
      <c r="E81" s="385"/>
      <c r="F81" s="385"/>
      <c r="G81" s="391"/>
    </row>
    <row r="82" spans="3:7">
      <c r="C82" s="385"/>
      <c r="D82" s="385"/>
      <c r="E82" s="385"/>
      <c r="F82" s="385"/>
      <c r="G82" s="391"/>
    </row>
    <row r="83" spans="3:7">
      <c r="C83" s="385"/>
      <c r="D83" s="385"/>
      <c r="E83" s="385"/>
      <c r="F83" s="385"/>
      <c r="G83" s="391"/>
    </row>
    <row r="84" spans="3:7">
      <c r="C84" s="385"/>
      <c r="D84" s="385"/>
      <c r="E84" s="385"/>
      <c r="F84" s="385"/>
      <c r="G84" s="391"/>
    </row>
    <row r="85" spans="3:7">
      <c r="C85" s="467"/>
      <c r="D85" s="467"/>
      <c r="E85" s="467"/>
      <c r="F85" s="467"/>
      <c r="G85" s="468"/>
    </row>
    <row r="87" spans="3:7">
      <c r="C87" s="467"/>
      <c r="D87" s="467"/>
      <c r="E87" s="467"/>
      <c r="F87" s="467"/>
      <c r="G87" s="468"/>
    </row>
    <row r="89" spans="3:7">
      <c r="C89" s="467"/>
      <c r="D89" s="467"/>
      <c r="E89" s="467"/>
      <c r="F89" s="467"/>
      <c r="G89" s="468"/>
    </row>
    <row r="91" spans="3:7">
      <c r="C91" s="467"/>
      <c r="D91" s="467"/>
      <c r="E91" s="467"/>
      <c r="F91" s="467"/>
      <c r="G91" s="468"/>
    </row>
    <row r="129" spans="3:7">
      <c r="C129" s="467"/>
      <c r="D129" s="467"/>
      <c r="E129" s="467"/>
      <c r="F129" s="467"/>
      <c r="G129" s="468"/>
    </row>
    <row r="137" spans="3:7">
      <c r="C137" s="467"/>
      <c r="D137" s="467"/>
      <c r="E137" s="467"/>
      <c r="F137" s="467"/>
      <c r="G137" s="468"/>
    </row>
    <row r="142" spans="3:7">
      <c r="C142" s="467"/>
      <c r="D142" s="467"/>
      <c r="E142" s="467"/>
      <c r="F142" s="467"/>
      <c r="G142" s="468"/>
    </row>
    <row r="145" spans="3:7">
      <c r="C145" s="467"/>
      <c r="D145" s="467"/>
      <c r="E145" s="467"/>
      <c r="F145" s="467"/>
      <c r="G145" s="468"/>
    </row>
    <row r="148" spans="3:7">
      <c r="C148" s="467"/>
      <c r="D148" s="467"/>
      <c r="E148" s="467"/>
      <c r="F148" s="467"/>
      <c r="G148" s="468"/>
    </row>
    <row r="165" spans="3:7">
      <c r="C165" s="467"/>
      <c r="D165" s="467"/>
      <c r="E165" s="467"/>
      <c r="F165" s="467"/>
      <c r="G165" s="468"/>
    </row>
    <row r="167" spans="3:7">
      <c r="C167" s="467"/>
      <c r="D167" s="467"/>
      <c r="E167" s="467"/>
      <c r="F167" s="467"/>
      <c r="G167" s="468"/>
    </row>
    <row r="169" spans="3:7">
      <c r="C169" s="467"/>
      <c r="D169" s="467"/>
      <c r="E169" s="467"/>
      <c r="F169" s="467"/>
      <c r="G169" s="468"/>
    </row>
    <row r="171" spans="3:7">
      <c r="C171" s="467"/>
      <c r="D171" s="467"/>
      <c r="E171" s="467"/>
      <c r="F171" s="467"/>
      <c r="G171" s="468"/>
    </row>
    <row r="173" spans="3:7">
      <c r="C173" s="467"/>
      <c r="D173" s="467"/>
      <c r="E173" s="467"/>
      <c r="F173" s="467"/>
      <c r="G173" s="468"/>
    </row>
    <row r="175" spans="3:7">
      <c r="C175" s="467"/>
      <c r="D175" s="467"/>
      <c r="E175" s="467"/>
      <c r="F175" s="467"/>
      <c r="G175" s="468"/>
    </row>
    <row r="177" spans="3:7">
      <c r="C177" s="467"/>
      <c r="D177" s="467"/>
      <c r="E177" s="467"/>
      <c r="F177" s="467"/>
      <c r="G177" s="468"/>
    </row>
    <row r="179" spans="3:7">
      <c r="C179" s="467"/>
      <c r="D179" s="467"/>
      <c r="E179" s="467"/>
      <c r="F179" s="467"/>
      <c r="G179" s="468"/>
    </row>
    <row r="181" spans="3:7">
      <c r="C181" s="467"/>
      <c r="D181" s="467"/>
      <c r="E181" s="467"/>
      <c r="F181" s="467"/>
      <c r="G181" s="468"/>
    </row>
    <row r="183" spans="3:7">
      <c r="C183" s="467"/>
      <c r="D183" s="467"/>
      <c r="E183" s="467"/>
      <c r="F183" s="467"/>
      <c r="G183" s="468"/>
    </row>
    <row r="185" spans="3:7">
      <c r="C185" s="467"/>
      <c r="D185" s="467"/>
      <c r="E185" s="467"/>
      <c r="F185" s="467"/>
      <c r="G185" s="468"/>
    </row>
    <row r="187" spans="3:7">
      <c r="C187" s="467"/>
      <c r="D187" s="467"/>
      <c r="E187" s="467"/>
      <c r="F187" s="467"/>
      <c r="G187" s="468"/>
    </row>
    <row r="189" spans="3:7">
      <c r="C189" s="467"/>
      <c r="D189" s="467"/>
      <c r="E189" s="467"/>
      <c r="F189" s="467"/>
      <c r="G189" s="468"/>
    </row>
    <row r="191" spans="3:7">
      <c r="C191" s="467"/>
      <c r="D191" s="467"/>
      <c r="E191" s="467"/>
      <c r="F191" s="467"/>
      <c r="G191" s="468"/>
    </row>
    <row r="193" spans="3:7">
      <c r="C193" s="467"/>
      <c r="D193" s="467"/>
      <c r="E193" s="467"/>
      <c r="F193" s="467"/>
      <c r="G193" s="468"/>
    </row>
    <row r="195" spans="3:7">
      <c r="C195" s="467"/>
      <c r="D195" s="467"/>
      <c r="E195" s="467"/>
      <c r="F195" s="467"/>
      <c r="G195" s="468"/>
    </row>
    <row r="197" spans="3:7">
      <c r="C197" s="467"/>
      <c r="D197" s="467"/>
      <c r="E197" s="467"/>
      <c r="F197" s="467"/>
      <c r="G197" s="468"/>
    </row>
    <row r="199" spans="3:7">
      <c r="C199" s="467"/>
      <c r="D199" s="467"/>
      <c r="E199" s="467"/>
      <c r="F199" s="467"/>
      <c r="G199" s="468"/>
    </row>
    <row r="201" spans="3:7">
      <c r="C201" s="467"/>
      <c r="D201" s="467"/>
      <c r="E201" s="467"/>
      <c r="F201" s="467"/>
      <c r="G201" s="468"/>
    </row>
    <row r="203" spans="3:7">
      <c r="C203" s="467"/>
      <c r="D203" s="467"/>
      <c r="E203" s="467"/>
      <c r="F203" s="467"/>
      <c r="G203" s="468"/>
    </row>
    <row r="205" spans="3:7">
      <c r="C205" s="467"/>
      <c r="D205" s="467"/>
      <c r="E205" s="467"/>
      <c r="F205" s="467"/>
      <c r="G205" s="468"/>
    </row>
    <row r="207" spans="3:7">
      <c r="C207" s="467"/>
      <c r="D207" s="467"/>
      <c r="E207" s="467"/>
      <c r="F207" s="467"/>
      <c r="G207" s="468"/>
    </row>
    <row r="209" spans="3:7">
      <c r="C209" s="467"/>
      <c r="D209" s="467"/>
      <c r="E209" s="467"/>
      <c r="F209" s="467"/>
      <c r="G209" s="468"/>
    </row>
    <row r="211" spans="3:7">
      <c r="C211" s="467"/>
      <c r="D211" s="467"/>
      <c r="E211" s="467"/>
      <c r="F211" s="467"/>
      <c r="G211" s="468"/>
    </row>
    <row r="213" spans="3:7">
      <c r="C213" s="467"/>
      <c r="D213" s="467"/>
      <c r="E213" s="467"/>
      <c r="F213" s="467"/>
      <c r="G213" s="468"/>
    </row>
    <row r="215" spans="3:7">
      <c r="C215" s="467"/>
      <c r="D215" s="467"/>
      <c r="E215" s="467"/>
      <c r="F215" s="467"/>
      <c r="G215" s="468"/>
    </row>
    <row r="217" spans="3:7">
      <c r="C217" s="467"/>
      <c r="D217" s="467"/>
      <c r="E217" s="467"/>
      <c r="F217" s="467"/>
      <c r="G217" s="468"/>
    </row>
    <row r="219" spans="3:7">
      <c r="C219" s="467"/>
      <c r="D219" s="467"/>
      <c r="E219" s="467"/>
      <c r="F219" s="467"/>
      <c r="G219" s="468"/>
    </row>
    <row r="221" spans="3:7">
      <c r="C221" s="467"/>
      <c r="D221" s="467"/>
      <c r="E221" s="467"/>
      <c r="F221" s="467"/>
      <c r="G221" s="468"/>
    </row>
    <row r="223" spans="3:7">
      <c r="C223" s="467"/>
      <c r="D223" s="467"/>
      <c r="E223" s="467"/>
      <c r="F223" s="467"/>
      <c r="G223" s="468"/>
    </row>
    <row r="225" spans="3:7">
      <c r="C225" s="467"/>
      <c r="D225" s="467"/>
      <c r="E225" s="467"/>
      <c r="F225" s="467"/>
      <c r="G225" s="468"/>
    </row>
    <row r="227" spans="3:7">
      <c r="C227" s="467"/>
      <c r="D227" s="467"/>
      <c r="E227" s="467"/>
      <c r="F227" s="467"/>
      <c r="G227" s="468"/>
    </row>
    <row r="229" spans="3:7">
      <c r="C229" s="467"/>
      <c r="D229" s="467"/>
      <c r="E229" s="467"/>
      <c r="F229" s="467"/>
      <c r="G229" s="468"/>
    </row>
    <row r="231" spans="3:7">
      <c r="C231" s="467"/>
      <c r="D231" s="467"/>
      <c r="E231" s="467"/>
      <c r="F231" s="467"/>
      <c r="G231" s="468"/>
    </row>
    <row r="233" spans="3:7">
      <c r="C233" s="467"/>
      <c r="D233" s="467"/>
      <c r="E233" s="467"/>
      <c r="F233" s="467"/>
      <c r="G233" s="468"/>
    </row>
    <row r="235" spans="3:7">
      <c r="C235" s="467"/>
      <c r="D235" s="467"/>
      <c r="E235" s="467"/>
      <c r="F235" s="467"/>
      <c r="G235" s="468"/>
    </row>
    <row r="237" spans="3:7">
      <c r="C237" s="467"/>
      <c r="D237" s="467"/>
      <c r="E237" s="467"/>
      <c r="F237" s="467"/>
      <c r="G237" s="468"/>
    </row>
    <row r="239" spans="3:7">
      <c r="C239" s="467"/>
      <c r="D239" s="467"/>
      <c r="E239" s="467"/>
      <c r="F239" s="467"/>
      <c r="G239" s="468"/>
    </row>
    <row r="241" spans="3:7">
      <c r="C241" s="467"/>
      <c r="D241" s="467"/>
      <c r="E241" s="467"/>
      <c r="F241" s="467"/>
      <c r="G241" s="468"/>
    </row>
    <row r="243" spans="3:7">
      <c r="C243" s="467"/>
      <c r="D243" s="467"/>
      <c r="E243" s="467"/>
      <c r="F243" s="467"/>
      <c r="G243" s="468"/>
    </row>
    <row r="245" spans="3:7">
      <c r="C245" s="467"/>
      <c r="D245" s="467"/>
      <c r="E245" s="467"/>
      <c r="F245" s="467"/>
      <c r="G245" s="468"/>
    </row>
    <row r="247" spans="3:7">
      <c r="C247" s="467"/>
      <c r="D247" s="467"/>
      <c r="E247" s="467"/>
      <c r="F247" s="467"/>
      <c r="G247" s="468"/>
    </row>
    <row r="249" spans="3:7">
      <c r="C249" s="467"/>
      <c r="D249" s="467"/>
      <c r="E249" s="467"/>
      <c r="F249" s="467"/>
      <c r="G249" s="468"/>
    </row>
    <row r="251" spans="3:7">
      <c r="C251" s="467"/>
      <c r="D251" s="467"/>
      <c r="E251" s="467"/>
      <c r="F251" s="467"/>
      <c r="G251" s="468"/>
    </row>
    <row r="253" spans="3:7">
      <c r="C253" s="467"/>
      <c r="D253" s="467"/>
      <c r="E253" s="467"/>
      <c r="F253" s="467"/>
      <c r="G253" s="468"/>
    </row>
    <row r="255" spans="3:7">
      <c r="C255" s="467"/>
      <c r="D255" s="467"/>
      <c r="E255" s="467"/>
      <c r="F255" s="467"/>
      <c r="G255" s="468"/>
    </row>
    <row r="257" spans="3:7">
      <c r="C257" s="467"/>
      <c r="D257" s="467"/>
      <c r="E257" s="467"/>
      <c r="F257" s="467"/>
      <c r="G257" s="468"/>
    </row>
    <row r="259" spans="3:7">
      <c r="C259" s="467"/>
      <c r="D259" s="467"/>
      <c r="E259" s="467"/>
      <c r="F259" s="467"/>
      <c r="G259" s="468"/>
    </row>
    <row r="261" spans="3:7">
      <c r="C261" s="467"/>
      <c r="D261" s="467"/>
      <c r="E261" s="467"/>
      <c r="F261" s="467"/>
      <c r="G261" s="468"/>
    </row>
    <row r="263" spans="3:7">
      <c r="C263" s="467"/>
      <c r="D263" s="467"/>
      <c r="E263" s="467"/>
      <c r="F263" s="467"/>
      <c r="G263" s="468"/>
    </row>
    <row r="267" spans="3:7">
      <c r="C267" s="467"/>
      <c r="D267" s="467"/>
      <c r="E267" s="467"/>
      <c r="F267" s="467"/>
      <c r="G267" s="468"/>
    </row>
    <row r="269" spans="3:7">
      <c r="C269" s="467"/>
      <c r="D269" s="467"/>
      <c r="E269" s="467"/>
      <c r="F269" s="467"/>
      <c r="G269" s="468"/>
    </row>
    <row r="271" spans="3:7">
      <c r="C271" s="467"/>
      <c r="D271" s="467"/>
      <c r="E271" s="467"/>
      <c r="F271" s="467"/>
      <c r="G271" s="468"/>
    </row>
    <row r="273" spans="3:7">
      <c r="C273" s="467"/>
      <c r="D273" s="467"/>
      <c r="E273" s="467"/>
      <c r="F273" s="467"/>
      <c r="G273" s="468"/>
    </row>
    <row r="275" spans="3:7">
      <c r="C275" s="467"/>
      <c r="D275" s="467"/>
      <c r="E275" s="467"/>
      <c r="F275" s="467"/>
      <c r="G275" s="468"/>
    </row>
    <row r="277" spans="3:7">
      <c r="C277" s="467"/>
      <c r="D277" s="467"/>
      <c r="E277" s="467"/>
      <c r="F277" s="467"/>
      <c r="G277" s="468"/>
    </row>
    <row r="279" spans="3:7">
      <c r="C279" s="467"/>
      <c r="D279" s="467"/>
      <c r="E279" s="467"/>
      <c r="F279" s="467"/>
      <c r="G279" s="468"/>
    </row>
    <row r="281" spans="3:7">
      <c r="C281" s="467"/>
      <c r="D281" s="467"/>
      <c r="E281" s="467"/>
      <c r="F281" s="467"/>
      <c r="G281" s="468"/>
    </row>
    <row r="283" spans="3:7">
      <c r="C283" s="467"/>
      <c r="D283" s="467"/>
      <c r="E283" s="467"/>
      <c r="F283" s="467"/>
      <c r="G283" s="468"/>
    </row>
    <row r="285" spans="3:7">
      <c r="C285" s="467"/>
      <c r="D285" s="467"/>
      <c r="E285" s="467"/>
      <c r="F285" s="467"/>
      <c r="G285" s="468"/>
    </row>
    <row r="287" spans="3:7">
      <c r="C287" s="467"/>
      <c r="D287" s="467"/>
      <c r="E287" s="467"/>
      <c r="F287" s="467"/>
      <c r="G287" s="468"/>
    </row>
    <row r="289" spans="3:15">
      <c r="C289" s="467"/>
      <c r="D289" s="467"/>
      <c r="E289" s="467"/>
      <c r="F289" s="467"/>
      <c r="G289" s="468"/>
    </row>
    <row r="291" spans="3:15">
      <c r="C291" s="467"/>
      <c r="D291" s="467"/>
      <c r="E291" s="467"/>
      <c r="F291" s="467"/>
      <c r="G291" s="468"/>
    </row>
    <row r="293" spans="3:15">
      <c r="C293" s="467"/>
      <c r="D293" s="467"/>
      <c r="E293" s="467"/>
      <c r="F293" s="467"/>
      <c r="G293" s="468"/>
    </row>
    <row r="295" spans="3:15">
      <c r="C295" s="467"/>
      <c r="D295" s="467"/>
      <c r="E295" s="467"/>
      <c r="F295" s="467"/>
      <c r="G295" s="468"/>
    </row>
    <row r="297" spans="3:15">
      <c r="C297" s="467"/>
      <c r="D297" s="467"/>
      <c r="E297" s="467"/>
      <c r="F297" s="467"/>
      <c r="G297" s="468"/>
    </row>
    <row r="299" spans="3:15">
      <c r="C299" s="467"/>
      <c r="D299" s="467"/>
      <c r="E299" s="467"/>
      <c r="F299" s="467"/>
      <c r="G299" s="468"/>
    </row>
    <row r="301" spans="3:15">
      <c r="C301" s="467"/>
      <c r="D301" s="467"/>
      <c r="E301" s="467"/>
      <c r="F301" s="467"/>
      <c r="G301" s="468"/>
    </row>
    <row r="303" spans="3:15">
      <c r="O303" s="469">
        <f>SUBTOTAL(9,O10:O302)</f>
        <v>0</v>
      </c>
    </row>
  </sheetData>
  <customSheetViews>
    <customSheetView guid="{A189EEDB-4C08-4033-8253-44851FC119BC}">
      <selection activeCell="F25" sqref="F25"/>
      <pageMargins left="0.7" right="0.7" top="0.75" bottom="0.75" header="0.3" footer="0.3"/>
    </customSheetView>
  </customSheetViews>
  <mergeCells count="3">
    <mergeCell ref="AE4:AG4"/>
    <mergeCell ref="P7:Q7"/>
    <mergeCell ref="V7:Z7"/>
  </mergeCells>
  <dataValidations count="2">
    <dataValidation type="list" allowBlank="1" showInputMessage="1" showErrorMessage="1" sqref="D1:D1048576" xr:uid="{00000000-0002-0000-0100-000000000000}">
      <formula1>"Manual,OutSale"</formula1>
    </dataValidation>
    <dataValidation type="list" allowBlank="1" showInputMessage="1" showErrorMessage="1" sqref="AC9:AC18" xr:uid="{00000000-0002-0000-0100-000001000000}">
      <formula1>"ITEM NOT ON FILE,  SYSTEM MALFUCTION"</formula1>
    </dataValidation>
  </dataValidations>
  <pageMargins left="0.7" right="0.7" top="0.75" bottom="0.75" header="0.3" footer="0.3"/>
  <pageSetup orientation="portrait" verticalDpi="7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Y330"/>
  <sheetViews>
    <sheetView zoomScale="90" zoomScaleNormal="90" workbookViewId="0">
      <pane xSplit="3" ySplit="8" topLeftCell="D9" activePane="bottomRight" state="frozen"/>
      <selection pane="topRight"/>
      <selection pane="bottomLeft"/>
      <selection pane="bottomRight" activeCell="F4" sqref="F4"/>
    </sheetView>
  </sheetViews>
  <sheetFormatPr defaultColWidth="9.109375" defaultRowHeight="14.4"/>
  <cols>
    <col min="1" max="1" width="12.33203125" style="381" customWidth="1"/>
    <col min="2" max="2" width="19.6640625" style="380" customWidth="1"/>
    <col min="3" max="3" width="11.6640625" style="382" customWidth="1"/>
    <col min="4" max="4" width="12.109375" style="382" customWidth="1"/>
    <col min="5" max="5" width="10.5546875" style="382" customWidth="1"/>
    <col min="6" max="6" width="9.88671875" style="382" customWidth="1"/>
    <col min="7" max="7" width="14.88671875" style="383" customWidth="1"/>
    <col min="8" max="8" width="16.109375" style="384" customWidth="1"/>
    <col min="9" max="9" width="11.5546875" style="385" customWidth="1"/>
    <col min="10" max="10" width="30.6640625" style="382" customWidth="1"/>
    <col min="11" max="11" width="27.88671875" style="382" customWidth="1"/>
    <col min="12" max="12" width="16.109375" style="380" customWidth="1"/>
    <col min="13" max="13" width="9" style="386" customWidth="1"/>
    <col min="14" max="14" width="12.33203125" style="387" customWidth="1"/>
    <col min="15" max="15" width="10.33203125" style="388" customWidth="1"/>
    <col min="16" max="16" width="9.109375" style="389"/>
    <col min="17" max="17" width="11.88671875" style="380" customWidth="1"/>
    <col min="18" max="18" width="13.44140625" style="380" customWidth="1"/>
    <col min="19" max="21" width="9.109375" style="380"/>
    <col min="22" max="22" width="15" style="380" customWidth="1"/>
    <col min="23" max="23" width="22.5546875" style="380" customWidth="1"/>
    <col min="24" max="24" width="14.44140625" style="380" customWidth="1"/>
    <col min="25" max="25" width="36.5546875" style="380" customWidth="1"/>
    <col min="26" max="26" width="10.44140625" style="380" customWidth="1"/>
    <col min="27" max="28" width="14.6640625" style="380" customWidth="1"/>
    <col min="29" max="29" width="19" style="380" customWidth="1"/>
    <col min="30" max="30" width="20.6640625" style="380" customWidth="1"/>
    <col min="31" max="31" width="18.33203125" style="380" customWidth="1"/>
    <col min="32" max="32" width="13.5546875" style="380" customWidth="1"/>
    <col min="33" max="33" width="18.33203125" style="380" customWidth="1"/>
    <col min="34" max="16384" width="9.109375" style="380"/>
  </cols>
  <sheetData>
    <row r="1" spans="1:259" ht="15.6">
      <c r="A1" s="390" t="s">
        <v>77</v>
      </c>
      <c r="B1" s="384"/>
      <c r="C1" s="385"/>
      <c r="D1" s="385"/>
      <c r="G1" s="391"/>
      <c r="L1" s="387"/>
      <c r="M1" s="424"/>
      <c r="O1" s="387"/>
      <c r="P1" s="425"/>
    </row>
    <row r="2" spans="1:259">
      <c r="A2" s="381" t="s">
        <v>213</v>
      </c>
      <c r="B2" s="384"/>
      <c r="C2" s="385"/>
      <c r="D2" s="385"/>
      <c r="G2" s="391"/>
      <c r="J2" s="380"/>
      <c r="K2" s="380"/>
      <c r="M2" s="424"/>
      <c r="O2" s="387"/>
      <c r="P2" s="425"/>
    </row>
    <row r="3" spans="1:259">
      <c r="A3" s="381" t="s">
        <v>41</v>
      </c>
      <c r="B3" s="392">
        <f>MSI!B3</f>
        <v>0</v>
      </c>
      <c r="C3" s="385"/>
      <c r="D3" s="385"/>
      <c r="G3" s="391"/>
      <c r="J3" s="380"/>
      <c r="K3" s="380"/>
      <c r="M3" s="424"/>
      <c r="O3" s="387"/>
      <c r="P3" s="425"/>
    </row>
    <row r="4" spans="1:259" ht="26.4">
      <c r="A4" s="393" t="s">
        <v>42</v>
      </c>
      <c r="B4" s="394" t="s">
        <v>43</v>
      </c>
      <c r="C4" s="395"/>
      <c r="D4" s="395"/>
      <c r="E4" s="380"/>
      <c r="F4" s="380"/>
      <c r="G4" s="395"/>
      <c r="H4" s="395"/>
      <c r="I4" s="395"/>
      <c r="J4" s="395"/>
      <c r="K4" s="395"/>
      <c r="L4" s="395"/>
      <c r="M4" s="395"/>
      <c r="N4" s="395"/>
      <c r="O4" s="395"/>
      <c r="R4" s="395"/>
      <c r="S4" s="395"/>
      <c r="T4" s="395"/>
      <c r="U4" s="395"/>
      <c r="AA4" s="395"/>
      <c r="AB4" s="395"/>
      <c r="AC4" s="395"/>
      <c r="AD4" s="395"/>
      <c r="AE4" s="894"/>
      <c r="AF4" s="894"/>
      <c r="AG4" s="894"/>
    </row>
    <row r="5" spans="1:259" ht="13.8">
      <c r="A5" s="396" t="s">
        <v>44</v>
      </c>
      <c r="B5" s="397" t="s">
        <v>45</v>
      </c>
      <c r="C5" s="395"/>
      <c r="D5" s="395"/>
      <c r="E5" s="395"/>
      <c r="F5" s="395"/>
      <c r="G5" s="395"/>
      <c r="H5" s="395"/>
      <c r="I5" s="395"/>
      <c r="J5" s="395"/>
      <c r="K5" s="395"/>
      <c r="L5" s="395"/>
      <c r="M5" s="395"/>
      <c r="N5" s="395"/>
      <c r="O5" s="395"/>
      <c r="P5" s="395"/>
      <c r="Q5" s="395"/>
      <c r="R5" s="395"/>
      <c r="S5" s="395"/>
      <c r="T5" s="395"/>
      <c r="U5" s="395"/>
      <c r="V5" s="395"/>
      <c r="W5" s="395"/>
      <c r="X5" s="395"/>
      <c r="Y5" s="395"/>
      <c r="Z5" s="395"/>
      <c r="AA5" s="395"/>
      <c r="AB5" s="395"/>
      <c r="AC5" s="395"/>
      <c r="AD5" s="395"/>
      <c r="AE5" s="395"/>
      <c r="AF5" s="395"/>
      <c r="AG5" s="395"/>
      <c r="AH5" s="395"/>
      <c r="AI5" s="395"/>
      <c r="AJ5" s="395"/>
      <c r="AK5" s="395"/>
      <c r="AL5" s="395"/>
      <c r="AM5" s="395"/>
      <c r="AN5" s="395"/>
      <c r="AO5" s="395"/>
      <c r="AP5" s="395"/>
      <c r="AQ5" s="395"/>
      <c r="AR5" s="395"/>
      <c r="AS5" s="395"/>
      <c r="AT5" s="395"/>
      <c r="AU5" s="395"/>
      <c r="AV5" s="395"/>
      <c r="AW5" s="395"/>
      <c r="AX5" s="395"/>
      <c r="AY5" s="395"/>
      <c r="AZ5" s="395"/>
      <c r="BA5" s="395"/>
      <c r="BB5" s="395"/>
      <c r="BC5" s="395"/>
      <c r="BD5" s="395"/>
      <c r="BE5" s="395"/>
      <c r="BF5" s="395"/>
      <c r="BG5" s="395"/>
      <c r="BH5" s="395"/>
      <c r="BI5" s="395"/>
      <c r="BJ5" s="395"/>
      <c r="BK5" s="395"/>
      <c r="BL5" s="395"/>
      <c r="BM5" s="395"/>
      <c r="BN5" s="395"/>
      <c r="BO5" s="395"/>
      <c r="BP5" s="395"/>
      <c r="BQ5" s="395"/>
      <c r="BR5" s="395"/>
      <c r="BS5" s="395"/>
      <c r="BT5" s="395"/>
      <c r="BU5" s="395"/>
      <c r="BV5" s="395"/>
      <c r="BW5" s="395"/>
      <c r="BX5" s="395"/>
      <c r="BY5" s="395"/>
      <c r="BZ5" s="395"/>
      <c r="CA5" s="395"/>
      <c r="CB5" s="395"/>
      <c r="CC5" s="395"/>
      <c r="CD5" s="395"/>
      <c r="CE5" s="395"/>
      <c r="CF5" s="395"/>
      <c r="CG5" s="395"/>
      <c r="CH5" s="395"/>
      <c r="CI5" s="395"/>
      <c r="CJ5" s="395"/>
      <c r="CK5" s="395"/>
      <c r="CL5" s="395"/>
      <c r="CM5" s="395"/>
      <c r="CN5" s="395"/>
      <c r="CO5" s="395"/>
      <c r="CP5" s="395"/>
      <c r="CQ5" s="395"/>
      <c r="CR5" s="395"/>
      <c r="CS5" s="395"/>
      <c r="CT5" s="395"/>
      <c r="CU5" s="395"/>
      <c r="CV5" s="395"/>
      <c r="CW5" s="395"/>
      <c r="CX5" s="395"/>
      <c r="CY5" s="395"/>
      <c r="CZ5" s="395"/>
      <c r="DA5" s="395"/>
      <c r="DB5" s="395"/>
      <c r="DC5" s="395"/>
      <c r="DD5" s="395"/>
      <c r="DE5" s="395"/>
      <c r="DF5" s="395"/>
      <c r="DG5" s="395"/>
      <c r="DH5" s="395"/>
      <c r="DI5" s="395"/>
      <c r="DJ5" s="395"/>
      <c r="DK5" s="395"/>
      <c r="DL5" s="395"/>
      <c r="DM5" s="395"/>
      <c r="DN5" s="395"/>
      <c r="DO5" s="395"/>
      <c r="DP5" s="395"/>
      <c r="DQ5" s="395"/>
      <c r="DR5" s="395"/>
      <c r="DS5" s="395"/>
      <c r="DT5" s="395"/>
      <c r="DU5" s="395"/>
      <c r="DV5" s="395"/>
      <c r="DW5" s="395"/>
      <c r="DX5" s="395"/>
      <c r="DY5" s="395"/>
      <c r="DZ5" s="395"/>
      <c r="EA5" s="395"/>
      <c r="EB5" s="395"/>
      <c r="EC5" s="395"/>
      <c r="ED5" s="395"/>
      <c r="EE5" s="395"/>
      <c r="EF5" s="395"/>
      <c r="EG5" s="395"/>
      <c r="EH5" s="395"/>
      <c r="EI5" s="395"/>
      <c r="EJ5" s="395"/>
      <c r="EK5" s="395"/>
      <c r="EL5" s="395"/>
      <c r="EM5" s="395"/>
      <c r="EN5" s="395"/>
      <c r="EO5" s="395"/>
      <c r="EP5" s="395"/>
      <c r="EQ5" s="395"/>
      <c r="ER5" s="395"/>
      <c r="ES5" s="395"/>
      <c r="ET5" s="395"/>
      <c r="EU5" s="395"/>
      <c r="EV5" s="395"/>
      <c r="EW5" s="395"/>
      <c r="EX5" s="395"/>
      <c r="EY5" s="395"/>
      <c r="EZ5" s="395"/>
      <c r="FA5" s="395"/>
      <c r="FB5" s="395"/>
      <c r="FC5" s="395"/>
      <c r="FD5" s="395"/>
      <c r="FE5" s="395"/>
      <c r="FF5" s="395"/>
      <c r="FG5" s="395"/>
      <c r="FH5" s="395"/>
      <c r="FI5" s="395"/>
      <c r="FJ5" s="395"/>
      <c r="FK5" s="395"/>
      <c r="FL5" s="395"/>
      <c r="FM5" s="395"/>
      <c r="FN5" s="395"/>
      <c r="FO5" s="395"/>
      <c r="FP5" s="395"/>
      <c r="FQ5" s="395"/>
      <c r="FR5" s="395"/>
      <c r="FS5" s="395"/>
      <c r="FT5" s="395"/>
      <c r="FU5" s="395"/>
      <c r="FV5" s="395"/>
      <c r="FW5" s="395"/>
      <c r="FX5" s="395"/>
      <c r="FY5" s="395"/>
      <c r="FZ5" s="395"/>
      <c r="GA5" s="395"/>
      <c r="GB5" s="395"/>
      <c r="GC5" s="395"/>
      <c r="GD5" s="395"/>
      <c r="GE5" s="395"/>
      <c r="GF5" s="395"/>
      <c r="GG5" s="395"/>
      <c r="GH5" s="395"/>
      <c r="GI5" s="395"/>
      <c r="GJ5" s="395"/>
      <c r="GK5" s="395"/>
      <c r="GL5" s="395"/>
      <c r="GM5" s="395"/>
      <c r="GN5" s="395"/>
      <c r="GO5" s="395"/>
      <c r="GP5" s="395"/>
      <c r="GQ5" s="395"/>
      <c r="GR5" s="395"/>
      <c r="GS5" s="395"/>
      <c r="GT5" s="395"/>
      <c r="GU5" s="395"/>
      <c r="GV5" s="395"/>
      <c r="GW5" s="395"/>
      <c r="GX5" s="395"/>
      <c r="GY5" s="395"/>
      <c r="GZ5" s="395"/>
      <c r="HA5" s="395"/>
      <c r="HB5" s="395"/>
      <c r="HC5" s="395"/>
      <c r="HD5" s="395"/>
      <c r="HE5" s="395"/>
      <c r="HF5" s="395"/>
      <c r="HG5" s="395"/>
      <c r="HH5" s="395"/>
      <c r="HI5" s="395"/>
      <c r="HJ5" s="395"/>
      <c r="HK5" s="395"/>
      <c r="HL5" s="395"/>
      <c r="HM5" s="395"/>
      <c r="HN5" s="395"/>
      <c r="HO5" s="395"/>
      <c r="HP5" s="395"/>
      <c r="HQ5" s="395"/>
      <c r="HR5" s="395"/>
      <c r="HS5" s="395"/>
      <c r="HT5" s="395"/>
      <c r="HU5" s="395"/>
      <c r="HV5" s="395"/>
      <c r="HW5" s="395"/>
      <c r="HX5" s="395"/>
      <c r="HY5" s="395"/>
      <c r="HZ5" s="395"/>
      <c r="IA5" s="395"/>
      <c r="IB5" s="395"/>
      <c r="IC5" s="395"/>
      <c r="ID5" s="395"/>
      <c r="IE5" s="395"/>
      <c r="IF5" s="395"/>
      <c r="IG5" s="395"/>
      <c r="IH5" s="395"/>
      <c r="II5" s="395"/>
      <c r="IJ5" s="395"/>
      <c r="IK5" s="395"/>
      <c r="IL5" s="395"/>
      <c r="IM5" s="395"/>
      <c r="IN5" s="395"/>
      <c r="IO5" s="395"/>
      <c r="IP5" s="395"/>
      <c r="IQ5" s="395"/>
      <c r="IR5" s="395"/>
      <c r="IS5" s="395"/>
      <c r="IT5" s="395"/>
      <c r="IU5" s="395"/>
      <c r="IV5" s="395"/>
      <c r="IW5" s="395"/>
      <c r="IX5" s="395"/>
      <c r="IY5" s="395"/>
    </row>
    <row r="6" spans="1:259" ht="13.8">
      <c r="A6" s="398" t="s">
        <v>46</v>
      </c>
      <c r="B6" s="399" t="s">
        <v>47</v>
      </c>
      <c r="C6" s="395"/>
      <c r="D6" s="395"/>
      <c r="E6" s="395"/>
      <c r="F6" s="395"/>
      <c r="G6" s="395"/>
      <c r="H6" s="395"/>
      <c r="I6" s="395"/>
      <c r="J6" s="395"/>
      <c r="K6" s="395"/>
      <c r="L6" s="395"/>
      <c r="M6" s="395"/>
      <c r="N6" s="395"/>
      <c r="O6" s="395"/>
      <c r="P6" s="395"/>
      <c r="Q6" s="395"/>
      <c r="R6" s="395"/>
      <c r="S6" s="395"/>
      <c r="T6" s="395"/>
      <c r="U6" s="395"/>
      <c r="V6" s="395"/>
      <c r="W6" s="395"/>
      <c r="X6" s="395"/>
      <c r="Y6" s="395"/>
      <c r="Z6" s="395"/>
      <c r="AA6" s="395"/>
      <c r="AB6" s="395"/>
      <c r="AC6" s="395"/>
      <c r="AD6" s="395"/>
      <c r="AE6" s="395"/>
      <c r="AF6" s="395"/>
      <c r="AG6" s="395"/>
      <c r="AH6" s="395"/>
      <c r="AI6" s="395"/>
      <c r="AJ6" s="395"/>
      <c r="AK6" s="395"/>
      <c r="AL6" s="395"/>
      <c r="AM6" s="395"/>
      <c r="AN6" s="395"/>
      <c r="AO6" s="395"/>
      <c r="AP6" s="395"/>
      <c r="AQ6" s="395"/>
      <c r="AR6" s="395"/>
      <c r="AS6" s="395"/>
      <c r="AT6" s="395"/>
      <c r="AU6" s="395"/>
      <c r="AV6" s="395"/>
      <c r="AW6" s="395"/>
      <c r="AX6" s="395"/>
      <c r="AY6" s="395"/>
      <c r="AZ6" s="395"/>
      <c r="BA6" s="395"/>
      <c r="BB6" s="395"/>
      <c r="BC6" s="395"/>
      <c r="BD6" s="395"/>
      <c r="BE6" s="395"/>
      <c r="BF6" s="395"/>
      <c r="BG6" s="395"/>
      <c r="BH6" s="395"/>
      <c r="BI6" s="395"/>
      <c r="BJ6" s="395"/>
      <c r="BK6" s="395"/>
      <c r="BL6" s="395"/>
      <c r="BM6" s="395"/>
      <c r="BN6" s="395"/>
      <c r="BO6" s="395"/>
      <c r="BP6" s="395"/>
      <c r="BQ6" s="395"/>
      <c r="BR6" s="395"/>
      <c r="BS6" s="395"/>
      <c r="BT6" s="395"/>
      <c r="BU6" s="395"/>
      <c r="BV6" s="395"/>
      <c r="BW6" s="395"/>
      <c r="BX6" s="395"/>
      <c r="BY6" s="395"/>
      <c r="BZ6" s="395"/>
      <c r="CA6" s="395"/>
      <c r="CB6" s="395"/>
      <c r="CC6" s="395"/>
      <c r="CD6" s="395"/>
      <c r="CE6" s="395"/>
      <c r="CF6" s="395"/>
      <c r="CG6" s="395"/>
      <c r="CH6" s="395"/>
      <c r="CI6" s="395"/>
      <c r="CJ6" s="395"/>
      <c r="CK6" s="395"/>
      <c r="CL6" s="395"/>
      <c r="CM6" s="395"/>
      <c r="CN6" s="395"/>
      <c r="CO6" s="395"/>
      <c r="CP6" s="395"/>
      <c r="CQ6" s="395"/>
      <c r="CR6" s="395"/>
      <c r="CS6" s="395"/>
      <c r="CT6" s="395"/>
      <c r="CU6" s="395"/>
      <c r="CV6" s="395"/>
      <c r="CW6" s="395"/>
      <c r="CX6" s="395"/>
      <c r="CY6" s="395"/>
      <c r="CZ6" s="395"/>
      <c r="DA6" s="395"/>
      <c r="DB6" s="395"/>
      <c r="DC6" s="395"/>
      <c r="DD6" s="395"/>
      <c r="DE6" s="395"/>
      <c r="DF6" s="395"/>
      <c r="DG6" s="395"/>
      <c r="DH6" s="395"/>
      <c r="DI6" s="395"/>
      <c r="DJ6" s="395"/>
      <c r="DK6" s="395"/>
      <c r="DL6" s="395"/>
      <c r="DM6" s="395"/>
      <c r="DN6" s="395"/>
      <c r="DO6" s="395"/>
      <c r="DP6" s="395"/>
      <c r="DQ6" s="395"/>
      <c r="DR6" s="395"/>
      <c r="DS6" s="395"/>
      <c r="DT6" s="395"/>
      <c r="DU6" s="395"/>
      <c r="DV6" s="395"/>
      <c r="DW6" s="395"/>
      <c r="DX6" s="395"/>
      <c r="DY6" s="395"/>
      <c r="DZ6" s="395"/>
      <c r="EA6" s="395"/>
      <c r="EB6" s="395"/>
      <c r="EC6" s="395"/>
      <c r="ED6" s="395"/>
      <c r="EE6" s="395"/>
      <c r="EF6" s="395"/>
      <c r="EG6" s="395"/>
      <c r="EH6" s="395"/>
      <c r="EI6" s="395"/>
      <c r="EJ6" s="395"/>
      <c r="EK6" s="395"/>
      <c r="EL6" s="395"/>
      <c r="EM6" s="395"/>
      <c r="EN6" s="395"/>
      <c r="EO6" s="395"/>
      <c r="EP6" s="395"/>
      <c r="EQ6" s="395"/>
      <c r="ER6" s="395"/>
      <c r="ES6" s="395"/>
      <c r="ET6" s="395"/>
      <c r="EU6" s="395"/>
      <c r="EV6" s="395"/>
      <c r="EW6" s="395"/>
      <c r="EX6" s="395"/>
      <c r="EY6" s="395"/>
      <c r="EZ6" s="395"/>
      <c r="FA6" s="395"/>
      <c r="FB6" s="395"/>
      <c r="FC6" s="395"/>
      <c r="FD6" s="395"/>
      <c r="FE6" s="395"/>
      <c r="FF6" s="395"/>
      <c r="FG6" s="395"/>
      <c r="FH6" s="395"/>
      <c r="FI6" s="395"/>
      <c r="FJ6" s="395"/>
      <c r="FK6" s="395"/>
      <c r="FL6" s="395"/>
      <c r="FM6" s="395"/>
      <c r="FN6" s="395"/>
      <c r="FO6" s="395"/>
      <c r="FP6" s="395"/>
      <c r="FQ6" s="395"/>
      <c r="FR6" s="395"/>
      <c r="FS6" s="395"/>
      <c r="FT6" s="395"/>
      <c r="FU6" s="395"/>
      <c r="FV6" s="395"/>
      <c r="FW6" s="395"/>
      <c r="FX6" s="395"/>
      <c r="FY6" s="395"/>
      <c r="FZ6" s="395"/>
      <c r="GA6" s="395"/>
      <c r="GB6" s="395"/>
      <c r="GC6" s="395"/>
      <c r="GD6" s="395"/>
      <c r="GE6" s="395"/>
      <c r="GF6" s="395"/>
      <c r="GG6" s="395"/>
      <c r="GH6" s="395"/>
      <c r="GI6" s="395"/>
      <c r="GJ6" s="395"/>
      <c r="GK6" s="395"/>
      <c r="GL6" s="395"/>
      <c r="GM6" s="395"/>
      <c r="GN6" s="395"/>
      <c r="GO6" s="395"/>
      <c r="GP6" s="395"/>
      <c r="GQ6" s="395"/>
      <c r="GR6" s="395"/>
      <c r="GS6" s="395"/>
      <c r="GT6" s="395"/>
      <c r="GU6" s="395"/>
      <c r="GV6" s="395"/>
      <c r="GW6" s="395"/>
      <c r="GX6" s="395"/>
      <c r="GY6" s="395"/>
      <c r="GZ6" s="395"/>
      <c r="HA6" s="395"/>
      <c r="HB6" s="395"/>
      <c r="HC6" s="395"/>
      <c r="HD6" s="395"/>
      <c r="HE6" s="395"/>
      <c r="HF6" s="395"/>
      <c r="HG6" s="395"/>
      <c r="HH6" s="395"/>
      <c r="HI6" s="395"/>
      <c r="HJ6" s="395"/>
      <c r="HK6" s="395"/>
      <c r="HL6" s="395"/>
      <c r="HM6" s="395"/>
      <c r="HN6" s="395"/>
      <c r="HO6" s="395"/>
      <c r="HP6" s="395"/>
      <c r="HQ6" s="395"/>
      <c r="HR6" s="395"/>
      <c r="HS6" s="395"/>
      <c r="HT6" s="395"/>
      <c r="HU6" s="395"/>
      <c r="HV6" s="395"/>
      <c r="HW6" s="395"/>
      <c r="HX6" s="395"/>
      <c r="HY6" s="395"/>
      <c r="HZ6" s="395"/>
      <c r="IA6" s="395"/>
      <c r="IB6" s="395"/>
      <c r="IC6" s="395"/>
      <c r="ID6" s="395"/>
      <c r="IE6" s="395"/>
      <c r="IF6" s="395"/>
      <c r="IG6" s="395"/>
      <c r="IH6" s="395"/>
      <c r="II6" s="395"/>
      <c r="IJ6" s="395"/>
      <c r="IK6" s="395"/>
      <c r="IL6" s="395"/>
      <c r="IM6" s="395"/>
      <c r="IN6" s="395"/>
      <c r="IO6" s="395"/>
      <c r="IP6" s="395"/>
      <c r="IQ6" s="395"/>
      <c r="IR6" s="395"/>
      <c r="IS6" s="395"/>
      <c r="IT6" s="395"/>
      <c r="IU6" s="395"/>
      <c r="IV6" s="395"/>
      <c r="IW6" s="395"/>
      <c r="IX6" s="395"/>
      <c r="IY6" s="395"/>
    </row>
    <row r="7" spans="1:259" ht="13.2">
      <c r="A7" s="395"/>
      <c r="B7" s="395"/>
      <c r="C7" s="395"/>
      <c r="D7" s="395"/>
      <c r="E7" s="395"/>
      <c r="F7" s="395"/>
      <c r="G7" s="395"/>
      <c r="H7" s="395"/>
      <c r="I7" s="395"/>
      <c r="J7" s="395"/>
      <c r="K7" s="395"/>
      <c r="L7" s="395"/>
      <c r="M7" s="395"/>
      <c r="N7" s="395"/>
      <c r="O7" s="395"/>
      <c r="P7" s="895" t="s">
        <v>16</v>
      </c>
      <c r="Q7" s="896"/>
      <c r="R7" s="395"/>
      <c r="S7" s="395"/>
      <c r="T7" s="395"/>
      <c r="U7" s="395"/>
      <c r="V7" s="897" t="s">
        <v>5</v>
      </c>
      <c r="W7" s="898"/>
      <c r="X7" s="898"/>
      <c r="Y7" s="898"/>
      <c r="Z7" s="899"/>
      <c r="AA7" s="395"/>
      <c r="AB7" s="395"/>
      <c r="AC7" s="395"/>
      <c r="AD7" s="395"/>
      <c r="AE7" s="395"/>
      <c r="AF7" s="395"/>
      <c r="AG7" s="395"/>
      <c r="AH7" s="395"/>
      <c r="AI7" s="395"/>
      <c r="AJ7" s="395"/>
      <c r="AK7" s="395"/>
      <c r="AL7" s="395"/>
      <c r="AM7" s="395"/>
      <c r="AN7" s="395"/>
      <c r="AO7" s="395"/>
      <c r="AP7" s="395"/>
      <c r="AQ7" s="395"/>
      <c r="AR7" s="395"/>
      <c r="AS7" s="395"/>
      <c r="AT7" s="395"/>
      <c r="AU7" s="395"/>
      <c r="AV7" s="395"/>
      <c r="AW7" s="395"/>
      <c r="AX7" s="395"/>
      <c r="AY7" s="395"/>
      <c r="AZ7" s="395"/>
      <c r="BA7" s="395"/>
      <c r="BB7" s="395"/>
      <c r="BC7" s="395"/>
      <c r="BD7" s="395"/>
      <c r="BE7" s="395"/>
      <c r="BF7" s="395"/>
      <c r="BG7" s="395"/>
      <c r="BH7" s="395"/>
      <c r="BI7" s="395"/>
      <c r="BJ7" s="395"/>
      <c r="BK7" s="395"/>
      <c r="BL7" s="395"/>
      <c r="BM7" s="395"/>
      <c r="BN7" s="395"/>
      <c r="BO7" s="395"/>
      <c r="BP7" s="395"/>
      <c r="BQ7" s="395"/>
      <c r="BR7" s="395"/>
      <c r="BS7" s="395"/>
      <c r="BT7" s="395"/>
      <c r="BU7" s="395"/>
      <c r="BV7" s="395"/>
      <c r="BW7" s="395"/>
      <c r="BX7" s="395"/>
      <c r="BY7" s="395"/>
      <c r="BZ7" s="395"/>
      <c r="CA7" s="395"/>
      <c r="CB7" s="395"/>
      <c r="CC7" s="395"/>
      <c r="CD7" s="395"/>
      <c r="CE7" s="395"/>
      <c r="CF7" s="395"/>
      <c r="CG7" s="395"/>
      <c r="CH7" s="395"/>
      <c r="CI7" s="395"/>
      <c r="CJ7" s="395"/>
      <c r="CK7" s="395"/>
      <c r="CL7" s="395"/>
      <c r="CM7" s="395"/>
      <c r="CN7" s="395"/>
      <c r="CO7" s="395"/>
      <c r="CP7" s="395"/>
      <c r="CQ7" s="395"/>
      <c r="CR7" s="395"/>
      <c r="CS7" s="395"/>
      <c r="CT7" s="395"/>
      <c r="CU7" s="395"/>
      <c r="CV7" s="395"/>
      <c r="CW7" s="395"/>
      <c r="CX7" s="395"/>
      <c r="CY7" s="395"/>
      <c r="CZ7" s="395"/>
      <c r="DA7" s="395"/>
      <c r="DB7" s="395"/>
      <c r="DC7" s="395"/>
      <c r="DD7" s="395"/>
      <c r="DE7" s="395"/>
      <c r="DF7" s="395"/>
      <c r="DG7" s="395"/>
      <c r="DH7" s="395"/>
      <c r="DI7" s="395"/>
      <c r="DJ7" s="395"/>
      <c r="DK7" s="395"/>
      <c r="DL7" s="395"/>
      <c r="DM7" s="395"/>
      <c r="DN7" s="395"/>
      <c r="DO7" s="395"/>
      <c r="DP7" s="395"/>
      <c r="DQ7" s="395"/>
      <c r="DR7" s="395"/>
      <c r="DS7" s="395"/>
      <c r="DT7" s="395"/>
      <c r="DU7" s="395"/>
      <c r="DV7" s="395"/>
      <c r="DW7" s="395"/>
      <c r="DX7" s="395"/>
      <c r="DY7" s="395"/>
      <c r="DZ7" s="395"/>
      <c r="EA7" s="395"/>
      <c r="EB7" s="395"/>
      <c r="EC7" s="395"/>
      <c r="ED7" s="395"/>
      <c r="EE7" s="395"/>
      <c r="EF7" s="395"/>
      <c r="EG7" s="395"/>
      <c r="EH7" s="395"/>
      <c r="EI7" s="395"/>
      <c r="EJ7" s="395"/>
      <c r="EK7" s="395"/>
      <c r="EL7" s="395"/>
      <c r="EM7" s="395"/>
      <c r="EN7" s="395"/>
      <c r="EO7" s="395"/>
      <c r="EP7" s="395"/>
      <c r="EQ7" s="395"/>
      <c r="ER7" s="395"/>
      <c r="ES7" s="395"/>
      <c r="ET7" s="395"/>
      <c r="EU7" s="395"/>
      <c r="EV7" s="395"/>
      <c r="EW7" s="395"/>
      <c r="EX7" s="395"/>
      <c r="EY7" s="395"/>
      <c r="EZ7" s="395"/>
      <c r="FA7" s="395"/>
      <c r="FB7" s="395"/>
      <c r="FC7" s="395"/>
      <c r="FD7" s="395"/>
      <c r="FE7" s="395"/>
      <c r="FF7" s="395"/>
      <c r="FG7" s="395"/>
      <c r="FH7" s="395"/>
      <c r="FI7" s="395"/>
      <c r="FJ7" s="395"/>
      <c r="FK7" s="395"/>
      <c r="FL7" s="395"/>
      <c r="FM7" s="395"/>
      <c r="FN7" s="395"/>
      <c r="FO7" s="395"/>
      <c r="FP7" s="395"/>
      <c r="FQ7" s="395"/>
      <c r="FR7" s="395"/>
      <c r="FS7" s="395"/>
      <c r="FT7" s="395"/>
      <c r="FU7" s="395"/>
      <c r="FV7" s="395"/>
      <c r="FW7" s="395"/>
      <c r="FX7" s="395"/>
      <c r="FY7" s="395"/>
      <c r="FZ7" s="395"/>
      <c r="GA7" s="395"/>
      <c r="GB7" s="395"/>
      <c r="GC7" s="395"/>
      <c r="GD7" s="395"/>
      <c r="GE7" s="395"/>
      <c r="GF7" s="395"/>
      <c r="GG7" s="395"/>
      <c r="GH7" s="395"/>
      <c r="GI7" s="395"/>
      <c r="GJ7" s="395"/>
      <c r="GK7" s="395"/>
      <c r="GL7" s="395"/>
      <c r="GM7" s="395"/>
      <c r="GN7" s="395"/>
      <c r="GO7" s="395"/>
      <c r="GP7" s="395"/>
      <c r="GQ7" s="395"/>
      <c r="GR7" s="395"/>
      <c r="GS7" s="395"/>
      <c r="GT7" s="395"/>
      <c r="GU7" s="395"/>
      <c r="GV7" s="395"/>
      <c r="GW7" s="395"/>
      <c r="GX7" s="395"/>
      <c r="GY7" s="395"/>
      <c r="GZ7" s="395"/>
      <c r="HA7" s="395"/>
      <c r="HB7" s="395"/>
      <c r="HC7" s="395"/>
      <c r="HD7" s="395"/>
      <c r="HE7" s="395"/>
      <c r="HF7" s="395"/>
      <c r="HG7" s="395"/>
      <c r="HH7" s="395"/>
      <c r="HI7" s="395"/>
      <c r="HJ7" s="395"/>
      <c r="HK7" s="395"/>
      <c r="HL7" s="395"/>
      <c r="HM7" s="395"/>
      <c r="HN7" s="395"/>
      <c r="HO7" s="395"/>
      <c r="HP7" s="395"/>
      <c r="HQ7" s="395"/>
      <c r="HR7" s="395"/>
      <c r="HS7" s="395"/>
      <c r="HT7" s="395"/>
      <c r="HU7" s="395"/>
      <c r="HV7" s="395"/>
      <c r="HW7" s="395"/>
      <c r="HX7" s="395"/>
      <c r="HY7" s="395"/>
      <c r="HZ7" s="395"/>
      <c r="IA7" s="395"/>
      <c r="IB7" s="395"/>
      <c r="IC7" s="395"/>
      <c r="ID7" s="395"/>
      <c r="IE7" s="395"/>
      <c r="IF7" s="395"/>
      <c r="IG7" s="395"/>
      <c r="IH7" s="395"/>
      <c r="II7" s="395"/>
      <c r="IJ7" s="395"/>
      <c r="IK7" s="395"/>
      <c r="IL7" s="395"/>
      <c r="IM7" s="395"/>
      <c r="IN7" s="395"/>
      <c r="IO7" s="395"/>
      <c r="IP7" s="395"/>
      <c r="IQ7" s="395"/>
      <c r="IR7" s="395"/>
      <c r="IS7" s="395"/>
      <c r="IT7" s="395"/>
      <c r="IU7" s="395"/>
      <c r="IV7" s="395"/>
      <c r="IW7" s="395"/>
      <c r="IX7" s="395"/>
      <c r="IY7" s="395"/>
    </row>
    <row r="8" spans="1:259" s="379" customFormat="1" ht="38.25" customHeight="1">
      <c r="A8" s="400" t="s">
        <v>48</v>
      </c>
      <c r="B8" s="401" t="s">
        <v>49</v>
      </c>
      <c r="C8" s="402" t="s">
        <v>78</v>
      </c>
      <c r="D8" s="402" t="s">
        <v>79</v>
      </c>
      <c r="E8" s="402" t="s">
        <v>52</v>
      </c>
      <c r="F8" s="402" t="s">
        <v>80</v>
      </c>
      <c r="G8" s="403" t="s">
        <v>54</v>
      </c>
      <c r="H8" s="404" t="s">
        <v>55</v>
      </c>
      <c r="I8" s="404" t="s">
        <v>56</v>
      </c>
      <c r="J8" s="404" t="s">
        <v>57</v>
      </c>
      <c r="K8" s="402" t="s">
        <v>81</v>
      </c>
      <c r="L8" s="404" t="s">
        <v>82</v>
      </c>
      <c r="M8" s="404" t="s">
        <v>60</v>
      </c>
      <c r="N8" s="426" t="s">
        <v>61</v>
      </c>
      <c r="O8" s="426" t="s">
        <v>62</v>
      </c>
      <c r="P8" s="427" t="s">
        <v>63</v>
      </c>
      <c r="Q8" s="426" t="s">
        <v>64</v>
      </c>
      <c r="R8" s="426" t="s">
        <v>65</v>
      </c>
      <c r="S8" s="448" t="s">
        <v>66</v>
      </c>
      <c r="T8" s="448" t="s">
        <v>67</v>
      </c>
      <c r="U8" s="448" t="s">
        <v>32</v>
      </c>
      <c r="V8" s="448" t="s">
        <v>68</v>
      </c>
      <c r="W8" s="448" t="s">
        <v>69</v>
      </c>
      <c r="X8" s="448" t="s">
        <v>70</v>
      </c>
      <c r="Y8" s="448" t="s">
        <v>71</v>
      </c>
      <c r="Z8" s="448" t="s">
        <v>5</v>
      </c>
      <c r="AA8" s="448" t="s">
        <v>72</v>
      </c>
      <c r="AB8" s="448" t="s">
        <v>35</v>
      </c>
      <c r="AC8" s="457" t="s">
        <v>43</v>
      </c>
      <c r="AD8" s="457" t="s">
        <v>73</v>
      </c>
      <c r="AE8" s="458" t="s">
        <v>74</v>
      </c>
      <c r="AF8" s="458" t="s">
        <v>75</v>
      </c>
      <c r="AG8" s="463" t="s">
        <v>76</v>
      </c>
    </row>
    <row r="9" spans="1:259">
      <c r="A9" s="405">
        <f t="shared" ref="A9:A16" si="0">B$3</f>
        <v>0</v>
      </c>
      <c r="B9" s="406"/>
      <c r="C9" s="407"/>
      <c r="D9" s="408"/>
      <c r="E9" s="409"/>
      <c r="F9" s="408"/>
      <c r="G9" s="410"/>
      <c r="H9" s="411"/>
      <c r="I9" s="428"/>
      <c r="J9" s="407"/>
      <c r="K9" s="429"/>
      <c r="L9" s="430"/>
      <c r="M9" s="431"/>
      <c r="N9" s="430"/>
      <c r="O9" s="432">
        <f t="shared" ref="O9:O16" si="1">M9*N9</f>
        <v>0</v>
      </c>
      <c r="P9" s="433"/>
      <c r="Q9" s="449">
        <f t="shared" ref="Q9:Q16" si="2">O9*P9</f>
        <v>0</v>
      </c>
      <c r="R9" s="450">
        <f t="shared" ref="R9:R16" si="3">O9-Q9</f>
        <v>0</v>
      </c>
      <c r="S9" s="451"/>
      <c r="T9" s="451"/>
      <c r="U9" s="451"/>
      <c r="V9" s="451"/>
      <c r="W9" s="451"/>
      <c r="X9" s="451"/>
      <c r="Y9" s="408"/>
      <c r="Z9" s="451">
        <f>MRet[[#This Row],[CREDIT CARD]]+MRet[[#This Row],[EMPLOYEES'' CHARGE]]+MRet[[#This Row],[Other Charge]]</f>
        <v>0</v>
      </c>
      <c r="AA9" s="451"/>
      <c r="AB9" s="451"/>
      <c r="AC9" s="459"/>
      <c r="AD9" s="451"/>
      <c r="AE9" s="451"/>
      <c r="AF9" s="451"/>
      <c r="AG9" s="464"/>
    </row>
    <row r="10" spans="1:259">
      <c r="A10" s="412">
        <f t="shared" si="0"/>
        <v>0</v>
      </c>
      <c r="B10" s="413"/>
      <c r="C10" s="414"/>
      <c r="D10" s="408"/>
      <c r="E10" s="414"/>
      <c r="F10" s="414"/>
      <c r="G10" s="415"/>
      <c r="H10" s="416"/>
      <c r="I10" s="434"/>
      <c r="J10" s="418"/>
      <c r="K10" s="435"/>
      <c r="L10" s="436"/>
      <c r="M10" s="423"/>
      <c r="N10" s="437"/>
      <c r="O10" s="438">
        <f t="shared" si="1"/>
        <v>0</v>
      </c>
      <c r="P10" s="439"/>
      <c r="Q10" s="452">
        <f t="shared" si="2"/>
        <v>0</v>
      </c>
      <c r="R10" s="453">
        <f t="shared" si="3"/>
        <v>0</v>
      </c>
      <c r="S10" s="451"/>
      <c r="T10" s="451"/>
      <c r="U10" s="451"/>
      <c r="V10" s="451"/>
      <c r="W10" s="451"/>
      <c r="X10" s="451"/>
      <c r="Y10" s="408"/>
      <c r="Z10" s="460">
        <f>MRet[[#This Row],[CREDIT CARD]]+MRet[[#This Row],[EMPLOYEES'' CHARGE]]+MRet[[#This Row],[Other Charge]]</f>
        <v>0</v>
      </c>
      <c r="AA10" s="451"/>
      <c r="AB10" s="451"/>
      <c r="AC10" s="461"/>
      <c r="AD10" s="460"/>
      <c r="AE10" s="460"/>
      <c r="AF10" s="460"/>
      <c r="AG10" s="465"/>
    </row>
    <row r="11" spans="1:259">
      <c r="A11" s="417">
        <f t="shared" si="0"/>
        <v>0</v>
      </c>
      <c r="B11" s="413"/>
      <c r="C11" s="414"/>
      <c r="D11" s="408"/>
      <c r="E11" s="414"/>
      <c r="F11" s="418"/>
      <c r="G11" s="419"/>
      <c r="H11" s="416"/>
      <c r="I11" s="2"/>
      <c r="J11" s="414"/>
      <c r="K11" s="440"/>
      <c r="L11" s="441"/>
      <c r="M11" s="442"/>
      <c r="N11" s="443"/>
      <c r="O11" s="444">
        <f t="shared" si="1"/>
        <v>0</v>
      </c>
      <c r="P11" s="439"/>
      <c r="Q11" s="452">
        <f t="shared" si="2"/>
        <v>0</v>
      </c>
      <c r="R11" s="454">
        <f t="shared" si="3"/>
        <v>0</v>
      </c>
      <c r="S11" s="451"/>
      <c r="T11" s="451"/>
      <c r="U11" s="451"/>
      <c r="V11" s="451"/>
      <c r="W11" s="451"/>
      <c r="X11" s="451"/>
      <c r="Y11" s="408"/>
      <c r="Z11" s="456">
        <f>MRet[[#This Row],[CREDIT CARD]]+MRet[[#This Row],[EMPLOYEES'' CHARGE]]+MRet[[#This Row],[Other Charge]]</f>
        <v>0</v>
      </c>
      <c r="AA11" s="451"/>
      <c r="AB11" s="451"/>
      <c r="AC11" s="462"/>
      <c r="AD11" s="456"/>
      <c r="AE11" s="456"/>
      <c r="AF11" s="456"/>
      <c r="AG11" s="466"/>
    </row>
    <row r="12" spans="1:259">
      <c r="A12" s="417">
        <f t="shared" si="0"/>
        <v>0</v>
      </c>
      <c r="B12" s="413"/>
      <c r="C12" s="414"/>
      <c r="D12" s="408"/>
      <c r="E12" s="414"/>
      <c r="F12" s="418"/>
      <c r="G12" s="419"/>
      <c r="H12" s="416"/>
      <c r="I12" s="2"/>
      <c r="J12" s="414"/>
      <c r="K12" s="440"/>
      <c r="L12" s="441"/>
      <c r="M12" s="442"/>
      <c r="N12" s="443"/>
      <c r="O12" s="444">
        <f t="shared" si="1"/>
        <v>0</v>
      </c>
      <c r="P12" s="439"/>
      <c r="Q12" s="452">
        <f t="shared" si="2"/>
        <v>0</v>
      </c>
      <c r="R12" s="454">
        <f t="shared" si="3"/>
        <v>0</v>
      </c>
      <c r="S12" s="451"/>
      <c r="T12" s="451"/>
      <c r="U12" s="451"/>
      <c r="V12" s="451"/>
      <c r="W12" s="451"/>
      <c r="X12" s="451"/>
      <c r="Y12" s="408"/>
      <c r="Z12" s="456">
        <f>MRet[[#This Row],[CREDIT CARD]]+MRet[[#This Row],[EMPLOYEES'' CHARGE]]+MRet[[#This Row],[Other Charge]]</f>
        <v>0</v>
      </c>
      <c r="AA12" s="451"/>
      <c r="AB12" s="451"/>
      <c r="AC12" s="462"/>
      <c r="AD12" s="456"/>
      <c r="AE12" s="456"/>
      <c r="AF12" s="456"/>
      <c r="AG12" s="466"/>
    </row>
    <row r="13" spans="1:259">
      <c r="A13" s="417">
        <f t="shared" si="0"/>
        <v>0</v>
      </c>
      <c r="B13" s="413"/>
      <c r="C13" s="414"/>
      <c r="D13" s="408"/>
      <c r="E13" s="414"/>
      <c r="F13" s="418"/>
      <c r="G13" s="419"/>
      <c r="H13" s="416"/>
      <c r="I13" s="2"/>
      <c r="J13" s="414"/>
      <c r="K13" s="440"/>
      <c r="L13" s="441"/>
      <c r="M13" s="442"/>
      <c r="N13" s="443"/>
      <c r="O13" s="444">
        <f t="shared" si="1"/>
        <v>0</v>
      </c>
      <c r="P13" s="439"/>
      <c r="Q13" s="452">
        <f t="shared" si="2"/>
        <v>0</v>
      </c>
      <c r="R13" s="454">
        <f t="shared" si="3"/>
        <v>0</v>
      </c>
      <c r="S13" s="451"/>
      <c r="T13" s="451"/>
      <c r="U13" s="451"/>
      <c r="V13" s="451"/>
      <c r="W13" s="451"/>
      <c r="X13" s="451"/>
      <c r="Y13" s="408"/>
      <c r="Z13" s="456">
        <f>MRet[[#This Row],[CREDIT CARD]]+MRet[[#This Row],[EMPLOYEES'' CHARGE]]+MRet[[#This Row],[Other Charge]]</f>
        <v>0</v>
      </c>
      <c r="AA13" s="451"/>
      <c r="AB13" s="451"/>
      <c r="AC13" s="462"/>
      <c r="AD13" s="456"/>
      <c r="AE13" s="456"/>
      <c r="AF13" s="456"/>
      <c r="AG13" s="466"/>
    </row>
    <row r="14" spans="1:259">
      <c r="A14" s="417">
        <f t="shared" si="0"/>
        <v>0</v>
      </c>
      <c r="B14" s="413"/>
      <c r="C14" s="414"/>
      <c r="D14" s="408"/>
      <c r="E14" s="414"/>
      <c r="F14" s="418"/>
      <c r="G14" s="419"/>
      <c r="H14" s="420"/>
      <c r="I14" s="2"/>
      <c r="J14" s="414"/>
      <c r="K14" s="440"/>
      <c r="L14" s="441"/>
      <c r="M14" s="442"/>
      <c r="N14" s="443"/>
      <c r="O14" s="444">
        <f t="shared" si="1"/>
        <v>0</v>
      </c>
      <c r="P14" s="439"/>
      <c r="Q14" s="452">
        <f t="shared" si="2"/>
        <v>0</v>
      </c>
      <c r="R14" s="454">
        <f t="shared" si="3"/>
        <v>0</v>
      </c>
      <c r="S14" s="451"/>
      <c r="T14" s="451"/>
      <c r="U14" s="451"/>
      <c r="V14" s="451"/>
      <c r="W14" s="451"/>
      <c r="X14" s="451"/>
      <c r="Y14" s="408"/>
      <c r="Z14" s="456">
        <f>MRet[[#This Row],[CREDIT CARD]]+MRet[[#This Row],[EMPLOYEES'' CHARGE]]+MRet[[#This Row],[Other Charge]]</f>
        <v>0</v>
      </c>
      <c r="AA14" s="451"/>
      <c r="AB14" s="451"/>
      <c r="AC14" s="462"/>
      <c r="AD14" s="456"/>
      <c r="AE14" s="456"/>
      <c r="AF14" s="456"/>
      <c r="AG14" s="466"/>
    </row>
    <row r="15" spans="1:259">
      <c r="A15" s="412">
        <f t="shared" si="0"/>
        <v>0</v>
      </c>
      <c r="B15" s="421"/>
      <c r="C15" s="418"/>
      <c r="D15" s="418"/>
      <c r="E15" s="418"/>
      <c r="F15" s="418"/>
      <c r="G15" s="422"/>
      <c r="H15" s="423"/>
      <c r="I15" s="445"/>
      <c r="J15" s="418"/>
      <c r="K15" s="446"/>
      <c r="L15" s="436"/>
      <c r="M15" s="423"/>
      <c r="N15" s="436"/>
      <c r="O15" s="438">
        <f t="shared" si="1"/>
        <v>0</v>
      </c>
      <c r="P15" s="439"/>
      <c r="Q15" s="455">
        <f t="shared" si="2"/>
        <v>0</v>
      </c>
      <c r="R15" s="453">
        <f t="shared" si="3"/>
        <v>0</v>
      </c>
      <c r="S15" s="451"/>
      <c r="T15" s="451"/>
      <c r="U15" s="451"/>
      <c r="V15" s="451"/>
      <c r="W15" s="451"/>
      <c r="X15" s="451"/>
      <c r="Y15" s="408"/>
      <c r="Z15" s="460">
        <f>MRet[[#This Row],[CREDIT CARD]]+MRet[[#This Row],[EMPLOYEES'' CHARGE]]+MRet[[#This Row],[Other Charge]]</f>
        <v>0</v>
      </c>
      <c r="AA15" s="451"/>
      <c r="AB15" s="451"/>
      <c r="AC15" s="461"/>
      <c r="AD15" s="460"/>
      <c r="AE15" s="460"/>
      <c r="AF15" s="460"/>
      <c r="AG15" s="465"/>
    </row>
    <row r="16" spans="1:259">
      <c r="A16" s="417">
        <f t="shared" si="0"/>
        <v>0</v>
      </c>
      <c r="B16" s="421"/>
      <c r="C16" s="418"/>
      <c r="D16" s="418"/>
      <c r="E16" s="418"/>
      <c r="F16" s="418"/>
      <c r="G16" s="422"/>
      <c r="H16" s="423"/>
      <c r="I16" s="445"/>
      <c r="J16" s="418"/>
      <c r="K16" s="446"/>
      <c r="L16" s="436"/>
      <c r="M16" s="423"/>
      <c r="N16" s="436"/>
      <c r="O16" s="444">
        <f t="shared" si="1"/>
        <v>0</v>
      </c>
      <c r="P16" s="447"/>
      <c r="Q16" s="455">
        <f t="shared" si="2"/>
        <v>0</v>
      </c>
      <c r="R16" s="454">
        <f t="shared" si="3"/>
        <v>0</v>
      </c>
      <c r="S16" s="456"/>
      <c r="T16" s="456"/>
      <c r="U16" s="456"/>
      <c r="V16" s="456"/>
      <c r="W16" s="456"/>
      <c r="X16" s="456"/>
      <c r="Y16" s="418"/>
      <c r="Z16" s="456">
        <f>MRet[[#This Row],[CREDIT CARD]]+MRet[[#This Row],[EMPLOYEES'' CHARGE]]+MRet[[#This Row],[Other Charge]]</f>
        <v>0</v>
      </c>
      <c r="AA16" s="456"/>
      <c r="AB16" s="456"/>
      <c r="AC16" s="462"/>
      <c r="AD16" s="456"/>
      <c r="AE16" s="456"/>
      <c r="AF16" s="456"/>
      <c r="AG16" s="466"/>
    </row>
    <row r="17" spans="3:7">
      <c r="C17" s="385"/>
      <c r="D17" s="385"/>
      <c r="E17" s="385"/>
      <c r="F17" s="385"/>
      <c r="G17" s="391"/>
    </row>
    <row r="18" spans="3:7">
      <c r="C18" s="385"/>
      <c r="D18" s="385"/>
      <c r="E18" s="385"/>
      <c r="F18" s="385"/>
      <c r="G18" s="391"/>
    </row>
    <row r="19" spans="3:7">
      <c r="C19" s="385"/>
      <c r="D19" s="385"/>
      <c r="E19" s="385"/>
      <c r="F19" s="385"/>
      <c r="G19" s="391"/>
    </row>
    <row r="20" spans="3:7">
      <c r="C20" s="385"/>
      <c r="D20" s="385"/>
      <c r="E20" s="385"/>
      <c r="F20" s="385"/>
      <c r="G20" s="391"/>
    </row>
    <row r="21" spans="3:7">
      <c r="C21" s="385"/>
      <c r="D21" s="385"/>
      <c r="E21" s="385"/>
      <c r="F21" s="385"/>
      <c r="G21" s="391"/>
    </row>
    <row r="22" spans="3:7">
      <c r="C22" s="385"/>
      <c r="D22" s="385"/>
      <c r="E22" s="385"/>
      <c r="F22" s="385"/>
      <c r="G22" s="391"/>
    </row>
    <row r="23" spans="3:7">
      <c r="C23" s="385"/>
      <c r="D23" s="385"/>
      <c r="E23" s="385"/>
      <c r="F23" s="385"/>
      <c r="G23" s="391"/>
    </row>
    <row r="24" spans="3:7">
      <c r="C24" s="385"/>
      <c r="D24" s="385"/>
      <c r="E24" s="385"/>
      <c r="F24" s="385"/>
      <c r="G24" s="391"/>
    </row>
    <row r="25" spans="3:7">
      <c r="C25" s="385"/>
      <c r="D25" s="385"/>
      <c r="E25" s="385"/>
      <c r="F25" s="385"/>
      <c r="G25" s="391"/>
    </row>
    <row r="26" spans="3:7">
      <c r="C26" s="385"/>
      <c r="D26" s="385"/>
      <c r="E26" s="385"/>
      <c r="F26" s="385"/>
      <c r="G26" s="391"/>
    </row>
    <row r="27" spans="3:7">
      <c r="C27" s="385"/>
      <c r="D27" s="385"/>
      <c r="E27" s="385"/>
      <c r="F27" s="385"/>
      <c r="G27" s="391"/>
    </row>
    <row r="28" spans="3:7">
      <c r="C28" s="385"/>
      <c r="D28" s="385"/>
      <c r="E28" s="385"/>
      <c r="F28" s="385"/>
      <c r="G28" s="391"/>
    </row>
    <row r="29" spans="3:7">
      <c r="C29" s="385"/>
      <c r="D29" s="385"/>
      <c r="E29" s="385"/>
      <c r="F29" s="385"/>
      <c r="G29" s="391"/>
    </row>
    <row r="30" spans="3:7">
      <c r="C30" s="385"/>
      <c r="D30" s="385"/>
      <c r="E30" s="385"/>
      <c r="F30" s="385"/>
      <c r="G30" s="391"/>
    </row>
    <row r="31" spans="3:7">
      <c r="C31" s="385"/>
      <c r="D31" s="385"/>
      <c r="E31" s="385"/>
      <c r="F31" s="385"/>
      <c r="G31" s="391"/>
    </row>
    <row r="32" spans="3:7">
      <c r="C32" s="385"/>
      <c r="D32" s="385"/>
      <c r="E32" s="385"/>
      <c r="F32" s="385"/>
      <c r="G32" s="391"/>
    </row>
    <row r="33" spans="3:7">
      <c r="C33" s="385"/>
      <c r="D33" s="385"/>
      <c r="E33" s="385"/>
      <c r="F33" s="385"/>
      <c r="G33" s="391"/>
    </row>
    <row r="34" spans="3:7">
      <c r="C34" s="385"/>
      <c r="D34" s="385"/>
      <c r="E34" s="385"/>
      <c r="F34" s="385"/>
      <c r="G34" s="391"/>
    </row>
    <row r="35" spans="3:7">
      <c r="C35" s="385"/>
      <c r="D35" s="385"/>
      <c r="E35" s="385"/>
      <c r="F35" s="385"/>
      <c r="G35" s="391"/>
    </row>
    <row r="36" spans="3:7">
      <c r="C36" s="385"/>
      <c r="D36" s="385"/>
      <c r="E36" s="385"/>
      <c r="F36" s="385"/>
      <c r="G36" s="391"/>
    </row>
    <row r="37" spans="3:7">
      <c r="C37" s="385"/>
      <c r="D37" s="385"/>
      <c r="E37" s="385"/>
      <c r="F37" s="385"/>
      <c r="G37" s="391"/>
    </row>
    <row r="38" spans="3:7">
      <c r="C38" s="385"/>
      <c r="D38" s="385"/>
      <c r="E38" s="385"/>
      <c r="F38" s="385"/>
      <c r="G38" s="391"/>
    </row>
    <row r="39" spans="3:7">
      <c r="C39" s="385"/>
      <c r="D39" s="385"/>
      <c r="E39" s="385"/>
      <c r="F39" s="385"/>
      <c r="G39" s="391"/>
    </row>
    <row r="40" spans="3:7">
      <c r="C40" s="385"/>
      <c r="D40" s="385"/>
      <c r="E40" s="385"/>
      <c r="F40" s="385"/>
      <c r="G40" s="391"/>
    </row>
    <row r="41" spans="3:7">
      <c r="C41" s="385"/>
      <c r="D41" s="385"/>
      <c r="E41" s="385"/>
      <c r="F41" s="385"/>
      <c r="G41" s="391"/>
    </row>
    <row r="42" spans="3:7">
      <c r="C42" s="385"/>
      <c r="D42" s="385"/>
      <c r="E42" s="385"/>
      <c r="F42" s="385"/>
      <c r="G42" s="391"/>
    </row>
    <row r="43" spans="3:7">
      <c r="C43" s="385"/>
      <c r="D43" s="385"/>
      <c r="E43" s="385"/>
      <c r="F43" s="385"/>
      <c r="G43" s="391"/>
    </row>
    <row r="44" spans="3:7">
      <c r="C44" s="385"/>
      <c r="D44" s="385"/>
      <c r="E44" s="385"/>
      <c r="F44" s="385"/>
      <c r="G44" s="391"/>
    </row>
    <row r="45" spans="3:7">
      <c r="C45" s="385"/>
      <c r="D45" s="385"/>
      <c r="E45" s="385"/>
      <c r="F45" s="385"/>
      <c r="G45" s="391"/>
    </row>
    <row r="46" spans="3:7">
      <c r="C46" s="385"/>
      <c r="D46" s="385"/>
      <c r="E46" s="385"/>
      <c r="F46" s="385"/>
      <c r="G46" s="391"/>
    </row>
    <row r="47" spans="3:7">
      <c r="C47" s="385"/>
      <c r="D47" s="385"/>
      <c r="E47" s="385"/>
      <c r="F47" s="385"/>
      <c r="G47" s="391"/>
    </row>
    <row r="48" spans="3:7">
      <c r="C48" s="385"/>
      <c r="D48" s="385"/>
      <c r="E48" s="385"/>
      <c r="F48" s="385"/>
      <c r="G48" s="391"/>
    </row>
    <row r="49" spans="3:7">
      <c r="C49" s="385"/>
      <c r="D49" s="385"/>
      <c r="E49" s="385"/>
      <c r="F49" s="385"/>
      <c r="G49" s="391"/>
    </row>
    <row r="50" spans="3:7">
      <c r="C50" s="385"/>
      <c r="D50" s="385"/>
      <c r="E50" s="385"/>
      <c r="F50" s="385"/>
      <c r="G50" s="391"/>
    </row>
    <row r="51" spans="3:7">
      <c r="C51" s="385"/>
      <c r="D51" s="385"/>
      <c r="E51" s="385"/>
      <c r="F51" s="385"/>
      <c r="G51" s="391"/>
    </row>
    <row r="52" spans="3:7">
      <c r="C52" s="385"/>
      <c r="D52" s="385"/>
      <c r="E52" s="385"/>
      <c r="F52" s="385"/>
      <c r="G52" s="391"/>
    </row>
    <row r="53" spans="3:7">
      <c r="C53" s="385"/>
      <c r="D53" s="385"/>
      <c r="E53" s="385"/>
      <c r="F53" s="385"/>
      <c r="G53" s="391"/>
    </row>
    <row r="54" spans="3:7">
      <c r="C54" s="385"/>
      <c r="D54" s="385"/>
      <c r="E54" s="385"/>
      <c r="F54" s="385"/>
      <c r="G54" s="391"/>
    </row>
    <row r="55" spans="3:7">
      <c r="C55" s="385"/>
      <c r="D55" s="385"/>
      <c r="E55" s="385"/>
      <c r="F55" s="385"/>
      <c r="G55" s="391"/>
    </row>
    <row r="56" spans="3:7">
      <c r="C56" s="385"/>
      <c r="D56" s="385"/>
      <c r="E56" s="385"/>
      <c r="F56" s="385"/>
      <c r="G56" s="391"/>
    </row>
    <row r="57" spans="3:7">
      <c r="C57" s="385"/>
      <c r="D57" s="385"/>
      <c r="E57" s="385"/>
      <c r="F57" s="385"/>
      <c r="G57" s="391"/>
    </row>
    <row r="58" spans="3:7">
      <c r="C58" s="385"/>
      <c r="D58" s="385"/>
      <c r="E58" s="385"/>
      <c r="F58" s="385"/>
      <c r="G58" s="391"/>
    </row>
    <row r="59" spans="3:7">
      <c r="C59" s="385"/>
      <c r="D59" s="385"/>
      <c r="E59" s="385"/>
      <c r="F59" s="385"/>
      <c r="G59" s="391"/>
    </row>
    <row r="60" spans="3:7">
      <c r="C60" s="385"/>
      <c r="D60" s="385"/>
      <c r="E60" s="385"/>
      <c r="F60" s="385"/>
      <c r="G60" s="391"/>
    </row>
    <row r="61" spans="3:7">
      <c r="C61" s="385"/>
      <c r="D61" s="385"/>
      <c r="E61" s="385"/>
      <c r="F61" s="385"/>
      <c r="G61" s="391"/>
    </row>
    <row r="62" spans="3:7">
      <c r="C62" s="385"/>
      <c r="D62" s="385"/>
      <c r="E62" s="385"/>
      <c r="F62" s="385"/>
      <c r="G62" s="391"/>
    </row>
    <row r="63" spans="3:7">
      <c r="C63" s="385"/>
      <c r="D63" s="385"/>
      <c r="E63" s="385"/>
      <c r="F63" s="385"/>
      <c r="G63" s="391"/>
    </row>
    <row r="64" spans="3:7">
      <c r="C64" s="385"/>
      <c r="D64" s="385"/>
      <c r="E64" s="385"/>
      <c r="F64" s="385"/>
      <c r="G64" s="391"/>
    </row>
    <row r="65" spans="3:7">
      <c r="C65" s="385"/>
      <c r="D65" s="385"/>
      <c r="E65" s="385"/>
      <c r="F65" s="385"/>
      <c r="G65" s="391"/>
    </row>
    <row r="66" spans="3:7">
      <c r="C66" s="385"/>
      <c r="D66" s="385"/>
      <c r="E66" s="385"/>
      <c r="F66" s="385"/>
      <c r="G66" s="391"/>
    </row>
    <row r="67" spans="3:7">
      <c r="C67" s="385"/>
      <c r="D67" s="385"/>
      <c r="E67" s="385"/>
      <c r="F67" s="385"/>
      <c r="G67" s="391"/>
    </row>
    <row r="68" spans="3:7">
      <c r="C68" s="385"/>
      <c r="D68" s="385"/>
      <c r="E68" s="385"/>
      <c r="F68" s="385"/>
      <c r="G68" s="391"/>
    </row>
    <row r="69" spans="3:7">
      <c r="C69" s="385"/>
      <c r="D69" s="385"/>
      <c r="E69" s="385"/>
      <c r="F69" s="385"/>
      <c r="G69" s="391"/>
    </row>
    <row r="70" spans="3:7">
      <c r="C70" s="385"/>
      <c r="D70" s="385"/>
      <c r="E70" s="385"/>
      <c r="F70" s="385"/>
      <c r="G70" s="391"/>
    </row>
    <row r="71" spans="3:7">
      <c r="C71" s="385"/>
      <c r="D71" s="385"/>
      <c r="E71" s="385"/>
      <c r="F71" s="385"/>
      <c r="G71" s="391"/>
    </row>
    <row r="72" spans="3:7">
      <c r="C72" s="385"/>
      <c r="D72" s="385"/>
      <c r="E72" s="385"/>
      <c r="F72" s="385"/>
      <c r="G72" s="391"/>
    </row>
    <row r="73" spans="3:7">
      <c r="C73" s="385"/>
      <c r="D73" s="385"/>
      <c r="E73" s="385"/>
      <c r="F73" s="385"/>
      <c r="G73" s="391"/>
    </row>
    <row r="74" spans="3:7">
      <c r="C74" s="385"/>
      <c r="D74" s="385"/>
      <c r="E74" s="385"/>
      <c r="F74" s="385"/>
      <c r="G74" s="391"/>
    </row>
    <row r="75" spans="3:7">
      <c r="C75" s="385"/>
      <c r="D75" s="385"/>
      <c r="E75" s="385"/>
      <c r="F75" s="385"/>
      <c r="G75" s="391"/>
    </row>
    <row r="76" spans="3:7">
      <c r="C76" s="385"/>
      <c r="D76" s="385"/>
      <c r="E76" s="385"/>
      <c r="F76" s="385"/>
      <c r="G76" s="391"/>
    </row>
    <row r="77" spans="3:7">
      <c r="C77" s="385"/>
      <c r="D77" s="385"/>
      <c r="E77" s="385"/>
      <c r="F77" s="385"/>
      <c r="G77" s="391"/>
    </row>
    <row r="78" spans="3:7">
      <c r="C78" s="385"/>
      <c r="D78" s="385"/>
      <c r="E78" s="385"/>
      <c r="F78" s="385"/>
      <c r="G78" s="391"/>
    </row>
    <row r="79" spans="3:7">
      <c r="C79" s="385"/>
      <c r="D79" s="385"/>
      <c r="E79" s="385"/>
      <c r="F79" s="385"/>
      <c r="G79" s="391"/>
    </row>
    <row r="80" spans="3:7">
      <c r="C80" s="385"/>
      <c r="D80" s="385"/>
      <c r="E80" s="385"/>
      <c r="F80" s="385"/>
      <c r="G80" s="391"/>
    </row>
    <row r="81" spans="3:7">
      <c r="C81" s="385"/>
      <c r="D81" s="385"/>
      <c r="E81" s="385"/>
      <c r="F81" s="385"/>
      <c r="G81" s="391"/>
    </row>
    <row r="82" spans="3:7">
      <c r="C82" s="385"/>
      <c r="D82" s="385"/>
      <c r="E82" s="385"/>
      <c r="F82" s="385"/>
      <c r="G82" s="391"/>
    </row>
    <row r="83" spans="3:7">
      <c r="C83" s="385"/>
      <c r="D83" s="385"/>
      <c r="E83" s="385"/>
      <c r="F83" s="385"/>
      <c r="G83" s="391"/>
    </row>
    <row r="84" spans="3:7">
      <c r="C84" s="385"/>
      <c r="D84" s="385"/>
      <c r="E84" s="385"/>
      <c r="F84" s="385"/>
      <c r="G84" s="391"/>
    </row>
    <row r="85" spans="3:7">
      <c r="C85" s="385"/>
      <c r="D85" s="385"/>
      <c r="E85" s="385"/>
      <c r="F85" s="385"/>
      <c r="G85" s="391"/>
    </row>
    <row r="86" spans="3:7">
      <c r="C86" s="385"/>
      <c r="D86" s="385"/>
      <c r="E86" s="385"/>
      <c r="F86" s="385"/>
      <c r="G86" s="391"/>
    </row>
    <row r="87" spans="3:7">
      <c r="C87" s="385"/>
      <c r="D87" s="385"/>
      <c r="E87" s="385"/>
      <c r="F87" s="385"/>
      <c r="G87" s="391"/>
    </row>
    <row r="88" spans="3:7">
      <c r="C88" s="385"/>
      <c r="D88" s="385"/>
      <c r="E88" s="385"/>
      <c r="F88" s="385"/>
      <c r="G88" s="391"/>
    </row>
    <row r="89" spans="3:7">
      <c r="C89" s="385"/>
      <c r="D89" s="385"/>
      <c r="E89" s="385"/>
      <c r="F89" s="385"/>
      <c r="G89" s="391"/>
    </row>
    <row r="90" spans="3:7">
      <c r="C90" s="385"/>
      <c r="D90" s="385"/>
      <c r="E90" s="385"/>
      <c r="F90" s="385"/>
      <c r="G90" s="391"/>
    </row>
    <row r="91" spans="3:7">
      <c r="C91" s="385"/>
      <c r="D91" s="385"/>
      <c r="E91" s="385"/>
      <c r="F91" s="385"/>
      <c r="G91" s="391"/>
    </row>
    <row r="92" spans="3:7">
      <c r="C92" s="385"/>
      <c r="D92" s="385"/>
      <c r="E92" s="385"/>
      <c r="F92" s="385"/>
      <c r="G92" s="391"/>
    </row>
    <row r="93" spans="3:7">
      <c r="C93" s="385"/>
      <c r="D93" s="385"/>
      <c r="E93" s="385"/>
      <c r="F93" s="385"/>
      <c r="G93" s="391"/>
    </row>
    <row r="94" spans="3:7">
      <c r="C94" s="385"/>
      <c r="D94" s="385"/>
      <c r="E94" s="385"/>
      <c r="F94" s="385"/>
      <c r="G94" s="391"/>
    </row>
    <row r="95" spans="3:7">
      <c r="C95" s="385"/>
      <c r="D95" s="385"/>
      <c r="E95" s="385"/>
      <c r="F95" s="385"/>
      <c r="G95" s="391"/>
    </row>
    <row r="96" spans="3:7">
      <c r="C96" s="385"/>
      <c r="D96" s="385"/>
      <c r="E96" s="385"/>
      <c r="F96" s="385"/>
      <c r="G96" s="391"/>
    </row>
    <row r="97" spans="3:7">
      <c r="C97" s="385"/>
      <c r="D97" s="385"/>
      <c r="E97" s="385"/>
      <c r="F97" s="385"/>
      <c r="G97" s="391"/>
    </row>
    <row r="98" spans="3:7">
      <c r="C98" s="385"/>
      <c r="D98" s="385"/>
      <c r="E98" s="385"/>
      <c r="F98" s="385"/>
      <c r="G98" s="391"/>
    </row>
    <row r="99" spans="3:7">
      <c r="C99" s="385"/>
      <c r="D99" s="385"/>
      <c r="E99" s="385"/>
      <c r="F99" s="385"/>
      <c r="G99" s="391"/>
    </row>
    <row r="100" spans="3:7">
      <c r="C100" s="385"/>
      <c r="D100" s="385"/>
      <c r="E100" s="385"/>
      <c r="F100" s="385"/>
      <c r="G100" s="391"/>
    </row>
    <row r="101" spans="3:7">
      <c r="C101" s="385"/>
      <c r="D101" s="385"/>
      <c r="E101" s="385"/>
      <c r="F101" s="385"/>
      <c r="G101" s="391"/>
    </row>
    <row r="102" spans="3:7">
      <c r="C102" s="385"/>
      <c r="D102" s="385"/>
      <c r="E102" s="385"/>
      <c r="F102" s="385"/>
      <c r="G102" s="391"/>
    </row>
    <row r="103" spans="3:7">
      <c r="C103" s="385"/>
      <c r="D103" s="385"/>
      <c r="E103" s="385"/>
      <c r="F103" s="385"/>
      <c r="G103" s="391"/>
    </row>
    <row r="104" spans="3:7">
      <c r="C104" s="385"/>
      <c r="D104" s="385"/>
      <c r="E104" s="385"/>
      <c r="F104" s="385"/>
      <c r="G104" s="391"/>
    </row>
    <row r="105" spans="3:7">
      <c r="C105" s="385"/>
      <c r="D105" s="385"/>
      <c r="E105" s="385"/>
      <c r="F105" s="385"/>
      <c r="G105" s="391"/>
    </row>
    <row r="106" spans="3:7">
      <c r="C106" s="385"/>
      <c r="D106" s="385"/>
      <c r="E106" s="385"/>
      <c r="F106" s="385"/>
      <c r="G106" s="391"/>
    </row>
    <row r="107" spans="3:7">
      <c r="C107" s="385"/>
      <c r="D107" s="385"/>
      <c r="E107" s="385"/>
      <c r="F107" s="385"/>
      <c r="G107" s="391"/>
    </row>
    <row r="108" spans="3:7">
      <c r="C108" s="385"/>
      <c r="D108" s="385"/>
      <c r="E108" s="385"/>
      <c r="F108" s="385"/>
      <c r="G108" s="391"/>
    </row>
    <row r="109" spans="3:7">
      <c r="C109" s="385"/>
      <c r="D109" s="385"/>
      <c r="E109" s="385"/>
      <c r="F109" s="385"/>
      <c r="G109" s="391"/>
    </row>
    <row r="110" spans="3:7">
      <c r="C110" s="385"/>
      <c r="D110" s="385"/>
      <c r="E110" s="385"/>
      <c r="F110" s="385"/>
      <c r="G110" s="391"/>
    </row>
    <row r="111" spans="3:7">
      <c r="C111" s="385"/>
      <c r="D111" s="385"/>
      <c r="E111" s="385"/>
      <c r="F111" s="385"/>
      <c r="G111" s="391"/>
    </row>
    <row r="112" spans="3:7">
      <c r="C112" s="467"/>
      <c r="D112" s="467"/>
      <c r="E112" s="467"/>
      <c r="F112" s="467"/>
      <c r="G112" s="468"/>
    </row>
    <row r="114" spans="3:7">
      <c r="C114" s="467"/>
      <c r="D114" s="467"/>
      <c r="E114" s="467"/>
      <c r="F114" s="467"/>
      <c r="G114" s="468"/>
    </row>
    <row r="116" spans="3:7">
      <c r="C116" s="467"/>
      <c r="D116" s="467"/>
      <c r="E116" s="467"/>
      <c r="F116" s="467"/>
      <c r="G116" s="468"/>
    </row>
    <row r="118" spans="3:7">
      <c r="C118" s="467"/>
      <c r="D118" s="467"/>
      <c r="E118" s="467"/>
      <c r="F118" s="467"/>
      <c r="G118" s="468"/>
    </row>
    <row r="156" spans="3:7">
      <c r="C156" s="467"/>
      <c r="D156" s="467"/>
      <c r="E156" s="467"/>
      <c r="F156" s="467"/>
      <c r="G156" s="468"/>
    </row>
    <row r="164" spans="3:7">
      <c r="C164" s="467"/>
      <c r="D164" s="467"/>
      <c r="E164" s="467"/>
      <c r="F164" s="467"/>
      <c r="G164" s="468"/>
    </row>
    <row r="169" spans="3:7">
      <c r="C169" s="467"/>
      <c r="D169" s="467"/>
      <c r="E169" s="467"/>
      <c r="F169" s="467"/>
      <c r="G169" s="468"/>
    </row>
    <row r="172" spans="3:7">
      <c r="C172" s="467"/>
      <c r="D172" s="467"/>
      <c r="E172" s="467"/>
      <c r="F172" s="467"/>
      <c r="G172" s="468"/>
    </row>
    <row r="175" spans="3:7">
      <c r="C175" s="467"/>
      <c r="D175" s="467"/>
      <c r="E175" s="467"/>
      <c r="F175" s="467"/>
      <c r="G175" s="468"/>
    </row>
    <row r="192" spans="3:7">
      <c r="C192" s="467"/>
      <c r="D192" s="467"/>
      <c r="E192" s="467"/>
      <c r="F192" s="467"/>
      <c r="G192" s="468"/>
    </row>
    <row r="194" spans="3:7">
      <c r="C194" s="467"/>
      <c r="D194" s="467"/>
      <c r="E194" s="467"/>
      <c r="F194" s="467"/>
      <c r="G194" s="468"/>
    </row>
    <row r="196" spans="3:7">
      <c r="C196" s="467"/>
      <c r="D196" s="467"/>
      <c r="E196" s="467"/>
      <c r="F196" s="467"/>
      <c r="G196" s="468"/>
    </row>
    <row r="198" spans="3:7">
      <c r="C198" s="467"/>
      <c r="D198" s="467"/>
      <c r="E198" s="467"/>
      <c r="F198" s="467"/>
      <c r="G198" s="468"/>
    </row>
    <row r="200" spans="3:7">
      <c r="C200" s="467"/>
      <c r="D200" s="467"/>
      <c r="E200" s="467"/>
      <c r="F200" s="467"/>
      <c r="G200" s="468"/>
    </row>
    <row r="202" spans="3:7">
      <c r="C202" s="467"/>
      <c r="D202" s="467"/>
      <c r="E202" s="467"/>
      <c r="F202" s="467"/>
      <c r="G202" s="468"/>
    </row>
    <row r="204" spans="3:7">
      <c r="C204" s="467"/>
      <c r="D204" s="467"/>
      <c r="E204" s="467"/>
      <c r="F204" s="467"/>
      <c r="G204" s="468"/>
    </row>
    <row r="206" spans="3:7">
      <c r="C206" s="467"/>
      <c r="D206" s="467"/>
      <c r="E206" s="467"/>
      <c r="F206" s="467"/>
      <c r="G206" s="468"/>
    </row>
    <row r="208" spans="3:7">
      <c r="C208" s="467"/>
      <c r="D208" s="467"/>
      <c r="E208" s="467"/>
      <c r="F208" s="467"/>
      <c r="G208" s="468"/>
    </row>
    <row r="210" spans="3:7">
      <c r="C210" s="467"/>
      <c r="D210" s="467"/>
      <c r="E210" s="467"/>
      <c r="F210" s="467"/>
      <c r="G210" s="468"/>
    </row>
    <row r="212" spans="3:7">
      <c r="C212" s="467"/>
      <c r="D212" s="467"/>
      <c r="E212" s="467"/>
      <c r="F212" s="467"/>
      <c r="G212" s="468"/>
    </row>
    <row r="214" spans="3:7">
      <c r="C214" s="467"/>
      <c r="D214" s="467"/>
      <c r="E214" s="467"/>
      <c r="F214" s="467"/>
      <c r="G214" s="468"/>
    </row>
    <row r="216" spans="3:7">
      <c r="C216" s="467"/>
      <c r="D216" s="467"/>
      <c r="E216" s="467"/>
      <c r="F216" s="467"/>
      <c r="G216" s="468"/>
    </row>
    <row r="218" spans="3:7">
      <c r="C218" s="467"/>
      <c r="D218" s="467"/>
      <c r="E218" s="467"/>
      <c r="F218" s="467"/>
      <c r="G218" s="468"/>
    </row>
    <row r="220" spans="3:7">
      <c r="C220" s="467"/>
      <c r="D220" s="467"/>
      <c r="E220" s="467"/>
      <c r="F220" s="467"/>
      <c r="G220" s="468"/>
    </row>
    <row r="222" spans="3:7">
      <c r="C222" s="467"/>
      <c r="D222" s="467"/>
      <c r="E222" s="467"/>
      <c r="F222" s="467"/>
      <c r="G222" s="468"/>
    </row>
    <row r="224" spans="3:7">
      <c r="C224" s="467"/>
      <c r="D224" s="467"/>
      <c r="E224" s="467"/>
      <c r="F224" s="467"/>
      <c r="G224" s="468"/>
    </row>
    <row r="226" spans="3:7">
      <c r="C226" s="467"/>
      <c r="D226" s="467"/>
      <c r="E226" s="467"/>
      <c r="F226" s="467"/>
      <c r="G226" s="468"/>
    </row>
    <row r="228" spans="3:7">
      <c r="C228" s="467"/>
      <c r="D228" s="467"/>
      <c r="E228" s="467"/>
      <c r="F228" s="467"/>
      <c r="G228" s="468"/>
    </row>
    <row r="230" spans="3:7">
      <c r="C230" s="467"/>
      <c r="D230" s="467"/>
      <c r="E230" s="467"/>
      <c r="F230" s="467"/>
      <c r="G230" s="468"/>
    </row>
    <row r="232" spans="3:7">
      <c r="C232" s="467"/>
      <c r="D232" s="467"/>
      <c r="E232" s="467"/>
      <c r="F232" s="467"/>
      <c r="G232" s="468"/>
    </row>
    <row r="234" spans="3:7">
      <c r="C234" s="467"/>
      <c r="D234" s="467"/>
      <c r="E234" s="467"/>
      <c r="F234" s="467"/>
      <c r="G234" s="468"/>
    </row>
    <row r="236" spans="3:7">
      <c r="C236" s="467"/>
      <c r="D236" s="467"/>
      <c r="E236" s="467"/>
      <c r="F236" s="467"/>
      <c r="G236" s="468"/>
    </row>
    <row r="238" spans="3:7">
      <c r="C238" s="467"/>
      <c r="D238" s="467"/>
      <c r="E238" s="467"/>
      <c r="F238" s="467"/>
      <c r="G238" s="468"/>
    </row>
    <row r="240" spans="3:7">
      <c r="C240" s="467"/>
      <c r="D240" s="467"/>
      <c r="E240" s="467"/>
      <c r="F240" s="467"/>
      <c r="G240" s="468"/>
    </row>
    <row r="242" spans="3:7">
      <c r="C242" s="467"/>
      <c r="D242" s="467"/>
      <c r="E242" s="467"/>
      <c r="F242" s="467"/>
      <c r="G242" s="468"/>
    </row>
    <row r="244" spans="3:7">
      <c r="C244" s="467"/>
      <c r="D244" s="467"/>
      <c r="E244" s="467"/>
      <c r="F244" s="467"/>
      <c r="G244" s="468"/>
    </row>
    <row r="246" spans="3:7">
      <c r="C246" s="467"/>
      <c r="D246" s="467"/>
      <c r="E246" s="467"/>
      <c r="F246" s="467"/>
      <c r="G246" s="468"/>
    </row>
    <row r="248" spans="3:7">
      <c r="C248" s="467"/>
      <c r="D248" s="467"/>
      <c r="E248" s="467"/>
      <c r="F248" s="467"/>
      <c r="G248" s="468"/>
    </row>
    <row r="250" spans="3:7">
      <c r="C250" s="467"/>
      <c r="D250" s="467"/>
      <c r="E250" s="467"/>
      <c r="F250" s="467"/>
      <c r="G250" s="468"/>
    </row>
    <row r="252" spans="3:7">
      <c r="C252" s="467"/>
      <c r="D252" s="467"/>
      <c r="E252" s="467"/>
      <c r="F252" s="467"/>
      <c r="G252" s="468"/>
    </row>
    <row r="254" spans="3:7">
      <c r="C254" s="467"/>
      <c r="D254" s="467"/>
      <c r="E254" s="467"/>
      <c r="F254" s="467"/>
      <c r="G254" s="468"/>
    </row>
    <row r="256" spans="3:7">
      <c r="C256" s="467"/>
      <c r="D256" s="467"/>
      <c r="E256" s="467"/>
      <c r="F256" s="467"/>
      <c r="G256" s="468"/>
    </row>
    <row r="258" spans="3:7">
      <c r="C258" s="467"/>
      <c r="D258" s="467"/>
      <c r="E258" s="467"/>
      <c r="F258" s="467"/>
      <c r="G258" s="468"/>
    </row>
    <row r="260" spans="3:7">
      <c r="C260" s="467"/>
      <c r="D260" s="467"/>
      <c r="E260" s="467"/>
      <c r="F260" s="467"/>
      <c r="G260" s="468"/>
    </row>
    <row r="262" spans="3:7">
      <c r="C262" s="467"/>
      <c r="D262" s="467"/>
      <c r="E262" s="467"/>
      <c r="F262" s="467"/>
      <c r="G262" s="468"/>
    </row>
    <row r="264" spans="3:7">
      <c r="C264" s="467"/>
      <c r="D264" s="467"/>
      <c r="E264" s="467"/>
      <c r="F264" s="467"/>
      <c r="G264" s="468"/>
    </row>
    <row r="266" spans="3:7">
      <c r="C266" s="467"/>
      <c r="D266" s="467"/>
      <c r="E266" s="467"/>
      <c r="F266" s="467"/>
      <c r="G266" s="468"/>
    </row>
    <row r="268" spans="3:7">
      <c r="C268" s="467"/>
      <c r="D268" s="467"/>
      <c r="E268" s="467"/>
      <c r="F268" s="467"/>
      <c r="G268" s="468"/>
    </row>
    <row r="270" spans="3:7">
      <c r="C270" s="467"/>
      <c r="D270" s="467"/>
      <c r="E270" s="467"/>
      <c r="F270" s="467"/>
      <c r="G270" s="468"/>
    </row>
    <row r="272" spans="3:7">
      <c r="C272" s="467"/>
      <c r="D272" s="467"/>
      <c r="E272" s="467"/>
      <c r="F272" s="467"/>
      <c r="G272" s="468"/>
    </row>
    <row r="274" spans="3:7">
      <c r="C274" s="467"/>
      <c r="D274" s="467"/>
      <c r="E274" s="467"/>
      <c r="F274" s="467"/>
      <c r="G274" s="468"/>
    </row>
    <row r="276" spans="3:7">
      <c r="C276" s="467"/>
      <c r="D276" s="467"/>
      <c r="E276" s="467"/>
      <c r="F276" s="467"/>
      <c r="G276" s="468"/>
    </row>
    <row r="278" spans="3:7">
      <c r="C278" s="467"/>
      <c r="D278" s="467"/>
      <c r="E278" s="467"/>
      <c r="F278" s="467"/>
      <c r="G278" s="468"/>
    </row>
    <row r="280" spans="3:7">
      <c r="C280" s="467"/>
      <c r="D280" s="467"/>
      <c r="E280" s="467"/>
      <c r="F280" s="467"/>
      <c r="G280" s="468"/>
    </row>
    <row r="282" spans="3:7">
      <c r="C282" s="467"/>
      <c r="D282" s="467"/>
      <c r="E282" s="467"/>
      <c r="F282" s="467"/>
      <c r="G282" s="468"/>
    </row>
    <row r="284" spans="3:7">
      <c r="C284" s="467"/>
      <c r="D284" s="467"/>
      <c r="E284" s="467"/>
      <c r="F284" s="467"/>
      <c r="G284" s="468"/>
    </row>
    <row r="286" spans="3:7">
      <c r="C286" s="467"/>
      <c r="D286" s="467"/>
      <c r="E286" s="467"/>
      <c r="F286" s="467"/>
      <c r="G286" s="468"/>
    </row>
    <row r="288" spans="3:7">
      <c r="C288" s="467"/>
      <c r="D288" s="467"/>
      <c r="E288" s="467"/>
      <c r="F288" s="467"/>
      <c r="G288" s="468"/>
    </row>
    <row r="290" spans="3:7">
      <c r="C290" s="467"/>
      <c r="D290" s="467"/>
      <c r="E290" s="467"/>
      <c r="F290" s="467"/>
      <c r="G290" s="468"/>
    </row>
    <row r="294" spans="3:7">
      <c r="C294" s="467"/>
      <c r="D294" s="467"/>
      <c r="E294" s="467"/>
      <c r="F294" s="467"/>
      <c r="G294" s="468"/>
    </row>
    <row r="296" spans="3:7">
      <c r="C296" s="467"/>
      <c r="D296" s="467"/>
      <c r="E296" s="467"/>
      <c r="F296" s="467"/>
      <c r="G296" s="468"/>
    </row>
    <row r="298" spans="3:7">
      <c r="C298" s="467"/>
      <c r="D298" s="467"/>
      <c r="E298" s="467"/>
      <c r="F298" s="467"/>
      <c r="G298" s="468"/>
    </row>
    <row r="300" spans="3:7">
      <c r="C300" s="467"/>
      <c r="D300" s="467"/>
      <c r="E300" s="467"/>
      <c r="F300" s="467"/>
      <c r="G300" s="468"/>
    </row>
    <row r="302" spans="3:7">
      <c r="C302" s="467"/>
      <c r="D302" s="467"/>
      <c r="E302" s="467"/>
      <c r="F302" s="467"/>
      <c r="G302" s="468"/>
    </row>
    <row r="304" spans="3:7">
      <c r="C304" s="467"/>
      <c r="D304" s="467"/>
      <c r="E304" s="467"/>
      <c r="F304" s="467"/>
      <c r="G304" s="468"/>
    </row>
    <row r="306" spans="3:7">
      <c r="C306" s="467"/>
      <c r="D306" s="467"/>
      <c r="E306" s="467"/>
      <c r="F306" s="467"/>
      <c r="G306" s="468"/>
    </row>
    <row r="308" spans="3:7">
      <c r="C308" s="467"/>
      <c r="D308" s="467"/>
      <c r="E308" s="467"/>
      <c r="F308" s="467"/>
      <c r="G308" s="468"/>
    </row>
    <row r="310" spans="3:7">
      <c r="C310" s="467"/>
      <c r="D310" s="467"/>
      <c r="E310" s="467"/>
      <c r="F310" s="467"/>
      <c r="G310" s="468"/>
    </row>
    <row r="312" spans="3:7">
      <c r="C312" s="467"/>
      <c r="D312" s="467"/>
      <c r="E312" s="467"/>
      <c r="F312" s="467"/>
      <c r="G312" s="468"/>
    </row>
    <row r="314" spans="3:7">
      <c r="C314" s="467"/>
      <c r="D314" s="467"/>
      <c r="E314" s="467"/>
      <c r="F314" s="467"/>
      <c r="G314" s="468"/>
    </row>
    <row r="316" spans="3:7">
      <c r="C316" s="467"/>
      <c r="D316" s="467"/>
      <c r="E316" s="467"/>
      <c r="F316" s="467"/>
      <c r="G316" s="468"/>
    </row>
    <row r="318" spans="3:7">
      <c r="C318" s="467"/>
      <c r="D318" s="467"/>
      <c r="E318" s="467"/>
      <c r="F318" s="467"/>
      <c r="G318" s="468"/>
    </row>
    <row r="320" spans="3:7">
      <c r="C320" s="467"/>
      <c r="D320" s="467"/>
      <c r="E320" s="467"/>
      <c r="F320" s="467"/>
      <c r="G320" s="468"/>
    </row>
    <row r="322" spans="3:15">
      <c r="C322" s="467"/>
      <c r="D322" s="467"/>
      <c r="E322" s="467"/>
      <c r="F322" s="467"/>
      <c r="G322" s="468"/>
    </row>
    <row r="324" spans="3:15">
      <c r="C324" s="467"/>
      <c r="D324" s="467"/>
      <c r="E324" s="467"/>
      <c r="F324" s="467"/>
      <c r="G324" s="468"/>
    </row>
    <row r="326" spans="3:15">
      <c r="C326" s="467"/>
      <c r="D326" s="467"/>
      <c r="E326" s="467"/>
      <c r="F326" s="467"/>
      <c r="G326" s="468"/>
    </row>
    <row r="328" spans="3:15">
      <c r="C328" s="467"/>
      <c r="D328" s="467"/>
      <c r="E328" s="467"/>
      <c r="F328" s="467"/>
      <c r="G328" s="468"/>
    </row>
    <row r="330" spans="3:15">
      <c r="O330" s="469">
        <f>SUBTOTAL(9,O10:O329)</f>
        <v>0</v>
      </c>
    </row>
  </sheetData>
  <mergeCells count="3">
    <mergeCell ref="AE4:AG4"/>
    <mergeCell ref="P7:Q7"/>
    <mergeCell ref="V7:Z7"/>
  </mergeCells>
  <dataValidations count="1">
    <dataValidation type="list" allowBlank="1" showInputMessage="1" showErrorMessage="1" sqref="D9:D16" xr:uid="{00000000-0002-0000-0200-000000000000}">
      <formula1>"Manual,OutSale"</formula1>
    </dataValidation>
  </dataValidations>
  <pageMargins left="0.7" right="0.7" top="0.75" bottom="0.75" header="0.3" footer="0.3"/>
  <pageSetup orientation="portrait" verticalDpi="7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A2627"/>
  <sheetViews>
    <sheetView zoomScale="85" zoomScaleNormal="85" workbookViewId="0">
      <pane xSplit="1" ySplit="5" topLeftCell="B6" activePane="bottomRight" state="frozen"/>
      <selection pane="topRight"/>
      <selection pane="bottomLeft"/>
      <selection pane="bottomRight" sqref="A1:K1"/>
    </sheetView>
  </sheetViews>
  <sheetFormatPr defaultColWidth="9.109375" defaultRowHeight="13.2"/>
  <cols>
    <col min="1" max="1" width="9.109375" style="307"/>
    <col min="2" max="2" width="19" style="309" customWidth="1"/>
    <col min="3" max="3" width="17.109375" style="309" customWidth="1"/>
    <col min="4" max="5" width="16.5546875" style="309" customWidth="1"/>
    <col min="6" max="6" width="20.6640625" style="309" customWidth="1"/>
    <col min="7" max="7" width="13" style="309" customWidth="1"/>
    <col min="8" max="8" width="12" style="310" customWidth="1"/>
    <col min="9" max="9" width="16.88671875" style="311" customWidth="1"/>
    <col min="10" max="10" width="15.6640625" style="311" customWidth="1"/>
    <col min="11" max="11" width="30.88671875" style="307" customWidth="1"/>
    <col min="12" max="12" width="3.109375" style="307" customWidth="1"/>
    <col min="13" max="13" width="19.6640625" style="312" customWidth="1"/>
    <col min="14" max="14" width="15.6640625" style="312" customWidth="1"/>
    <col min="15" max="15" width="17.109375" style="312" customWidth="1"/>
    <col min="16" max="16" width="17" style="312" customWidth="1"/>
    <col min="17" max="17" width="17.44140625" style="312" customWidth="1"/>
    <col min="18" max="18" width="15.44140625" style="312" customWidth="1"/>
    <col min="19" max="19" width="16.44140625" style="312" customWidth="1"/>
    <col min="20" max="20" width="15.44140625" style="312" customWidth="1"/>
    <col min="21" max="21" width="16.6640625" style="312" customWidth="1"/>
    <col min="22" max="22" width="13.33203125" style="312" customWidth="1"/>
    <col min="23" max="23" width="11.109375" style="312" customWidth="1"/>
    <col min="24" max="24" width="17.33203125" style="312" customWidth="1"/>
    <col min="25" max="25" width="17.44140625" style="313" customWidth="1"/>
    <col min="26" max="26" width="16.44140625" style="314" customWidth="1"/>
    <col min="27" max="27" width="9.109375" style="314"/>
    <col min="28" max="16384" width="9.109375" style="307"/>
  </cols>
  <sheetData>
    <row r="1" spans="1:27" ht="15.6">
      <c r="A1" s="904" t="s">
        <v>83</v>
      </c>
      <c r="B1" s="905"/>
      <c r="C1" s="905"/>
      <c r="D1" s="905"/>
      <c r="E1" s="905"/>
      <c r="F1" s="905"/>
      <c r="G1" s="905"/>
      <c r="H1" s="905"/>
      <c r="I1" s="905"/>
      <c r="J1" s="905"/>
      <c r="K1" s="906"/>
      <c r="L1" s="340"/>
    </row>
    <row r="2" spans="1:27">
      <c r="A2" s="907">
        <f>LS_RPRO!A2</f>
        <v>46296</v>
      </c>
      <c r="B2" s="908"/>
      <c r="C2" s="908"/>
      <c r="D2" s="908"/>
      <c r="E2" s="908"/>
      <c r="F2" s="908"/>
      <c r="G2" s="908"/>
      <c r="H2" s="908"/>
      <c r="I2" s="908"/>
      <c r="J2" s="908"/>
      <c r="K2" s="909"/>
      <c r="M2" s="341"/>
      <c r="N2" s="341"/>
      <c r="O2" s="341"/>
      <c r="P2" s="341"/>
      <c r="Q2" s="341"/>
      <c r="R2" s="341"/>
      <c r="S2" s="341"/>
      <c r="T2" s="341"/>
      <c r="U2" s="341"/>
      <c r="V2" s="341"/>
      <c r="W2" s="341"/>
      <c r="X2" s="341"/>
      <c r="Y2" s="307"/>
      <c r="Z2" s="366"/>
      <c r="AA2" s="366"/>
    </row>
    <row r="3" spans="1:27">
      <c r="A3" s="315"/>
      <c r="B3" s="316"/>
      <c r="C3" s="316"/>
      <c r="D3" s="316"/>
      <c r="E3" s="316"/>
      <c r="F3" s="316"/>
      <c r="G3" s="316"/>
      <c r="H3" s="317"/>
      <c r="I3" s="316"/>
      <c r="J3" s="316"/>
      <c r="K3" s="342"/>
      <c r="M3" s="316"/>
      <c r="N3" s="316"/>
      <c r="O3" s="316"/>
      <c r="P3" s="316"/>
      <c r="Q3" s="316"/>
      <c r="R3" s="341"/>
      <c r="S3" s="316"/>
      <c r="T3" s="316"/>
      <c r="U3" s="316"/>
      <c r="V3" s="341"/>
      <c r="W3" s="316"/>
      <c r="X3" s="316"/>
      <c r="Y3" s="316"/>
      <c r="Z3" s="316"/>
      <c r="AA3" s="307"/>
    </row>
    <row r="4" spans="1:27">
      <c r="A4" s="318"/>
      <c r="B4" s="319"/>
      <c r="C4" s="319"/>
      <c r="D4" s="319"/>
      <c r="E4" s="910" t="s">
        <v>1</v>
      </c>
      <c r="F4" s="911"/>
      <c r="G4" s="319"/>
      <c r="H4" s="320" t="s">
        <v>2</v>
      </c>
      <c r="I4" s="319"/>
      <c r="J4" s="319"/>
      <c r="K4" s="343"/>
      <c r="M4" s="344" t="s">
        <v>5</v>
      </c>
      <c r="N4" s="344" t="s">
        <v>6</v>
      </c>
      <c r="O4" s="912" t="s">
        <v>7</v>
      </c>
      <c r="P4" s="913"/>
      <c r="Q4" s="913"/>
      <c r="R4" s="914"/>
      <c r="S4" s="900" t="s">
        <v>8</v>
      </c>
      <c r="T4" s="915" t="s">
        <v>9</v>
      </c>
      <c r="U4" s="916"/>
      <c r="V4" s="916"/>
      <c r="W4" s="917"/>
      <c r="X4" s="900" t="s">
        <v>66</v>
      </c>
      <c r="Y4" s="367" t="s">
        <v>11</v>
      </c>
      <c r="Z4" s="902" t="s">
        <v>84</v>
      </c>
      <c r="AA4" s="308"/>
    </row>
    <row r="5" spans="1:27">
      <c r="A5" s="321"/>
      <c r="B5" s="322" t="s">
        <v>15</v>
      </c>
      <c r="C5" s="322" t="s">
        <v>16</v>
      </c>
      <c r="D5" s="322" t="s">
        <v>17</v>
      </c>
      <c r="E5" s="322" t="s">
        <v>18</v>
      </c>
      <c r="F5" s="322" t="s">
        <v>19</v>
      </c>
      <c r="G5" s="322" t="s">
        <v>20</v>
      </c>
      <c r="H5" s="320" t="s">
        <v>21</v>
      </c>
      <c r="I5" s="322" t="s">
        <v>22</v>
      </c>
      <c r="J5" s="322" t="s">
        <v>23</v>
      </c>
      <c r="K5" s="373" t="s">
        <v>85</v>
      </c>
      <c r="M5" s="346" t="s">
        <v>26</v>
      </c>
      <c r="N5" s="346" t="s">
        <v>27</v>
      </c>
      <c r="O5" s="346" t="s">
        <v>28</v>
      </c>
      <c r="P5" s="346" t="s">
        <v>29</v>
      </c>
      <c r="Q5" s="346" t="s">
        <v>30</v>
      </c>
      <c r="R5" s="378" t="s">
        <v>31</v>
      </c>
      <c r="S5" s="901"/>
      <c r="T5" s="346" t="s">
        <v>32</v>
      </c>
      <c r="U5" s="346" t="s">
        <v>33</v>
      </c>
      <c r="V5" s="362" t="s">
        <v>34</v>
      </c>
      <c r="W5" s="362" t="s">
        <v>35</v>
      </c>
      <c r="X5" s="901"/>
      <c r="Y5" s="368" t="s">
        <v>36</v>
      </c>
      <c r="Z5" s="903"/>
      <c r="AA5" s="308"/>
    </row>
    <row r="6" spans="1:27">
      <c r="A6" s="323">
        <f>A2+0</f>
        <v>46296</v>
      </c>
      <c r="B6" s="324">
        <f>(SUMIFS(msi[[#All],[SP]],msi[[#All],[DATE]],$A6,msi[[#All],[Manual /OutSale]],"Manual"))-(SUMIFS(MRet[[#All],[SP]],MRet[[#All],[DATE]],$A6,MRet[[#All],[Manual/ OutSale]],"Manual"))</f>
        <v>0</v>
      </c>
      <c r="C6" s="324">
        <f>(SUMIFS(msi[[#All],[DISC. AMOUNT]],msi[[#All],[DATE]],$A6,msi[[#All],[Manual /OutSale]],"Manual"))-(SUMIFS(MRet[[#All],[DISC. AMOUNT]],MRet[[#All],[DATE]],$A6,MRet[[#All],[Manual/ OutSale]],"Manual"))</f>
        <v>0</v>
      </c>
      <c r="D6" s="325">
        <f t="shared" ref="D6:D20" si="0">+B6-C6</f>
        <v>0</v>
      </c>
      <c r="E6" s="324"/>
      <c r="F6" s="325">
        <f t="shared" ref="F6:F20" si="1">+C6-E6</f>
        <v>0</v>
      </c>
      <c r="G6" s="324"/>
      <c r="H6" s="326"/>
      <c r="I6" s="347">
        <f>SUMIF(Z6,"&lt;.01")</f>
        <v>0</v>
      </c>
      <c r="J6" s="347">
        <f>SUMIF(Z6,"&gt;.01")</f>
        <v>0</v>
      </c>
      <c r="K6" s="348"/>
      <c r="M6" s="324">
        <f>(SUMIFS(msi[[#All],[CHARGE]],msi[[#All],[DATE]],$A6,msi[[#All],[Manual /OutSale]],"Manual"))-(SUMIFS(MRet[[#All],[CHARGE]],MRet[[#All],[DATE]],$A6,MRet[[#All],[Manual/ OutSale]],"Manual"))</f>
        <v>0</v>
      </c>
      <c r="N6" s="324">
        <f>(SUMIFS(msi[[#All],[GC/  OTHERS]],msi[[#All],[DATE]],$A6,msi[[#All],[Manual /OutSale]],"Manual"))-(SUMIFS(MRet[[#All],[GC/  OTHERS]],MRet[[#All],[DATE]],$A6,MRet[[#All],[Manual/ OutSale]],"Manual"))</f>
        <v>0</v>
      </c>
      <c r="O6" s="349"/>
      <c r="P6" s="349"/>
      <c r="Q6" s="349"/>
      <c r="R6" s="363"/>
      <c r="S6" s="324">
        <f>(SUMIFS(msi[[#All],[Check]],msi[[#All],[DATE]],$A6,msi[[#All],[Manual /OutSale]],"Manual"))-(SUMIFS(MRet[[#All],[Check]],MRet[[#All],[DATE]],$A6,MRet[[#All],[Manual/ OutSale]],"Manual"))</f>
        <v>0</v>
      </c>
      <c r="T6" s="324">
        <f>(SUMIFS(msi[[#All],[COD]],msi[[#All],[DATE]],$A6,msi[[#All],[Manual /OutSale]],"Manual"))-(SUMIFS(MRet[[#All],[COD]],MRet[[#All],[DATE]],$A6,MRet[[#All],[Manual/ OutSale]],"Manual"))</f>
        <v>0</v>
      </c>
      <c r="U6" s="349">
        <v>0</v>
      </c>
      <c r="V6" s="363"/>
      <c r="W6" s="324">
        <f>(SUMIFS(msi[[#All],[CWT]],msi[[#All],[DATE]],$A6,msi[[#All],[Manual /OutSale]],"Manual"))-(SUMIFS(MRet[[#All],[CWT]],MRet[[#All],[DATE]],$A6,MRet[[#All],[Manual/ OutSale]],"Manual"))</f>
        <v>0</v>
      </c>
      <c r="X6" s="324">
        <f>(SUMIFS(msi[[#All],[CASH]],msi[[#All],[DATE]],$A6,msi[[#All],[Manual /OutSale]],"Manual"))-(SUMIFS(MRet[[#All],[CASH]],MRet[[#All],[DATE]],$A6,MRet[[#All],[Manual/ OutSale]],"Manual"))</f>
        <v>0</v>
      </c>
      <c r="Y6" s="369">
        <f t="shared" ref="Y6:Y20" si="2">D6-M6-N6+O6+Q6+R6-S6-T6-U6-V6-W6</f>
        <v>0</v>
      </c>
      <c r="Z6" s="370">
        <f>X6-Y6</f>
        <v>0</v>
      </c>
      <c r="AA6" s="307"/>
    </row>
    <row r="7" spans="1:27">
      <c r="A7" s="323">
        <f>A6+1</f>
        <v>46297</v>
      </c>
      <c r="B7" s="324">
        <f>(SUMIFS(msi[[#All],[SP]],msi[[#All],[DATE]],$A7,msi[[#All],[Manual /OutSale]],"Manual"))-(SUMIFS(MRet[[#All],[SP]],MRet[[#All],[DATE]],$A7,MRet[[#All],[Manual/ OutSale]],"Manual"))</f>
        <v>0</v>
      </c>
      <c r="C7" s="324">
        <f>(SUMIFS(msi[[#All],[DISC. AMOUNT]],msi[[#All],[DATE]],$A7,msi[[#All],[Manual /OutSale]],"Manual"))-(SUMIFS(MRet[[#All],[DISC. AMOUNT]],MRet[[#All],[DATE]],$A7,MRet[[#All],[Manual/ OutSale]],"Manual"))</f>
        <v>0</v>
      </c>
      <c r="D7" s="325">
        <f t="shared" si="0"/>
        <v>0</v>
      </c>
      <c r="E7" s="324"/>
      <c r="F7" s="325">
        <f t="shared" si="1"/>
        <v>0</v>
      </c>
      <c r="G7" s="324"/>
      <c r="H7" s="326"/>
      <c r="I7" s="347">
        <f t="shared" ref="I7:I20" si="3">SUMIF(Z7,"&lt;.01")</f>
        <v>0</v>
      </c>
      <c r="J7" s="347">
        <f t="shared" ref="J7:J20" si="4">SUMIF(Z7,"&gt;.01")</f>
        <v>0</v>
      </c>
      <c r="K7" s="348"/>
      <c r="M7" s="324">
        <f>(SUMIFS(msi[[#All],[CHARGE]],msi[[#All],[DATE]],$A7,msi[[#All],[Manual /OutSale]],"Manual"))-(SUMIFS(MRet[[#All],[CHARGE]],MRet[[#All],[DATE]],$A7,MRet[[#All],[Manual/ OutSale]],"Manual"))</f>
        <v>0</v>
      </c>
      <c r="N7" s="324">
        <f>(SUMIFS(msi[[#All],[GC/  OTHERS]],msi[[#All],[DATE]],$A7,msi[[#All],[Manual /OutSale]],"Manual"))-(SUMIFS(MRet[[#All],[GC/  OTHERS]],MRet[[#All],[DATE]],$A7,MRet[[#All],[Manual/ OutSale]],"Manual"))</f>
        <v>0</v>
      </c>
      <c r="O7" s="349"/>
      <c r="P7" s="349"/>
      <c r="Q7" s="349"/>
      <c r="R7" s="363"/>
      <c r="S7" s="324">
        <f>(SUMIFS(msi[[#All],[Check]],msi[[#All],[DATE]],$A7,msi[[#All],[Manual /OutSale]],"Manual"))-(SUMIFS(MRet[[#All],[Check]],MRet[[#All],[DATE]],$A7,MRet[[#All],[Manual/ OutSale]],"Manual"))</f>
        <v>0</v>
      </c>
      <c r="T7" s="324">
        <f>(SUMIFS(msi[[#All],[COD]],msi[[#All],[DATE]],$A7,msi[[#All],[Manual /OutSale]],"Manual"))-(SUMIFS(MRet[[#All],[COD]],MRet[[#All],[DATE]],$A7,MRet[[#All],[Manual/ OutSale]],"Manual"))</f>
        <v>0</v>
      </c>
      <c r="U7" s="349">
        <v>0</v>
      </c>
      <c r="V7" s="363"/>
      <c r="W7" s="324">
        <f>(SUMIFS(msi[[#All],[CWT]],msi[[#All],[DATE]],$A7,msi[[#All],[Manual /OutSale]],"Manual"))-(SUMIFS(MRet[[#All],[CWT]],MRet[[#All],[DATE]],$A7,MRet[[#All],[Manual/ OutSale]],"Manual"))</f>
        <v>0</v>
      </c>
      <c r="X7" s="324">
        <f>(SUMIFS(msi[[#All],[CASH]],msi[[#All],[DATE]],$A7,msi[[#All],[Manual /OutSale]],"Manual"))-(SUMIFS(MRet[[#All],[CASH]],MRet[[#All],[DATE]],$A7,MRet[[#All],[Manual/ OutSale]],"Manual"))</f>
        <v>0</v>
      </c>
      <c r="Y7" s="369">
        <f t="shared" si="2"/>
        <v>0</v>
      </c>
      <c r="Z7" s="369">
        <f t="shared" ref="Z7:Z20" si="5">X7-Y7</f>
        <v>0</v>
      </c>
      <c r="AA7" s="307"/>
    </row>
    <row r="8" spans="1:27">
      <c r="A8" s="323">
        <f t="shared" ref="A8:A20" si="6">A7+1</f>
        <v>46298</v>
      </c>
      <c r="B8" s="324">
        <f>(SUMIFS(msi[[#All],[SP]],msi[[#All],[DATE]],$A8,msi[[#All],[Manual /OutSale]],"Manual"))-(SUMIFS(MRet[[#All],[SP]],MRet[[#All],[DATE]],$A8,MRet[[#All],[Manual/ OutSale]],"Manual"))</f>
        <v>0</v>
      </c>
      <c r="C8" s="324">
        <f>(SUMIFS(msi[[#All],[DISC. AMOUNT]],msi[[#All],[DATE]],$A8,msi[[#All],[Manual /OutSale]],"Manual"))-(SUMIFS(MRet[[#All],[DISC. AMOUNT]],MRet[[#All],[DATE]],$A8,MRet[[#All],[Manual/ OutSale]],"Manual"))</f>
        <v>0</v>
      </c>
      <c r="D8" s="325">
        <f t="shared" si="0"/>
        <v>0</v>
      </c>
      <c r="E8" s="324"/>
      <c r="F8" s="325">
        <f t="shared" si="1"/>
        <v>0</v>
      </c>
      <c r="G8" s="324"/>
      <c r="H8" s="326"/>
      <c r="I8" s="347">
        <f t="shared" si="3"/>
        <v>0</v>
      </c>
      <c r="J8" s="347">
        <f t="shared" si="4"/>
        <v>0</v>
      </c>
      <c r="K8" s="348"/>
      <c r="M8" s="324">
        <f>(SUMIFS(msi[[#All],[CHARGE]],msi[[#All],[DATE]],$A8,msi[[#All],[Manual /OutSale]],"Manual"))-(SUMIFS(MRet[[#All],[CHARGE]],MRet[[#All],[DATE]],$A8,MRet[[#All],[Manual/ OutSale]],"Manual"))</f>
        <v>0</v>
      </c>
      <c r="N8" s="324">
        <f>(SUMIFS(msi[[#All],[GC/  OTHERS]],msi[[#All],[DATE]],$A8,msi[[#All],[Manual /OutSale]],"Manual"))-(SUMIFS(MRet[[#All],[GC/  OTHERS]],MRet[[#All],[DATE]],$A8,MRet[[#All],[Manual/ OutSale]],"Manual"))</f>
        <v>0</v>
      </c>
      <c r="O8" s="349"/>
      <c r="P8" s="349"/>
      <c r="Q8" s="349"/>
      <c r="R8" s="363"/>
      <c r="S8" s="324">
        <f>(SUMIFS(msi[[#All],[Check]],msi[[#All],[DATE]],$A8,msi[[#All],[Manual /OutSale]],"Manual"))-(SUMIFS(MRet[[#All],[Check]],MRet[[#All],[DATE]],$A8,MRet[[#All],[Manual/ OutSale]],"Manual"))</f>
        <v>0</v>
      </c>
      <c r="T8" s="324">
        <f>(SUMIFS(msi[[#All],[COD]],msi[[#All],[DATE]],$A8,msi[[#All],[Manual /OutSale]],"Manual"))-(SUMIFS(MRet[[#All],[COD]],MRet[[#All],[DATE]],$A8,MRet[[#All],[Manual/ OutSale]],"Manual"))</f>
        <v>0</v>
      </c>
      <c r="U8" s="349">
        <v>0</v>
      </c>
      <c r="V8" s="363"/>
      <c r="W8" s="324">
        <f>(SUMIFS(msi[[#All],[CWT]],msi[[#All],[DATE]],$A8,msi[[#All],[Manual /OutSale]],"Manual"))-(SUMIFS(MRet[[#All],[CWT]],MRet[[#All],[DATE]],$A8,MRet[[#All],[Manual/ OutSale]],"Manual"))</f>
        <v>0</v>
      </c>
      <c r="X8" s="324">
        <f>(SUMIFS(msi[[#All],[CASH]],msi[[#All],[DATE]],$A8,msi[[#All],[Manual /OutSale]],"Manual"))-(SUMIFS(MRet[[#All],[CASH]],MRet[[#All],[DATE]],$A8,MRet[[#All],[Manual/ OutSale]],"Manual"))</f>
        <v>0</v>
      </c>
      <c r="Y8" s="369">
        <f t="shared" si="2"/>
        <v>0</v>
      </c>
      <c r="Z8" s="369">
        <f t="shared" si="5"/>
        <v>0</v>
      </c>
      <c r="AA8" s="307"/>
    </row>
    <row r="9" spans="1:27">
      <c r="A9" s="323">
        <f t="shared" si="6"/>
        <v>46299</v>
      </c>
      <c r="B9" s="324">
        <f>(SUMIFS(msi[[#All],[SP]],msi[[#All],[DATE]],$A9,msi[[#All],[Manual /OutSale]],"Manual"))-(SUMIFS(MRet[[#All],[SP]],MRet[[#All],[DATE]],$A9,MRet[[#All],[Manual/ OutSale]],"Manual"))</f>
        <v>0</v>
      </c>
      <c r="C9" s="324">
        <f>(SUMIFS(msi[[#All],[DISC. AMOUNT]],msi[[#All],[DATE]],$A9,msi[[#All],[Manual /OutSale]],"Manual"))-(SUMIFS(MRet[[#All],[DISC. AMOUNT]],MRet[[#All],[DATE]],$A9,MRet[[#All],[Manual/ OutSale]],"Manual"))</f>
        <v>0</v>
      </c>
      <c r="D9" s="325">
        <f t="shared" si="0"/>
        <v>0</v>
      </c>
      <c r="E9" s="324"/>
      <c r="F9" s="325">
        <f t="shared" si="1"/>
        <v>0</v>
      </c>
      <c r="G9" s="324"/>
      <c r="H9" s="326"/>
      <c r="I9" s="347">
        <f t="shared" si="3"/>
        <v>0</v>
      </c>
      <c r="J9" s="347">
        <f t="shared" si="4"/>
        <v>0</v>
      </c>
      <c r="K9" s="348"/>
      <c r="M9" s="324">
        <f>(SUMIFS(msi[[#All],[CHARGE]],msi[[#All],[DATE]],$A9,msi[[#All],[Manual /OutSale]],"Manual"))-(SUMIFS(MRet[[#All],[CHARGE]],MRet[[#All],[DATE]],$A9,MRet[[#All],[Manual/ OutSale]],"Manual"))</f>
        <v>0</v>
      </c>
      <c r="N9" s="324">
        <f>(SUMIFS(msi[[#All],[GC/  OTHERS]],msi[[#All],[DATE]],$A9,msi[[#All],[Manual /OutSale]],"Manual"))-(SUMIFS(MRet[[#All],[GC/  OTHERS]],MRet[[#All],[DATE]],$A9,MRet[[#All],[Manual/ OutSale]],"Manual"))</f>
        <v>0</v>
      </c>
      <c r="O9" s="349"/>
      <c r="P9" s="349"/>
      <c r="Q9" s="349"/>
      <c r="R9" s="363"/>
      <c r="S9" s="324">
        <f>(SUMIFS(msi[[#All],[Check]],msi[[#All],[DATE]],$A9,msi[[#All],[Manual /OutSale]],"Manual"))-(SUMIFS(MRet[[#All],[Check]],MRet[[#All],[DATE]],$A9,MRet[[#All],[Manual/ OutSale]],"Manual"))</f>
        <v>0</v>
      </c>
      <c r="T9" s="324">
        <f>(SUMIFS(msi[[#All],[COD]],msi[[#All],[DATE]],$A9,msi[[#All],[Manual /OutSale]],"Manual"))-(SUMIFS(MRet[[#All],[COD]],MRet[[#All],[DATE]],$A9,MRet[[#All],[Manual/ OutSale]],"Manual"))</f>
        <v>0</v>
      </c>
      <c r="U9" s="349">
        <v>0</v>
      </c>
      <c r="V9" s="363"/>
      <c r="W9" s="324">
        <f>(SUMIFS(msi[[#All],[CWT]],msi[[#All],[DATE]],$A9,msi[[#All],[Manual /OutSale]],"Manual"))-(SUMIFS(MRet[[#All],[CWT]],MRet[[#All],[DATE]],$A9,MRet[[#All],[Manual/ OutSale]],"Manual"))</f>
        <v>0</v>
      </c>
      <c r="X9" s="324">
        <f>(SUMIFS(msi[[#All],[CASH]],msi[[#All],[DATE]],$A9,msi[[#All],[Manual /OutSale]],"Manual"))-(SUMIFS(MRet[[#All],[CASH]],MRet[[#All],[DATE]],$A9,MRet[[#All],[Manual/ OutSale]],"Manual"))</f>
        <v>0</v>
      </c>
      <c r="Y9" s="369">
        <f t="shared" si="2"/>
        <v>0</v>
      </c>
      <c r="Z9" s="369">
        <f t="shared" si="5"/>
        <v>0</v>
      </c>
      <c r="AA9" s="307"/>
    </row>
    <row r="10" spans="1:27">
      <c r="A10" s="323">
        <f t="shared" si="6"/>
        <v>46300</v>
      </c>
      <c r="B10" s="324">
        <f>(SUMIFS(msi[[#All],[SP]],msi[[#All],[DATE]],$A10,msi[[#All],[Manual /OutSale]],"Manual"))-(SUMIFS(MRet[[#All],[SP]],MRet[[#All],[DATE]],$A10,MRet[[#All],[Manual/ OutSale]],"Manual"))</f>
        <v>0</v>
      </c>
      <c r="C10" s="324">
        <f>(SUMIFS(msi[[#All],[DISC. AMOUNT]],msi[[#All],[DATE]],$A10,msi[[#All],[Manual /OutSale]],"Manual"))-(SUMIFS(MRet[[#All],[DISC. AMOUNT]],MRet[[#All],[DATE]],$A10,MRet[[#All],[Manual/ OutSale]],"Manual"))</f>
        <v>0</v>
      </c>
      <c r="D10" s="325">
        <f t="shared" si="0"/>
        <v>0</v>
      </c>
      <c r="E10" s="324"/>
      <c r="F10" s="325">
        <f t="shared" si="1"/>
        <v>0</v>
      </c>
      <c r="G10" s="324"/>
      <c r="H10" s="326"/>
      <c r="I10" s="347">
        <f t="shared" si="3"/>
        <v>0</v>
      </c>
      <c r="J10" s="347">
        <f t="shared" si="4"/>
        <v>0</v>
      </c>
      <c r="K10" s="348"/>
      <c r="M10" s="324">
        <f>(SUMIFS(msi[[#All],[CHARGE]],msi[[#All],[DATE]],$A10,msi[[#All],[Manual /OutSale]],"Manual"))-(SUMIFS(MRet[[#All],[CHARGE]],MRet[[#All],[DATE]],$A10,MRet[[#All],[Manual/ OutSale]],"Manual"))</f>
        <v>0</v>
      </c>
      <c r="N10" s="324">
        <f>(SUMIFS(msi[[#All],[GC/  OTHERS]],msi[[#All],[DATE]],$A10,msi[[#All],[Manual /OutSale]],"Manual"))-(SUMIFS(MRet[[#All],[GC/  OTHERS]],MRet[[#All],[DATE]],$A10,MRet[[#All],[Manual/ OutSale]],"Manual"))</f>
        <v>0</v>
      </c>
      <c r="O10" s="349"/>
      <c r="P10" s="349"/>
      <c r="Q10" s="349"/>
      <c r="R10" s="363"/>
      <c r="S10" s="324">
        <f>(SUMIFS(msi[[#All],[Check]],msi[[#All],[DATE]],$A10,msi[[#All],[Manual /OutSale]],"Manual"))-(SUMIFS(MRet[[#All],[Check]],MRet[[#All],[DATE]],$A10,MRet[[#All],[Manual/ OutSale]],"Manual"))</f>
        <v>0</v>
      </c>
      <c r="T10" s="324">
        <f>(SUMIFS(msi[[#All],[COD]],msi[[#All],[DATE]],$A10,msi[[#All],[Manual /OutSale]],"Manual"))-(SUMIFS(MRet[[#All],[COD]],MRet[[#All],[DATE]],$A10,MRet[[#All],[Manual/ OutSale]],"Manual"))</f>
        <v>0</v>
      </c>
      <c r="U10" s="349">
        <v>0</v>
      </c>
      <c r="V10" s="363"/>
      <c r="W10" s="324">
        <f>(SUMIFS(msi[[#All],[CWT]],msi[[#All],[DATE]],$A10,msi[[#All],[Manual /OutSale]],"Manual"))-(SUMIFS(MRet[[#All],[CWT]],MRet[[#All],[DATE]],$A10,MRet[[#All],[Manual/ OutSale]],"Manual"))</f>
        <v>0</v>
      </c>
      <c r="X10" s="324">
        <f>(SUMIFS(msi[[#All],[CASH]],msi[[#All],[DATE]],$A10,msi[[#All],[Manual /OutSale]],"Manual"))-(SUMIFS(MRet[[#All],[CASH]],MRet[[#All],[DATE]],$A10,MRet[[#All],[Manual/ OutSale]],"Manual"))</f>
        <v>0</v>
      </c>
      <c r="Y10" s="369">
        <f t="shared" si="2"/>
        <v>0</v>
      </c>
      <c r="Z10" s="369">
        <f t="shared" si="5"/>
        <v>0</v>
      </c>
      <c r="AA10" s="307"/>
    </row>
    <row r="11" spans="1:27">
      <c r="A11" s="323">
        <f t="shared" si="6"/>
        <v>46301</v>
      </c>
      <c r="B11" s="324">
        <f>(SUMIFS(msi[[#All],[SP]],msi[[#All],[DATE]],$A11,msi[[#All],[Manual /OutSale]],"Manual"))-(SUMIFS(MRet[[#All],[SP]],MRet[[#All],[DATE]],$A11,MRet[[#All],[Manual/ OutSale]],"Manual"))</f>
        <v>0</v>
      </c>
      <c r="C11" s="324">
        <f>(SUMIFS(msi[[#All],[DISC. AMOUNT]],msi[[#All],[DATE]],$A11,msi[[#All],[Manual /OutSale]],"Manual"))-(SUMIFS(MRet[[#All],[DISC. AMOUNT]],MRet[[#All],[DATE]],$A11,MRet[[#All],[Manual/ OutSale]],"Manual"))</f>
        <v>0</v>
      </c>
      <c r="D11" s="325">
        <f t="shared" si="0"/>
        <v>0</v>
      </c>
      <c r="E11" s="324"/>
      <c r="F11" s="325">
        <f t="shared" si="1"/>
        <v>0</v>
      </c>
      <c r="G11" s="324"/>
      <c r="H11" s="326"/>
      <c r="I11" s="347">
        <f t="shared" si="3"/>
        <v>0</v>
      </c>
      <c r="J11" s="347">
        <f t="shared" si="4"/>
        <v>0</v>
      </c>
      <c r="K11" s="348"/>
      <c r="M11" s="324">
        <f>(SUMIFS(msi[[#All],[CHARGE]],msi[[#All],[DATE]],$A11,msi[[#All],[Manual /OutSale]],"Manual"))-(SUMIFS(MRet[[#All],[CHARGE]],MRet[[#All],[DATE]],$A11,MRet[[#All],[Manual/ OutSale]],"Manual"))</f>
        <v>0</v>
      </c>
      <c r="N11" s="324">
        <f>(SUMIFS(msi[[#All],[GC/  OTHERS]],msi[[#All],[DATE]],$A11,msi[[#All],[Manual /OutSale]],"Manual"))-(SUMIFS(MRet[[#All],[GC/  OTHERS]],MRet[[#All],[DATE]],$A11,MRet[[#All],[Manual/ OutSale]],"Manual"))</f>
        <v>0</v>
      </c>
      <c r="O11" s="349"/>
      <c r="P11" s="349"/>
      <c r="Q11" s="349"/>
      <c r="R11" s="363"/>
      <c r="S11" s="324">
        <f>(SUMIFS(msi[[#All],[Check]],msi[[#All],[DATE]],$A11,msi[[#All],[Manual /OutSale]],"Manual"))-(SUMIFS(MRet[[#All],[Check]],MRet[[#All],[DATE]],$A11,MRet[[#All],[Manual/ OutSale]],"Manual"))</f>
        <v>0</v>
      </c>
      <c r="T11" s="324">
        <f>(SUMIFS(msi[[#All],[COD]],msi[[#All],[DATE]],$A11,msi[[#All],[Manual /OutSale]],"Manual"))-(SUMIFS(MRet[[#All],[COD]],MRet[[#All],[DATE]],$A11,MRet[[#All],[Manual/ OutSale]],"Manual"))</f>
        <v>0</v>
      </c>
      <c r="U11" s="349">
        <v>0</v>
      </c>
      <c r="V11" s="363"/>
      <c r="W11" s="324">
        <f>(SUMIFS(msi[[#All],[CWT]],msi[[#All],[DATE]],$A11,msi[[#All],[Manual /OutSale]],"Manual"))-(SUMIFS(MRet[[#All],[CWT]],MRet[[#All],[DATE]],$A11,MRet[[#All],[Manual/ OutSale]],"Manual"))</f>
        <v>0</v>
      </c>
      <c r="X11" s="324">
        <f>(SUMIFS(msi[[#All],[CASH]],msi[[#All],[DATE]],$A11,msi[[#All],[Manual /OutSale]],"Manual"))-(SUMIFS(MRet[[#All],[CASH]],MRet[[#All],[DATE]],$A11,MRet[[#All],[Manual/ OutSale]],"Manual"))</f>
        <v>0</v>
      </c>
      <c r="Y11" s="369">
        <f t="shared" si="2"/>
        <v>0</v>
      </c>
      <c r="Z11" s="369">
        <f t="shared" si="5"/>
        <v>0</v>
      </c>
      <c r="AA11" s="307"/>
    </row>
    <row r="12" spans="1:27">
      <c r="A12" s="323">
        <f t="shared" si="6"/>
        <v>46302</v>
      </c>
      <c r="B12" s="324">
        <f>(SUMIFS(msi[[#All],[SP]],msi[[#All],[DATE]],$A12,msi[[#All],[Manual /OutSale]],"Manual"))-(SUMIFS(MRet[[#All],[SP]],MRet[[#All],[DATE]],$A12,MRet[[#All],[Manual/ OutSale]],"Manual"))</f>
        <v>0</v>
      </c>
      <c r="C12" s="324">
        <f>(SUMIFS(msi[[#All],[DISC. AMOUNT]],msi[[#All],[DATE]],$A12,msi[[#All],[Manual /OutSale]],"Manual"))-(SUMIFS(MRet[[#All],[DISC. AMOUNT]],MRet[[#All],[DATE]],$A12,MRet[[#All],[Manual/ OutSale]],"Manual"))</f>
        <v>0</v>
      </c>
      <c r="D12" s="325">
        <f t="shared" si="0"/>
        <v>0</v>
      </c>
      <c r="E12" s="324"/>
      <c r="F12" s="325">
        <f t="shared" si="1"/>
        <v>0</v>
      </c>
      <c r="G12" s="324"/>
      <c r="H12" s="326"/>
      <c r="I12" s="347">
        <f t="shared" si="3"/>
        <v>0</v>
      </c>
      <c r="J12" s="347">
        <f t="shared" si="4"/>
        <v>0</v>
      </c>
      <c r="K12" s="348"/>
      <c r="M12" s="324">
        <f>(SUMIFS(msi[[#All],[CHARGE]],msi[[#All],[DATE]],$A12,msi[[#All],[Manual /OutSale]],"Manual"))-(SUMIFS(MRet[[#All],[CHARGE]],MRet[[#All],[DATE]],$A12,MRet[[#All],[Manual/ OutSale]],"Manual"))</f>
        <v>0</v>
      </c>
      <c r="N12" s="324">
        <f>(SUMIFS(msi[[#All],[GC/  OTHERS]],msi[[#All],[DATE]],$A12,msi[[#All],[Manual /OutSale]],"Manual"))-(SUMIFS(MRet[[#All],[GC/  OTHERS]],MRet[[#All],[DATE]],$A12,MRet[[#All],[Manual/ OutSale]],"Manual"))</f>
        <v>0</v>
      </c>
      <c r="O12" s="349"/>
      <c r="P12" s="349"/>
      <c r="Q12" s="349"/>
      <c r="R12" s="363"/>
      <c r="S12" s="324">
        <f>(SUMIFS(msi[[#All],[Check]],msi[[#All],[DATE]],$A12,msi[[#All],[Manual /OutSale]],"Manual"))-(SUMIFS(MRet[[#All],[Check]],MRet[[#All],[DATE]],$A12,MRet[[#All],[Manual/ OutSale]],"Manual"))</f>
        <v>0</v>
      </c>
      <c r="T12" s="324">
        <f>(SUMIFS(msi[[#All],[COD]],msi[[#All],[DATE]],$A12,msi[[#All],[Manual /OutSale]],"Manual"))-(SUMIFS(MRet[[#All],[COD]],MRet[[#All],[DATE]],$A12,MRet[[#All],[Manual/ OutSale]],"Manual"))</f>
        <v>0</v>
      </c>
      <c r="U12" s="349">
        <v>0</v>
      </c>
      <c r="V12" s="363"/>
      <c r="W12" s="324">
        <f>(SUMIFS(msi[[#All],[CWT]],msi[[#All],[DATE]],$A12,msi[[#All],[Manual /OutSale]],"Manual"))-(SUMIFS(MRet[[#All],[CWT]],MRet[[#All],[DATE]],$A12,MRet[[#All],[Manual/ OutSale]],"Manual"))</f>
        <v>0</v>
      </c>
      <c r="X12" s="324">
        <f>(SUMIFS(msi[[#All],[CASH]],msi[[#All],[DATE]],$A12,msi[[#All],[Manual /OutSale]],"Manual"))-(SUMIFS(MRet[[#All],[CASH]],MRet[[#All],[DATE]],$A12,MRet[[#All],[Manual/ OutSale]],"Manual"))</f>
        <v>0</v>
      </c>
      <c r="Y12" s="369">
        <f t="shared" si="2"/>
        <v>0</v>
      </c>
      <c r="Z12" s="369">
        <f t="shared" si="5"/>
        <v>0</v>
      </c>
      <c r="AA12" s="307"/>
    </row>
    <row r="13" spans="1:27">
      <c r="A13" s="323">
        <f t="shared" si="6"/>
        <v>46303</v>
      </c>
      <c r="B13" s="324">
        <f>(SUMIFS(msi[[#All],[SP]],msi[[#All],[DATE]],$A13,msi[[#All],[Manual /OutSale]],"Manual"))-(SUMIFS(MRet[[#All],[SP]],MRet[[#All],[DATE]],$A13,MRet[[#All],[Manual/ OutSale]],"Manual"))</f>
        <v>0</v>
      </c>
      <c r="C13" s="324">
        <f>(SUMIFS(msi[[#All],[DISC. AMOUNT]],msi[[#All],[DATE]],$A13,msi[[#All],[Manual /OutSale]],"Manual"))-(SUMIFS(MRet[[#All],[DISC. AMOUNT]],MRet[[#All],[DATE]],$A13,MRet[[#All],[Manual/ OutSale]],"Manual"))</f>
        <v>0</v>
      </c>
      <c r="D13" s="325">
        <f t="shared" si="0"/>
        <v>0</v>
      </c>
      <c r="E13" s="324"/>
      <c r="F13" s="325">
        <f t="shared" si="1"/>
        <v>0</v>
      </c>
      <c r="G13" s="324"/>
      <c r="H13" s="326"/>
      <c r="I13" s="347">
        <f t="shared" si="3"/>
        <v>0</v>
      </c>
      <c r="J13" s="347">
        <f t="shared" si="4"/>
        <v>0</v>
      </c>
      <c r="K13" s="348"/>
      <c r="M13" s="324">
        <f>(SUMIFS(msi[[#All],[CHARGE]],msi[[#All],[DATE]],$A13,msi[[#All],[Manual /OutSale]],"Manual"))-(SUMIFS(MRet[[#All],[CHARGE]],MRet[[#All],[DATE]],$A13,MRet[[#All],[Manual/ OutSale]],"Manual"))</f>
        <v>0</v>
      </c>
      <c r="N13" s="324">
        <f>(SUMIFS(msi[[#All],[GC/  OTHERS]],msi[[#All],[DATE]],$A13,msi[[#All],[Manual /OutSale]],"Manual"))-(SUMIFS(MRet[[#All],[GC/  OTHERS]],MRet[[#All],[DATE]],$A13,MRet[[#All],[Manual/ OutSale]],"Manual"))</f>
        <v>0</v>
      </c>
      <c r="O13" s="349"/>
      <c r="P13" s="349"/>
      <c r="Q13" s="349"/>
      <c r="R13" s="363"/>
      <c r="S13" s="324">
        <f>(SUMIFS(msi[[#All],[Check]],msi[[#All],[DATE]],$A13,msi[[#All],[Manual /OutSale]],"Manual"))-(SUMIFS(MRet[[#All],[Check]],MRet[[#All],[DATE]],$A13,MRet[[#All],[Manual/ OutSale]],"Manual"))</f>
        <v>0</v>
      </c>
      <c r="T13" s="324">
        <f>(SUMIFS(msi[[#All],[COD]],msi[[#All],[DATE]],$A13,msi[[#All],[Manual /OutSale]],"Manual"))-(SUMIFS(MRet[[#All],[COD]],MRet[[#All],[DATE]],$A13,MRet[[#All],[Manual/ OutSale]],"Manual"))</f>
        <v>0</v>
      </c>
      <c r="U13" s="349">
        <v>0</v>
      </c>
      <c r="V13" s="363"/>
      <c r="W13" s="324">
        <f>(SUMIFS(msi[[#All],[CWT]],msi[[#All],[DATE]],$A13,msi[[#All],[Manual /OutSale]],"Manual"))-(SUMIFS(MRet[[#All],[CWT]],MRet[[#All],[DATE]],$A13,MRet[[#All],[Manual/ OutSale]],"Manual"))</f>
        <v>0</v>
      </c>
      <c r="X13" s="324">
        <f>(SUMIFS(msi[[#All],[CASH]],msi[[#All],[DATE]],$A13,msi[[#All],[Manual /OutSale]],"Manual"))-(SUMIFS(MRet[[#All],[CASH]],MRet[[#All],[DATE]],$A13,MRet[[#All],[Manual/ OutSale]],"Manual"))</f>
        <v>0</v>
      </c>
      <c r="Y13" s="369">
        <f t="shared" si="2"/>
        <v>0</v>
      </c>
      <c r="Z13" s="369">
        <f t="shared" si="5"/>
        <v>0</v>
      </c>
      <c r="AA13" s="307"/>
    </row>
    <row r="14" spans="1:27">
      <c r="A14" s="323">
        <f t="shared" si="6"/>
        <v>46304</v>
      </c>
      <c r="B14" s="324">
        <f>(SUMIFS(msi[[#All],[SP]],msi[[#All],[DATE]],$A14,msi[[#All],[Manual /OutSale]],"Manual"))-(SUMIFS(MRet[[#All],[SP]],MRet[[#All],[DATE]],$A14,MRet[[#All],[Manual/ OutSale]],"Manual"))</f>
        <v>0</v>
      </c>
      <c r="C14" s="324">
        <f>(SUMIFS(msi[[#All],[DISC. AMOUNT]],msi[[#All],[DATE]],$A14,msi[[#All],[Manual /OutSale]],"Manual"))-(SUMIFS(MRet[[#All],[DISC. AMOUNT]],MRet[[#All],[DATE]],$A14,MRet[[#All],[Manual/ OutSale]],"Manual"))</f>
        <v>0</v>
      </c>
      <c r="D14" s="325">
        <f t="shared" si="0"/>
        <v>0</v>
      </c>
      <c r="E14" s="324"/>
      <c r="F14" s="325">
        <f t="shared" si="1"/>
        <v>0</v>
      </c>
      <c r="G14" s="324"/>
      <c r="H14" s="326"/>
      <c r="I14" s="347">
        <f t="shared" si="3"/>
        <v>0</v>
      </c>
      <c r="J14" s="347">
        <f t="shared" si="4"/>
        <v>0</v>
      </c>
      <c r="K14" s="348"/>
      <c r="M14" s="324">
        <f>(SUMIFS(msi[[#All],[CHARGE]],msi[[#All],[DATE]],$A14,msi[[#All],[Manual /OutSale]],"Manual"))-(SUMIFS(MRet[[#All],[CHARGE]],MRet[[#All],[DATE]],$A14,MRet[[#All],[Manual/ OutSale]],"Manual"))</f>
        <v>0</v>
      </c>
      <c r="N14" s="324">
        <f>(SUMIFS(msi[[#All],[GC/  OTHERS]],msi[[#All],[DATE]],$A14,msi[[#All],[Manual /OutSale]],"Manual"))-(SUMIFS(MRet[[#All],[GC/  OTHERS]],MRet[[#All],[DATE]],$A14,MRet[[#All],[Manual/ OutSale]],"Manual"))</f>
        <v>0</v>
      </c>
      <c r="O14" s="349"/>
      <c r="P14" s="349"/>
      <c r="Q14" s="349"/>
      <c r="R14" s="363"/>
      <c r="S14" s="324">
        <f>(SUMIFS(msi[[#All],[Check]],msi[[#All],[DATE]],$A14,msi[[#All],[Manual /OutSale]],"Manual"))-(SUMIFS(MRet[[#All],[Check]],MRet[[#All],[DATE]],$A14,MRet[[#All],[Manual/ OutSale]],"Manual"))</f>
        <v>0</v>
      </c>
      <c r="T14" s="324">
        <f>(SUMIFS(msi[[#All],[COD]],msi[[#All],[DATE]],$A14,msi[[#All],[Manual /OutSale]],"Manual"))-(SUMIFS(MRet[[#All],[COD]],MRet[[#All],[DATE]],$A14,MRet[[#All],[Manual/ OutSale]],"Manual"))</f>
        <v>0</v>
      </c>
      <c r="U14" s="349">
        <v>0</v>
      </c>
      <c r="V14" s="363"/>
      <c r="W14" s="324">
        <f>(SUMIFS(msi[[#All],[CWT]],msi[[#All],[DATE]],$A14,msi[[#All],[Manual /OutSale]],"Manual"))-(SUMIFS(MRet[[#All],[CWT]],MRet[[#All],[DATE]],$A14,MRet[[#All],[Manual/ OutSale]],"Manual"))</f>
        <v>0</v>
      </c>
      <c r="X14" s="324">
        <f>(SUMIFS(msi[[#All],[CASH]],msi[[#All],[DATE]],$A14,msi[[#All],[Manual /OutSale]],"Manual"))-(SUMIFS(MRet[[#All],[CASH]],MRet[[#All],[DATE]],$A14,MRet[[#All],[Manual/ OutSale]],"Manual"))</f>
        <v>0</v>
      </c>
      <c r="Y14" s="369">
        <f t="shared" si="2"/>
        <v>0</v>
      </c>
      <c r="Z14" s="369">
        <f t="shared" si="5"/>
        <v>0</v>
      </c>
      <c r="AA14" s="307"/>
    </row>
    <row r="15" spans="1:27">
      <c r="A15" s="323">
        <f t="shared" si="6"/>
        <v>46305</v>
      </c>
      <c r="B15" s="324">
        <f>(SUMIFS(msi[[#All],[SP]],msi[[#All],[DATE]],$A15,msi[[#All],[Manual /OutSale]],"Manual"))-(SUMIFS(MRet[[#All],[SP]],MRet[[#All],[DATE]],$A15,MRet[[#All],[Manual/ OutSale]],"Manual"))</f>
        <v>0</v>
      </c>
      <c r="C15" s="324">
        <f>(SUMIFS(msi[[#All],[DISC. AMOUNT]],msi[[#All],[DATE]],$A15,msi[[#All],[Manual /OutSale]],"Manual"))-(SUMIFS(MRet[[#All],[DISC. AMOUNT]],MRet[[#All],[DATE]],$A15,MRet[[#All],[Manual/ OutSale]],"Manual"))</f>
        <v>0</v>
      </c>
      <c r="D15" s="325">
        <f t="shared" si="0"/>
        <v>0</v>
      </c>
      <c r="E15" s="324"/>
      <c r="F15" s="325">
        <f t="shared" si="1"/>
        <v>0</v>
      </c>
      <c r="G15" s="324"/>
      <c r="H15" s="326"/>
      <c r="I15" s="347">
        <f t="shared" si="3"/>
        <v>0</v>
      </c>
      <c r="J15" s="347">
        <f t="shared" si="4"/>
        <v>0</v>
      </c>
      <c r="K15" s="348"/>
      <c r="M15" s="324">
        <f>(SUMIFS(msi[[#All],[CHARGE]],msi[[#All],[DATE]],$A15,msi[[#All],[Manual /OutSale]],"Manual"))-(SUMIFS(MRet[[#All],[CHARGE]],MRet[[#All],[DATE]],$A15,MRet[[#All],[Manual/ OutSale]],"Manual"))</f>
        <v>0</v>
      </c>
      <c r="N15" s="324">
        <f>(SUMIFS(msi[[#All],[GC/  OTHERS]],msi[[#All],[DATE]],$A15,msi[[#All],[Manual /OutSale]],"Manual"))-(SUMIFS(MRet[[#All],[GC/  OTHERS]],MRet[[#All],[DATE]],$A15,MRet[[#All],[Manual/ OutSale]],"Manual"))</f>
        <v>0</v>
      </c>
      <c r="O15" s="349"/>
      <c r="P15" s="349"/>
      <c r="Q15" s="349"/>
      <c r="R15" s="363"/>
      <c r="S15" s="324">
        <f>(SUMIFS(msi[[#All],[Check]],msi[[#All],[DATE]],$A15,msi[[#All],[Manual /OutSale]],"Manual"))-(SUMIFS(MRet[[#All],[Check]],MRet[[#All],[DATE]],$A15,MRet[[#All],[Manual/ OutSale]],"Manual"))</f>
        <v>0</v>
      </c>
      <c r="T15" s="324">
        <f>(SUMIFS(msi[[#All],[COD]],msi[[#All],[DATE]],$A15,msi[[#All],[Manual /OutSale]],"Manual"))-(SUMIFS(MRet[[#All],[COD]],MRet[[#All],[DATE]],$A15,MRet[[#All],[Manual/ OutSale]],"Manual"))</f>
        <v>0</v>
      </c>
      <c r="U15" s="349">
        <v>0</v>
      </c>
      <c r="V15" s="363"/>
      <c r="W15" s="324">
        <f>(SUMIFS(msi[[#All],[CWT]],msi[[#All],[DATE]],$A15,msi[[#All],[Manual /OutSale]],"Manual"))-(SUMIFS(MRet[[#All],[CWT]],MRet[[#All],[DATE]],$A15,MRet[[#All],[Manual/ OutSale]],"Manual"))</f>
        <v>0</v>
      </c>
      <c r="X15" s="324">
        <f>(SUMIFS(msi[[#All],[CASH]],msi[[#All],[DATE]],$A15,msi[[#All],[Manual /OutSale]],"Manual"))-(SUMIFS(MRet[[#All],[CASH]],MRet[[#All],[DATE]],$A15,MRet[[#All],[Manual/ OutSale]],"Manual"))</f>
        <v>0</v>
      </c>
      <c r="Y15" s="369">
        <f t="shared" si="2"/>
        <v>0</v>
      </c>
      <c r="Z15" s="369">
        <f t="shared" si="5"/>
        <v>0</v>
      </c>
      <c r="AA15" s="307"/>
    </row>
    <row r="16" spans="1:27">
      <c r="A16" s="323">
        <f t="shared" si="6"/>
        <v>46306</v>
      </c>
      <c r="B16" s="324">
        <f>(SUMIFS(msi[[#All],[SP]],msi[[#All],[DATE]],$A16,msi[[#All],[Manual /OutSale]],"Manual"))-(SUMIFS(MRet[[#All],[SP]],MRet[[#All],[DATE]],$A16,MRet[[#All],[Manual/ OutSale]],"Manual"))</f>
        <v>0</v>
      </c>
      <c r="C16" s="324">
        <f>(SUMIFS(msi[[#All],[DISC. AMOUNT]],msi[[#All],[DATE]],$A16,msi[[#All],[Manual /OutSale]],"Manual"))-(SUMIFS(MRet[[#All],[DISC. AMOUNT]],MRet[[#All],[DATE]],$A16,MRet[[#All],[Manual/ OutSale]],"Manual"))</f>
        <v>0</v>
      </c>
      <c r="D16" s="325">
        <f t="shared" si="0"/>
        <v>0</v>
      </c>
      <c r="E16" s="324"/>
      <c r="F16" s="325">
        <f t="shared" si="1"/>
        <v>0</v>
      </c>
      <c r="G16" s="324"/>
      <c r="H16" s="326"/>
      <c r="I16" s="347">
        <f t="shared" si="3"/>
        <v>0</v>
      </c>
      <c r="J16" s="347">
        <f t="shared" si="4"/>
        <v>0</v>
      </c>
      <c r="K16" s="348"/>
      <c r="M16" s="324">
        <f>(SUMIFS(msi[[#All],[CHARGE]],msi[[#All],[DATE]],$A16,msi[[#All],[Manual /OutSale]],"Manual"))-(SUMIFS(MRet[[#All],[CHARGE]],MRet[[#All],[DATE]],$A16,MRet[[#All],[Manual/ OutSale]],"Manual"))</f>
        <v>0</v>
      </c>
      <c r="N16" s="324">
        <f>(SUMIFS(msi[[#All],[GC/  OTHERS]],msi[[#All],[DATE]],$A16,msi[[#All],[Manual /OutSale]],"Manual"))-(SUMIFS(MRet[[#All],[GC/  OTHERS]],MRet[[#All],[DATE]],$A16,MRet[[#All],[Manual/ OutSale]],"Manual"))</f>
        <v>0</v>
      </c>
      <c r="O16" s="349"/>
      <c r="P16" s="349"/>
      <c r="Q16" s="349"/>
      <c r="R16" s="363"/>
      <c r="S16" s="324">
        <f>(SUMIFS(msi[[#All],[Check]],msi[[#All],[DATE]],$A16,msi[[#All],[Manual /OutSale]],"Manual"))-(SUMIFS(MRet[[#All],[Check]],MRet[[#All],[DATE]],$A16,MRet[[#All],[Manual/ OutSale]],"Manual"))</f>
        <v>0</v>
      </c>
      <c r="T16" s="324">
        <f>(SUMIFS(msi[[#All],[COD]],msi[[#All],[DATE]],$A16,msi[[#All],[Manual /OutSale]],"Manual"))-(SUMIFS(MRet[[#All],[COD]],MRet[[#All],[DATE]],$A16,MRet[[#All],[Manual/ OutSale]],"Manual"))</f>
        <v>0</v>
      </c>
      <c r="U16" s="349">
        <v>0</v>
      </c>
      <c r="V16" s="363"/>
      <c r="W16" s="324">
        <f>(SUMIFS(msi[[#All],[CWT]],msi[[#All],[DATE]],$A16,msi[[#All],[Manual /OutSale]],"Manual"))-(SUMIFS(MRet[[#All],[CWT]],MRet[[#All],[DATE]],$A16,MRet[[#All],[Manual/ OutSale]],"Manual"))</f>
        <v>0</v>
      </c>
      <c r="X16" s="324">
        <f>(SUMIFS(msi[[#All],[CASH]],msi[[#All],[DATE]],$A16,msi[[#All],[Manual /OutSale]],"Manual"))-(SUMIFS(MRet[[#All],[CASH]],MRet[[#All],[DATE]],$A16,MRet[[#All],[Manual/ OutSale]],"Manual"))</f>
        <v>0</v>
      </c>
      <c r="Y16" s="369">
        <f t="shared" si="2"/>
        <v>0</v>
      </c>
      <c r="Z16" s="369">
        <f t="shared" si="5"/>
        <v>0</v>
      </c>
      <c r="AA16" s="307"/>
    </row>
    <row r="17" spans="1:27">
      <c r="A17" s="323">
        <f t="shared" si="6"/>
        <v>46307</v>
      </c>
      <c r="B17" s="324">
        <f>(SUMIFS(msi[[#All],[SP]],msi[[#All],[DATE]],$A17,msi[[#All],[Manual /OutSale]],"Manual"))-(SUMIFS(MRet[[#All],[SP]],MRet[[#All],[DATE]],$A17,MRet[[#All],[Manual/ OutSale]],"Manual"))</f>
        <v>0</v>
      </c>
      <c r="C17" s="324">
        <f>(SUMIFS(msi[[#All],[DISC. AMOUNT]],msi[[#All],[DATE]],$A17,msi[[#All],[Manual /OutSale]],"Manual"))-(SUMIFS(MRet[[#All],[DISC. AMOUNT]],MRet[[#All],[DATE]],$A17,MRet[[#All],[Manual/ OutSale]],"Manual"))</f>
        <v>0</v>
      </c>
      <c r="D17" s="325">
        <f t="shared" si="0"/>
        <v>0</v>
      </c>
      <c r="E17" s="324"/>
      <c r="F17" s="325">
        <f t="shared" si="1"/>
        <v>0</v>
      </c>
      <c r="G17" s="324"/>
      <c r="H17" s="326"/>
      <c r="I17" s="347">
        <f t="shared" si="3"/>
        <v>0</v>
      </c>
      <c r="J17" s="347">
        <f t="shared" si="4"/>
        <v>0</v>
      </c>
      <c r="K17" s="348"/>
      <c r="M17" s="324">
        <f>(SUMIFS(msi[[#All],[CHARGE]],msi[[#All],[DATE]],$A17,msi[[#All],[Manual /OutSale]],"Manual"))-(SUMIFS(MRet[[#All],[CHARGE]],MRet[[#All],[DATE]],$A17,MRet[[#All],[Manual/ OutSale]],"Manual"))</f>
        <v>0</v>
      </c>
      <c r="N17" s="324">
        <f>(SUMIFS(msi[[#All],[GC/  OTHERS]],msi[[#All],[DATE]],$A17,msi[[#All],[Manual /OutSale]],"Manual"))-(SUMIFS(MRet[[#All],[GC/  OTHERS]],MRet[[#All],[DATE]],$A17,MRet[[#All],[Manual/ OutSale]],"Manual"))</f>
        <v>0</v>
      </c>
      <c r="O17" s="349"/>
      <c r="P17" s="349"/>
      <c r="Q17" s="349"/>
      <c r="R17" s="363"/>
      <c r="S17" s="324">
        <f>(SUMIFS(msi[[#All],[Check]],msi[[#All],[DATE]],$A17,msi[[#All],[Manual /OutSale]],"Manual"))-(SUMIFS(MRet[[#All],[Check]],MRet[[#All],[DATE]],$A17,MRet[[#All],[Manual/ OutSale]],"Manual"))</f>
        <v>0</v>
      </c>
      <c r="T17" s="324">
        <f>(SUMIFS(msi[[#All],[COD]],msi[[#All],[DATE]],$A17,msi[[#All],[Manual /OutSale]],"Manual"))-(SUMIFS(MRet[[#All],[COD]],MRet[[#All],[DATE]],$A17,MRet[[#All],[Manual/ OutSale]],"Manual"))</f>
        <v>0</v>
      </c>
      <c r="U17" s="349">
        <v>0</v>
      </c>
      <c r="V17" s="363"/>
      <c r="W17" s="324">
        <f>(SUMIFS(msi[[#All],[CWT]],msi[[#All],[DATE]],$A17,msi[[#All],[Manual /OutSale]],"Manual"))-(SUMIFS(MRet[[#All],[CWT]],MRet[[#All],[DATE]],$A17,MRet[[#All],[Manual/ OutSale]],"Manual"))</f>
        <v>0</v>
      </c>
      <c r="X17" s="324">
        <f>(SUMIFS(msi[[#All],[CASH]],msi[[#All],[DATE]],$A17,msi[[#All],[Manual /OutSale]],"Manual"))-(SUMIFS(MRet[[#All],[CASH]],MRet[[#All],[DATE]],$A17,MRet[[#All],[Manual/ OutSale]],"Manual"))</f>
        <v>0</v>
      </c>
      <c r="Y17" s="369">
        <f t="shared" si="2"/>
        <v>0</v>
      </c>
      <c r="Z17" s="369">
        <f t="shared" si="5"/>
        <v>0</v>
      </c>
      <c r="AA17" s="307"/>
    </row>
    <row r="18" spans="1:27">
      <c r="A18" s="323">
        <f t="shared" si="6"/>
        <v>46308</v>
      </c>
      <c r="B18" s="324">
        <f>(SUMIFS(msi[[#All],[SP]],msi[[#All],[DATE]],$A18,msi[[#All],[Manual /OutSale]],"Manual"))-(SUMIFS(MRet[[#All],[SP]],MRet[[#All],[DATE]],$A18,MRet[[#All],[Manual/ OutSale]],"Manual"))</f>
        <v>0</v>
      </c>
      <c r="C18" s="324">
        <f>(SUMIFS(msi[[#All],[DISC. AMOUNT]],msi[[#All],[DATE]],$A18,msi[[#All],[Manual /OutSale]],"Manual"))-(SUMIFS(MRet[[#All],[DISC. AMOUNT]],MRet[[#All],[DATE]],$A18,MRet[[#All],[Manual/ OutSale]],"Manual"))</f>
        <v>0</v>
      </c>
      <c r="D18" s="325">
        <f t="shared" si="0"/>
        <v>0</v>
      </c>
      <c r="E18" s="324"/>
      <c r="F18" s="325">
        <f t="shared" si="1"/>
        <v>0</v>
      </c>
      <c r="G18" s="324"/>
      <c r="H18" s="326"/>
      <c r="I18" s="347">
        <f t="shared" si="3"/>
        <v>0</v>
      </c>
      <c r="J18" s="347">
        <f t="shared" si="4"/>
        <v>0</v>
      </c>
      <c r="K18" s="348"/>
      <c r="M18" s="324">
        <f>(SUMIFS(msi[[#All],[CHARGE]],msi[[#All],[DATE]],$A18,msi[[#All],[Manual /OutSale]],"Manual"))-(SUMIFS(MRet[[#All],[CHARGE]],MRet[[#All],[DATE]],$A18,MRet[[#All],[Manual/ OutSale]],"Manual"))</f>
        <v>0</v>
      </c>
      <c r="N18" s="324">
        <f>(SUMIFS(msi[[#All],[GC/  OTHERS]],msi[[#All],[DATE]],$A18,msi[[#All],[Manual /OutSale]],"Manual"))-(SUMIFS(MRet[[#All],[GC/  OTHERS]],MRet[[#All],[DATE]],$A18,MRet[[#All],[Manual/ OutSale]],"Manual"))</f>
        <v>0</v>
      </c>
      <c r="O18" s="349"/>
      <c r="P18" s="349"/>
      <c r="Q18" s="349"/>
      <c r="R18" s="363"/>
      <c r="S18" s="324">
        <f>(SUMIFS(msi[[#All],[Check]],msi[[#All],[DATE]],$A18,msi[[#All],[Manual /OutSale]],"Manual"))-(SUMIFS(MRet[[#All],[Check]],MRet[[#All],[DATE]],$A18,MRet[[#All],[Manual/ OutSale]],"Manual"))</f>
        <v>0</v>
      </c>
      <c r="T18" s="324">
        <f>(SUMIFS(msi[[#All],[COD]],msi[[#All],[DATE]],$A18,msi[[#All],[Manual /OutSale]],"Manual"))-(SUMIFS(MRet[[#All],[COD]],MRet[[#All],[DATE]],$A18,MRet[[#All],[Manual/ OutSale]],"Manual"))</f>
        <v>0</v>
      </c>
      <c r="U18" s="349">
        <v>0</v>
      </c>
      <c r="V18" s="363"/>
      <c r="W18" s="324">
        <f>(SUMIFS(msi[[#All],[CWT]],msi[[#All],[DATE]],$A18,msi[[#All],[Manual /OutSale]],"Manual"))-(SUMIFS(MRet[[#All],[CWT]],MRet[[#All],[DATE]],$A18,MRet[[#All],[Manual/ OutSale]],"Manual"))</f>
        <v>0</v>
      </c>
      <c r="X18" s="324">
        <f>(SUMIFS(msi[[#All],[CASH]],msi[[#All],[DATE]],$A18,msi[[#All],[Manual /OutSale]],"Manual"))-(SUMIFS(MRet[[#All],[CASH]],MRet[[#All],[DATE]],$A18,MRet[[#All],[Manual/ OutSale]],"Manual"))</f>
        <v>0</v>
      </c>
      <c r="Y18" s="369">
        <f t="shared" si="2"/>
        <v>0</v>
      </c>
      <c r="Z18" s="369">
        <f t="shared" si="5"/>
        <v>0</v>
      </c>
      <c r="AA18" s="371"/>
    </row>
    <row r="19" spans="1:27">
      <c r="A19" s="323">
        <f t="shared" si="6"/>
        <v>46309</v>
      </c>
      <c r="B19" s="324">
        <f>(SUMIFS(msi[[#All],[SP]],msi[[#All],[DATE]],$A19,msi[[#All],[Manual /OutSale]],"Manual"))-(SUMIFS(MRet[[#All],[SP]],MRet[[#All],[DATE]],$A19,MRet[[#All],[Manual/ OutSale]],"Manual"))</f>
        <v>0</v>
      </c>
      <c r="C19" s="324">
        <f>(SUMIFS(msi[[#All],[DISC. AMOUNT]],msi[[#All],[DATE]],$A19,msi[[#All],[Manual /OutSale]],"Manual"))-(SUMIFS(MRet[[#All],[DISC. AMOUNT]],MRet[[#All],[DATE]],$A19,MRet[[#All],[Manual/ OutSale]],"Manual"))</f>
        <v>0</v>
      </c>
      <c r="D19" s="325">
        <f t="shared" si="0"/>
        <v>0</v>
      </c>
      <c r="E19" s="324"/>
      <c r="F19" s="325">
        <f t="shared" si="1"/>
        <v>0</v>
      </c>
      <c r="G19" s="324"/>
      <c r="H19" s="326"/>
      <c r="I19" s="347">
        <f t="shared" si="3"/>
        <v>0</v>
      </c>
      <c r="J19" s="347">
        <f t="shared" si="4"/>
        <v>0</v>
      </c>
      <c r="K19" s="348"/>
      <c r="M19" s="324">
        <f>(SUMIFS(msi[[#All],[CHARGE]],msi[[#All],[DATE]],$A19,msi[[#All],[Manual /OutSale]],"Manual"))-(SUMIFS(MRet[[#All],[CHARGE]],MRet[[#All],[DATE]],$A19,MRet[[#All],[Manual/ OutSale]],"Manual"))</f>
        <v>0</v>
      </c>
      <c r="N19" s="324">
        <f>(SUMIFS(msi[[#All],[GC/  OTHERS]],msi[[#All],[DATE]],$A19,msi[[#All],[Manual /OutSale]],"Manual"))-(SUMIFS(MRet[[#All],[GC/  OTHERS]],MRet[[#All],[DATE]],$A19,MRet[[#All],[Manual/ OutSale]],"Manual"))</f>
        <v>0</v>
      </c>
      <c r="O19" s="349"/>
      <c r="P19" s="349"/>
      <c r="Q19" s="349"/>
      <c r="R19" s="363"/>
      <c r="S19" s="324">
        <f>(SUMIFS(msi[[#All],[Check]],msi[[#All],[DATE]],$A19,msi[[#All],[Manual /OutSale]],"Manual"))-(SUMIFS(MRet[[#All],[Check]],MRet[[#All],[DATE]],$A19,MRet[[#All],[Manual/ OutSale]],"Manual"))</f>
        <v>0</v>
      </c>
      <c r="T19" s="324">
        <f>(SUMIFS(msi[[#All],[COD]],msi[[#All],[DATE]],$A19,msi[[#All],[Manual /OutSale]],"Manual"))-(SUMIFS(MRet[[#All],[COD]],MRet[[#All],[DATE]],$A19,MRet[[#All],[Manual/ OutSale]],"Manual"))</f>
        <v>0</v>
      </c>
      <c r="U19" s="349">
        <v>0</v>
      </c>
      <c r="V19" s="363"/>
      <c r="W19" s="324">
        <f>(SUMIFS(msi[[#All],[CWT]],msi[[#All],[DATE]],$A19,msi[[#All],[Manual /OutSale]],"Manual"))-(SUMIFS(MRet[[#All],[CWT]],MRet[[#All],[DATE]],$A19,MRet[[#All],[Manual/ OutSale]],"Manual"))</f>
        <v>0</v>
      </c>
      <c r="X19" s="324">
        <f>(SUMIFS(msi[[#All],[CASH]],msi[[#All],[DATE]],$A19,msi[[#All],[Manual /OutSale]],"Manual"))-(SUMIFS(MRet[[#All],[CASH]],MRet[[#All],[DATE]],$A19,MRet[[#All],[Manual/ OutSale]],"Manual"))</f>
        <v>0</v>
      </c>
      <c r="Y19" s="369">
        <f t="shared" si="2"/>
        <v>0</v>
      </c>
      <c r="Z19" s="369">
        <f t="shared" si="5"/>
        <v>0</v>
      </c>
      <c r="AA19" s="371"/>
    </row>
    <row r="20" spans="1:27">
      <c r="A20" s="323">
        <f t="shared" si="6"/>
        <v>46310</v>
      </c>
      <c r="B20" s="324">
        <f>(SUMIFS(msi[[#All],[SP]],msi[[#All],[DATE]],$A20,msi[[#All],[Manual /OutSale]],"Manual"))-(SUMIFS(MRet[[#All],[SP]],MRet[[#All],[DATE]],$A20,MRet[[#All],[Manual/ OutSale]],"Manual"))</f>
        <v>0</v>
      </c>
      <c r="C20" s="324">
        <f>(SUMIFS(msi[[#All],[DISC. AMOUNT]],msi[[#All],[DATE]],$A20,msi[[#All],[Manual /OutSale]],"Manual"))-(SUMIFS(MRet[[#All],[DISC. AMOUNT]],MRet[[#All],[DATE]],$A20,MRet[[#All],[Manual/ OutSale]],"Manual"))</f>
        <v>0</v>
      </c>
      <c r="D20" s="325">
        <f t="shared" si="0"/>
        <v>0</v>
      </c>
      <c r="E20" s="324"/>
      <c r="F20" s="325">
        <f t="shared" si="1"/>
        <v>0</v>
      </c>
      <c r="G20" s="324"/>
      <c r="H20" s="326"/>
      <c r="I20" s="347">
        <f t="shared" si="3"/>
        <v>0</v>
      </c>
      <c r="J20" s="347">
        <f t="shared" si="4"/>
        <v>0</v>
      </c>
      <c r="K20" s="348"/>
      <c r="M20" s="324">
        <f>(SUMIFS(msi[[#All],[CHARGE]],msi[[#All],[DATE]],$A20,msi[[#All],[Manual /OutSale]],"Manual"))-(SUMIFS(MRet[[#All],[CHARGE]],MRet[[#All],[DATE]],$A20,MRet[[#All],[Manual/ OutSale]],"Manual"))</f>
        <v>0</v>
      </c>
      <c r="N20" s="324">
        <f>(SUMIFS(msi[[#All],[GC/  OTHERS]],msi[[#All],[DATE]],$A20,msi[[#All],[Manual /OutSale]],"Manual"))-(SUMIFS(MRet[[#All],[GC/  OTHERS]],MRet[[#All],[DATE]],$A20,MRet[[#All],[Manual/ OutSale]],"Manual"))</f>
        <v>0</v>
      </c>
      <c r="O20" s="349"/>
      <c r="P20" s="349"/>
      <c r="Q20" s="349"/>
      <c r="R20" s="363"/>
      <c r="S20" s="324">
        <f>(SUMIFS(msi[[#All],[Check]],msi[[#All],[DATE]],$A20,msi[[#All],[Manual /OutSale]],"Manual"))-(SUMIFS(MRet[[#All],[Check]],MRet[[#All],[DATE]],$A20,MRet[[#All],[Manual/ OutSale]],"Manual"))</f>
        <v>0</v>
      </c>
      <c r="T20" s="324">
        <f>(SUMIFS(msi[[#All],[COD]],msi[[#All],[DATE]],$A20,msi[[#All],[Manual /OutSale]],"Manual"))-(SUMIFS(MRet[[#All],[COD]],MRet[[#All],[DATE]],$A20,MRet[[#All],[Manual/ OutSale]],"Manual"))</f>
        <v>0</v>
      </c>
      <c r="U20" s="349">
        <v>0</v>
      </c>
      <c r="V20" s="363"/>
      <c r="W20" s="324">
        <f>(SUMIFS(msi[[#All],[CWT]],msi[[#All],[DATE]],$A20,msi[[#All],[Manual /OutSale]],"Manual"))-(SUMIFS(MRet[[#All],[CWT]],MRet[[#All],[DATE]],$A20,MRet[[#All],[Manual/ OutSale]],"Manual"))</f>
        <v>0</v>
      </c>
      <c r="X20" s="324">
        <f>(SUMIFS(msi[[#All],[CASH]],msi[[#All],[DATE]],$A20,msi[[#All],[Manual /OutSale]],"Manual"))-(SUMIFS(MRet[[#All],[CASH]],MRet[[#All],[DATE]],$A20,MRet[[#All],[Manual/ OutSale]],"Manual"))</f>
        <v>0</v>
      </c>
      <c r="Y20" s="369">
        <f t="shared" si="2"/>
        <v>0</v>
      </c>
      <c r="Z20" s="369">
        <f t="shared" si="5"/>
        <v>0</v>
      </c>
      <c r="AA20" s="371"/>
    </row>
    <row r="21" spans="1:27">
      <c r="A21" s="327"/>
      <c r="B21" s="328">
        <f>SUM(B6:B20)</f>
        <v>0</v>
      </c>
      <c r="C21" s="328">
        <f t="shared" ref="C21:K21" si="7">SUM(C6:C20)</f>
        <v>0</v>
      </c>
      <c r="D21" s="328">
        <f t="shared" si="7"/>
        <v>0</v>
      </c>
      <c r="E21" s="328">
        <f t="shared" si="7"/>
        <v>0</v>
      </c>
      <c r="F21" s="328">
        <f t="shared" si="7"/>
        <v>0</v>
      </c>
      <c r="G21" s="328">
        <f t="shared" si="7"/>
        <v>0</v>
      </c>
      <c r="H21" s="329">
        <f t="shared" si="7"/>
        <v>0</v>
      </c>
      <c r="I21" s="328">
        <f t="shared" si="7"/>
        <v>0</v>
      </c>
      <c r="J21" s="328">
        <f t="shared" si="7"/>
        <v>0</v>
      </c>
      <c r="K21" s="374">
        <f t="shared" si="7"/>
        <v>0</v>
      </c>
      <c r="M21" s="351">
        <f t="shared" ref="M21:Z21" si="8">SUM(M6:M20)</f>
        <v>0</v>
      </c>
      <c r="N21" s="351">
        <f t="shared" si="8"/>
        <v>0</v>
      </c>
      <c r="O21" s="351">
        <f t="shared" si="8"/>
        <v>0</v>
      </c>
      <c r="P21" s="351">
        <f t="shared" si="8"/>
        <v>0</v>
      </c>
      <c r="Q21" s="351">
        <f t="shared" si="8"/>
        <v>0</v>
      </c>
      <c r="R21" s="351">
        <f t="shared" si="8"/>
        <v>0</v>
      </c>
      <c r="S21" s="351">
        <f t="shared" si="8"/>
        <v>0</v>
      </c>
      <c r="T21" s="351">
        <f t="shared" si="8"/>
        <v>0</v>
      </c>
      <c r="U21" s="351">
        <f t="shared" si="8"/>
        <v>0</v>
      </c>
      <c r="V21" s="351">
        <f t="shared" si="8"/>
        <v>0</v>
      </c>
      <c r="W21" s="351">
        <f t="shared" si="8"/>
        <v>0</v>
      </c>
      <c r="X21" s="364">
        <f t="shared" si="8"/>
        <v>0</v>
      </c>
      <c r="Y21" s="364">
        <f t="shared" si="8"/>
        <v>0</v>
      </c>
      <c r="Z21" s="364">
        <f t="shared" si="8"/>
        <v>0</v>
      </c>
      <c r="AA21" s="371"/>
    </row>
    <row r="22" spans="1:27">
      <c r="A22" s="330"/>
      <c r="B22" s="324"/>
      <c r="C22" s="324"/>
      <c r="D22" s="331"/>
      <c r="E22" s="324"/>
      <c r="F22" s="331"/>
      <c r="G22" s="324"/>
      <c r="H22" s="326"/>
      <c r="I22" s="352"/>
      <c r="J22" s="352"/>
      <c r="K22" s="348"/>
      <c r="M22" s="354"/>
      <c r="N22" s="354"/>
      <c r="O22" s="354"/>
      <c r="P22" s="354"/>
      <c r="Q22" s="354"/>
      <c r="R22" s="354"/>
      <c r="S22" s="354"/>
      <c r="T22" s="354"/>
      <c r="U22" s="354"/>
      <c r="V22" s="354"/>
      <c r="W22" s="354"/>
      <c r="X22" s="354"/>
      <c r="Y22" s="371"/>
      <c r="Z22" s="371"/>
      <c r="AA22" s="371"/>
    </row>
    <row r="23" spans="1:27">
      <c r="A23" s="323">
        <f>A20+1</f>
        <v>46311</v>
      </c>
      <c r="B23" s="324">
        <f>(SUMIFS(msi[[#All],[SP]],msi[[#All],[DATE]],$A23,msi[[#All],[Manual /OutSale]],"Manual"))-(SUMIFS(MRet[[#All],[SP]],MRet[[#All],[DATE]],$A23,MRet[[#All],[Manual/ OutSale]],"Manual"))</f>
        <v>0</v>
      </c>
      <c r="C23" s="324">
        <f>(SUMIFS(msi[[#All],[DISC. AMOUNT]],msi[[#All],[DATE]],$A23,msi[[#All],[Manual /OutSale]],"Manual"))-(SUMIFS(MRet[[#All],[DISC. AMOUNT]],MRet[[#All],[DATE]],$A23,MRet[[#All],[Manual/ OutSale]],"Manual"))</f>
        <v>0</v>
      </c>
      <c r="D23" s="325">
        <f t="shared" ref="D23:D38" si="9">+B23-C23</f>
        <v>0</v>
      </c>
      <c r="E23" s="324"/>
      <c r="F23" s="325">
        <f t="shared" ref="F23:F38" si="10">+C23-E23</f>
        <v>0</v>
      </c>
      <c r="G23" s="324"/>
      <c r="H23" s="326"/>
      <c r="I23" s="347">
        <f t="shared" ref="I23:I38" si="11">SUMIF(Z23,"&lt;.01")</f>
        <v>0</v>
      </c>
      <c r="J23" s="347">
        <f t="shared" ref="J23:J38" si="12">SUMIF(Z23,"&gt;.01")</f>
        <v>0</v>
      </c>
      <c r="K23" s="348"/>
      <c r="M23" s="324">
        <f>(SUMIFS(msi[[#All],[CHARGE]],msi[[#All],[DATE]],$A23,msi[[#All],[Manual /OutSale]],"Manual"))-(SUMIFS(MRet[[#All],[CHARGE]],MRet[[#All],[DATE]],$A23,MRet[[#All],[Manual/ OutSale]],"Manual"))</f>
        <v>0</v>
      </c>
      <c r="N23" s="324">
        <f>(SUMIFS(msi[[#All],[GC/  OTHERS]],msi[[#All],[DATE]],$A23,msi[[#All],[Manual /OutSale]],"Manual"))-(SUMIFS(MRet[[#All],[GC/  OTHERS]],MRet[[#All],[DATE]],$A23,MRet[[#All],[Manual/ OutSale]],"Manual"))</f>
        <v>0</v>
      </c>
      <c r="O23" s="349"/>
      <c r="P23" s="349"/>
      <c r="Q23" s="349"/>
      <c r="R23" s="363"/>
      <c r="S23" s="324">
        <f>(SUMIFS(msi[[#All],[Check]],msi[[#All],[DATE]],$A23,msi[[#All],[Manual /OutSale]],"Manual"))-(SUMIFS(MRet[[#All],[Check]],MRet[[#All],[DATE]],$A23,MRet[[#All],[Manual/ OutSale]],"Manual"))</f>
        <v>0</v>
      </c>
      <c r="T23" s="324">
        <f>(SUMIFS(msi[[#All],[COD]],msi[[#All],[DATE]],$A23,msi[[#All],[Manual /OutSale]],"Manual"))-(SUMIFS(MRet[[#All],[COD]],MRet[[#All],[DATE]],$A23,MRet[[#All],[Manual/ OutSale]],"Manual"))</f>
        <v>0</v>
      </c>
      <c r="U23" s="349">
        <v>0</v>
      </c>
      <c r="V23" s="363"/>
      <c r="W23" s="324">
        <f>(SUMIFS(msi[[#All],[CWT]],msi[[#All],[DATE]],$A23,msi[[#All],[Manual /OutSale]],"Manual"))-(SUMIFS(MRet[[#All],[CWT]],MRet[[#All],[DATE]],$A23,MRet[[#All],[Manual/ OutSale]],"Manual"))</f>
        <v>0</v>
      </c>
      <c r="X23" s="324">
        <f>(SUMIFS(msi[[#All],[CASH]],msi[[#All],[DATE]],$A23,msi[[#All],[Manual /OutSale]],"Manual"))-(SUMIFS(MRet[[#All],[CASH]],MRet[[#All],[DATE]],$A23,MRet[[#All],[Manual/ OutSale]],"Manual"))</f>
        <v>0</v>
      </c>
      <c r="Y23" s="369">
        <f t="shared" ref="Y23:Y38" si="13">D23-M23-N23+O23+Q23+R23-S23-T23-U23-V23-W23</f>
        <v>0</v>
      </c>
      <c r="Z23" s="369">
        <f t="shared" ref="Z23:Z38" si="14">X23-Y23</f>
        <v>0</v>
      </c>
      <c r="AA23" s="371"/>
    </row>
    <row r="24" spans="1:27">
      <c r="A24" s="323">
        <f>A23+1</f>
        <v>46312</v>
      </c>
      <c r="B24" s="324">
        <f>(SUMIFS(msi[[#All],[SP]],msi[[#All],[DATE]],$A24,msi[[#All],[Manual /OutSale]],"Manual"))-(SUMIFS(MRet[[#All],[SP]],MRet[[#All],[DATE]],$A24,MRet[[#All],[Manual/ OutSale]],"Manual"))</f>
        <v>0</v>
      </c>
      <c r="C24" s="324">
        <f>(SUMIFS(msi[[#All],[DISC. AMOUNT]],msi[[#All],[DATE]],$A24,msi[[#All],[Manual /OutSale]],"Manual"))-(SUMIFS(MRet[[#All],[DISC. AMOUNT]],MRet[[#All],[DATE]],$A24,MRet[[#All],[Manual/ OutSale]],"Manual"))</f>
        <v>0</v>
      </c>
      <c r="D24" s="325">
        <f t="shared" si="9"/>
        <v>0</v>
      </c>
      <c r="E24" s="324"/>
      <c r="F24" s="325">
        <f t="shared" si="10"/>
        <v>0</v>
      </c>
      <c r="G24" s="324"/>
      <c r="H24" s="326"/>
      <c r="I24" s="347">
        <f t="shared" si="11"/>
        <v>0</v>
      </c>
      <c r="J24" s="347">
        <f t="shared" si="12"/>
        <v>0</v>
      </c>
      <c r="K24" s="348"/>
      <c r="M24" s="324">
        <f>(SUMIFS(msi[[#All],[CHARGE]],msi[[#All],[DATE]],$A24,msi[[#All],[Manual /OutSale]],"Manual"))-(SUMIFS(MRet[[#All],[CHARGE]],MRet[[#All],[DATE]],$A24,MRet[[#All],[Manual/ OutSale]],"Manual"))</f>
        <v>0</v>
      </c>
      <c r="N24" s="324">
        <f>(SUMIFS(msi[[#All],[GC/  OTHERS]],msi[[#All],[DATE]],$A24,msi[[#All],[Manual /OutSale]],"Manual"))-(SUMIFS(MRet[[#All],[GC/  OTHERS]],MRet[[#All],[DATE]],$A24,MRet[[#All],[Manual/ OutSale]],"Manual"))</f>
        <v>0</v>
      </c>
      <c r="O24" s="349"/>
      <c r="P24" s="349"/>
      <c r="Q24" s="349"/>
      <c r="R24" s="363"/>
      <c r="S24" s="324">
        <f>(SUMIFS(msi[[#All],[Check]],msi[[#All],[DATE]],$A24,msi[[#All],[Manual /OutSale]],"Manual"))-(SUMIFS(MRet[[#All],[Check]],MRet[[#All],[DATE]],$A24,MRet[[#All],[Manual/ OutSale]],"Manual"))</f>
        <v>0</v>
      </c>
      <c r="T24" s="324">
        <f>(SUMIFS(msi[[#All],[COD]],msi[[#All],[DATE]],$A24,msi[[#All],[Manual /OutSale]],"Manual"))-(SUMIFS(MRet[[#All],[COD]],MRet[[#All],[DATE]],$A24,MRet[[#All],[Manual/ OutSale]],"Manual"))</f>
        <v>0</v>
      </c>
      <c r="U24" s="349">
        <v>0</v>
      </c>
      <c r="V24" s="363"/>
      <c r="W24" s="324">
        <f>(SUMIFS(msi[[#All],[CWT]],msi[[#All],[DATE]],$A24,msi[[#All],[Manual /OutSale]],"Manual"))-(SUMIFS(MRet[[#All],[CWT]],MRet[[#All],[DATE]],$A24,MRet[[#All],[Manual/ OutSale]],"Manual"))</f>
        <v>0</v>
      </c>
      <c r="X24" s="324">
        <f>(SUMIFS(msi[[#All],[CASH]],msi[[#All],[DATE]],$A24,msi[[#All],[Manual /OutSale]],"Manual"))-(SUMIFS(MRet[[#All],[CASH]],MRet[[#All],[DATE]],$A24,MRet[[#All],[Manual/ OutSale]],"Manual"))</f>
        <v>0</v>
      </c>
      <c r="Y24" s="369">
        <f t="shared" si="13"/>
        <v>0</v>
      </c>
      <c r="Z24" s="369">
        <f t="shared" si="14"/>
        <v>0</v>
      </c>
      <c r="AA24" s="371"/>
    </row>
    <row r="25" spans="1:27">
      <c r="A25" s="323">
        <f t="shared" ref="A25:A38" si="15">A24+1</f>
        <v>46313</v>
      </c>
      <c r="B25" s="324">
        <f>(SUMIFS(msi[[#All],[SP]],msi[[#All],[DATE]],$A25,msi[[#All],[Manual /OutSale]],"Manual"))-(SUMIFS(MRet[[#All],[SP]],MRet[[#All],[DATE]],$A25,MRet[[#All],[Manual/ OutSale]],"Manual"))</f>
        <v>0</v>
      </c>
      <c r="C25" s="324">
        <f>(SUMIFS(msi[[#All],[DISC. AMOUNT]],msi[[#All],[DATE]],$A25,msi[[#All],[Manual /OutSale]],"Manual"))-(SUMIFS(MRet[[#All],[DISC. AMOUNT]],MRet[[#All],[DATE]],$A25,MRet[[#All],[Manual/ OutSale]],"Manual"))</f>
        <v>0</v>
      </c>
      <c r="D25" s="325">
        <f t="shared" si="9"/>
        <v>0</v>
      </c>
      <c r="E25" s="324"/>
      <c r="F25" s="325">
        <f t="shared" si="10"/>
        <v>0</v>
      </c>
      <c r="G25" s="324"/>
      <c r="H25" s="326"/>
      <c r="I25" s="347">
        <f t="shared" si="11"/>
        <v>0</v>
      </c>
      <c r="J25" s="347">
        <f t="shared" si="12"/>
        <v>0</v>
      </c>
      <c r="K25" s="348"/>
      <c r="M25" s="324">
        <f>(SUMIFS(msi[[#All],[CHARGE]],msi[[#All],[DATE]],$A25,msi[[#All],[Manual /OutSale]],"Manual"))-(SUMIFS(MRet[[#All],[CHARGE]],MRet[[#All],[DATE]],$A25,MRet[[#All],[Manual/ OutSale]],"Manual"))</f>
        <v>0</v>
      </c>
      <c r="N25" s="324">
        <f>(SUMIFS(msi[[#All],[GC/  OTHERS]],msi[[#All],[DATE]],$A25,msi[[#All],[Manual /OutSale]],"Manual"))-(SUMIFS(MRet[[#All],[GC/  OTHERS]],MRet[[#All],[DATE]],$A25,MRet[[#All],[Manual/ OutSale]],"Manual"))</f>
        <v>0</v>
      </c>
      <c r="O25" s="349"/>
      <c r="P25" s="349"/>
      <c r="Q25" s="349"/>
      <c r="R25" s="363"/>
      <c r="S25" s="324">
        <f>(SUMIFS(msi[[#All],[Check]],msi[[#All],[DATE]],$A25,msi[[#All],[Manual /OutSale]],"Manual"))-(SUMIFS(MRet[[#All],[Check]],MRet[[#All],[DATE]],$A25,MRet[[#All],[Manual/ OutSale]],"Manual"))</f>
        <v>0</v>
      </c>
      <c r="T25" s="324">
        <f>(SUMIFS(msi[[#All],[COD]],msi[[#All],[DATE]],$A25,msi[[#All],[Manual /OutSale]],"Manual"))-(SUMIFS(MRet[[#All],[COD]],MRet[[#All],[DATE]],$A25,MRet[[#All],[Manual/ OutSale]],"Manual"))</f>
        <v>0</v>
      </c>
      <c r="U25" s="349">
        <v>0</v>
      </c>
      <c r="V25" s="363"/>
      <c r="W25" s="324">
        <f>(SUMIFS(msi[[#All],[CWT]],msi[[#All],[DATE]],$A25,msi[[#All],[Manual /OutSale]],"Manual"))-(SUMIFS(MRet[[#All],[CWT]],MRet[[#All],[DATE]],$A25,MRet[[#All],[Manual/ OutSale]],"Manual"))</f>
        <v>0</v>
      </c>
      <c r="X25" s="324">
        <f>(SUMIFS(msi[[#All],[CASH]],msi[[#All],[DATE]],$A25,msi[[#All],[Manual /OutSale]],"Manual"))-(SUMIFS(MRet[[#All],[CASH]],MRet[[#All],[DATE]],$A25,MRet[[#All],[Manual/ OutSale]],"Manual"))</f>
        <v>0</v>
      </c>
      <c r="Y25" s="369">
        <f t="shared" si="13"/>
        <v>0</v>
      </c>
      <c r="Z25" s="369">
        <f t="shared" si="14"/>
        <v>0</v>
      </c>
      <c r="AA25" s="371"/>
    </row>
    <row r="26" spans="1:27">
      <c r="A26" s="323">
        <f t="shared" si="15"/>
        <v>46314</v>
      </c>
      <c r="B26" s="324">
        <f>(SUMIFS(msi[[#All],[SP]],msi[[#All],[DATE]],$A26,msi[[#All],[Manual /OutSale]],"Manual"))-(SUMIFS(MRet[[#All],[SP]],MRet[[#All],[DATE]],$A26,MRet[[#All],[Manual/ OutSale]],"Manual"))</f>
        <v>0</v>
      </c>
      <c r="C26" s="324">
        <f>(SUMIFS(msi[[#All],[DISC. AMOUNT]],msi[[#All],[DATE]],$A26,msi[[#All],[Manual /OutSale]],"Manual"))-(SUMIFS(MRet[[#All],[DISC. AMOUNT]],MRet[[#All],[DATE]],$A26,MRet[[#All],[Manual/ OutSale]],"Manual"))</f>
        <v>0</v>
      </c>
      <c r="D26" s="325">
        <f t="shared" si="9"/>
        <v>0</v>
      </c>
      <c r="E26" s="324"/>
      <c r="F26" s="325">
        <f t="shared" si="10"/>
        <v>0</v>
      </c>
      <c r="G26" s="324"/>
      <c r="H26" s="326"/>
      <c r="I26" s="347">
        <f t="shared" si="11"/>
        <v>0</v>
      </c>
      <c r="J26" s="347">
        <f t="shared" si="12"/>
        <v>0</v>
      </c>
      <c r="K26" s="348"/>
      <c r="M26" s="324">
        <f>(SUMIFS(msi[[#All],[CHARGE]],msi[[#All],[DATE]],$A26,msi[[#All],[Manual /OutSale]],"Manual"))-(SUMIFS(MRet[[#All],[CHARGE]],MRet[[#All],[DATE]],$A26,MRet[[#All],[Manual/ OutSale]],"Manual"))</f>
        <v>0</v>
      </c>
      <c r="N26" s="324">
        <f>(SUMIFS(msi[[#All],[GC/  OTHERS]],msi[[#All],[DATE]],$A26,msi[[#All],[Manual /OutSale]],"Manual"))-(SUMIFS(MRet[[#All],[GC/  OTHERS]],MRet[[#All],[DATE]],$A26,MRet[[#All],[Manual/ OutSale]],"Manual"))</f>
        <v>0</v>
      </c>
      <c r="O26" s="349"/>
      <c r="P26" s="349"/>
      <c r="Q26" s="349"/>
      <c r="R26" s="363"/>
      <c r="S26" s="324">
        <f>(SUMIFS(msi[[#All],[Check]],msi[[#All],[DATE]],$A26,msi[[#All],[Manual /OutSale]],"Manual"))-(SUMIFS(MRet[[#All],[Check]],MRet[[#All],[DATE]],$A26,MRet[[#All],[Manual/ OutSale]],"Manual"))</f>
        <v>0</v>
      </c>
      <c r="T26" s="324">
        <f>(SUMIFS(msi[[#All],[COD]],msi[[#All],[DATE]],$A26,msi[[#All],[Manual /OutSale]],"Manual"))-(SUMIFS(MRet[[#All],[COD]],MRet[[#All],[DATE]],$A26,MRet[[#All],[Manual/ OutSale]],"Manual"))</f>
        <v>0</v>
      </c>
      <c r="U26" s="349">
        <v>0</v>
      </c>
      <c r="V26" s="363"/>
      <c r="W26" s="324">
        <f>(SUMIFS(msi[[#All],[CWT]],msi[[#All],[DATE]],$A26,msi[[#All],[Manual /OutSale]],"Manual"))-(SUMIFS(MRet[[#All],[CWT]],MRet[[#All],[DATE]],$A26,MRet[[#All],[Manual/ OutSale]],"Manual"))</f>
        <v>0</v>
      </c>
      <c r="X26" s="324">
        <f>(SUMIFS(msi[[#All],[CASH]],msi[[#All],[DATE]],$A26,msi[[#All],[Manual /OutSale]],"Manual"))-(SUMIFS(MRet[[#All],[CASH]],MRet[[#All],[DATE]],$A26,MRet[[#All],[Manual/ OutSale]],"Manual"))</f>
        <v>0</v>
      </c>
      <c r="Y26" s="369">
        <f t="shared" si="13"/>
        <v>0</v>
      </c>
      <c r="Z26" s="369">
        <f t="shared" si="14"/>
        <v>0</v>
      </c>
      <c r="AA26" s="371"/>
    </row>
    <row r="27" spans="1:27">
      <c r="A27" s="323">
        <f t="shared" si="15"/>
        <v>46315</v>
      </c>
      <c r="B27" s="324">
        <f>(SUMIFS(msi[[#All],[SP]],msi[[#All],[DATE]],$A27,msi[[#All],[Manual /OutSale]],"Manual"))-(SUMIFS(MRet[[#All],[SP]],MRet[[#All],[DATE]],$A27,MRet[[#All],[Manual/ OutSale]],"Manual"))</f>
        <v>0</v>
      </c>
      <c r="C27" s="324">
        <f>(SUMIFS(msi[[#All],[DISC. AMOUNT]],msi[[#All],[DATE]],$A27,msi[[#All],[Manual /OutSale]],"Manual"))-(SUMIFS(MRet[[#All],[DISC. AMOUNT]],MRet[[#All],[DATE]],$A27,MRet[[#All],[Manual/ OutSale]],"Manual"))</f>
        <v>0</v>
      </c>
      <c r="D27" s="325">
        <f t="shared" si="9"/>
        <v>0</v>
      </c>
      <c r="E27" s="324"/>
      <c r="F27" s="325">
        <f t="shared" si="10"/>
        <v>0</v>
      </c>
      <c r="G27" s="324"/>
      <c r="H27" s="326"/>
      <c r="I27" s="347">
        <f t="shared" si="11"/>
        <v>0</v>
      </c>
      <c r="J27" s="347">
        <f t="shared" si="12"/>
        <v>0</v>
      </c>
      <c r="K27" s="348"/>
      <c r="M27" s="324">
        <f>(SUMIFS(msi[[#All],[CHARGE]],msi[[#All],[DATE]],$A27,msi[[#All],[Manual /OutSale]],"Manual"))-(SUMIFS(MRet[[#All],[CHARGE]],MRet[[#All],[DATE]],$A27,MRet[[#All],[Manual/ OutSale]],"Manual"))</f>
        <v>0</v>
      </c>
      <c r="N27" s="324">
        <f>(SUMIFS(msi[[#All],[GC/  OTHERS]],msi[[#All],[DATE]],$A27,msi[[#All],[Manual /OutSale]],"Manual"))-(SUMIFS(MRet[[#All],[GC/  OTHERS]],MRet[[#All],[DATE]],$A27,MRet[[#All],[Manual/ OutSale]],"Manual"))</f>
        <v>0</v>
      </c>
      <c r="O27" s="349"/>
      <c r="P27" s="349"/>
      <c r="Q27" s="349"/>
      <c r="R27" s="363"/>
      <c r="S27" s="324">
        <f>(SUMIFS(msi[[#All],[Check]],msi[[#All],[DATE]],$A27,msi[[#All],[Manual /OutSale]],"Manual"))-(SUMIFS(MRet[[#All],[Check]],MRet[[#All],[DATE]],$A27,MRet[[#All],[Manual/ OutSale]],"Manual"))</f>
        <v>0</v>
      </c>
      <c r="T27" s="324">
        <f>(SUMIFS(msi[[#All],[COD]],msi[[#All],[DATE]],$A27,msi[[#All],[Manual /OutSale]],"Manual"))-(SUMIFS(MRet[[#All],[COD]],MRet[[#All],[DATE]],$A27,MRet[[#All],[Manual/ OutSale]],"Manual"))</f>
        <v>0</v>
      </c>
      <c r="U27" s="349">
        <v>0</v>
      </c>
      <c r="V27" s="363"/>
      <c r="W27" s="324">
        <f>(SUMIFS(msi[[#All],[CWT]],msi[[#All],[DATE]],$A27,msi[[#All],[Manual /OutSale]],"Manual"))-(SUMIFS(MRet[[#All],[CWT]],MRet[[#All],[DATE]],$A27,MRet[[#All],[Manual/ OutSale]],"Manual"))</f>
        <v>0</v>
      </c>
      <c r="X27" s="324">
        <f>(SUMIFS(msi[[#All],[CASH]],msi[[#All],[DATE]],$A27,msi[[#All],[Manual /OutSale]],"Manual"))-(SUMIFS(MRet[[#All],[CASH]],MRet[[#All],[DATE]],$A27,MRet[[#All],[Manual/ OutSale]],"Manual"))</f>
        <v>0</v>
      </c>
      <c r="Y27" s="369">
        <f t="shared" si="13"/>
        <v>0</v>
      </c>
      <c r="Z27" s="369">
        <f t="shared" si="14"/>
        <v>0</v>
      </c>
      <c r="AA27" s="371"/>
    </row>
    <row r="28" spans="1:27">
      <c r="A28" s="323">
        <f t="shared" si="15"/>
        <v>46316</v>
      </c>
      <c r="B28" s="324">
        <f>(SUMIFS(msi[[#All],[SP]],msi[[#All],[DATE]],$A28,msi[[#All],[Manual /OutSale]],"Manual"))-(SUMIFS(MRet[[#All],[SP]],MRet[[#All],[DATE]],$A28,MRet[[#All],[Manual/ OutSale]],"Manual"))</f>
        <v>0</v>
      </c>
      <c r="C28" s="324">
        <f>(SUMIFS(msi[[#All],[DISC. AMOUNT]],msi[[#All],[DATE]],$A28,msi[[#All],[Manual /OutSale]],"Manual"))-(SUMIFS(MRet[[#All],[DISC. AMOUNT]],MRet[[#All],[DATE]],$A28,MRet[[#All],[Manual/ OutSale]],"Manual"))</f>
        <v>0</v>
      </c>
      <c r="D28" s="325">
        <f t="shared" si="9"/>
        <v>0</v>
      </c>
      <c r="E28" s="324"/>
      <c r="F28" s="325">
        <f t="shared" si="10"/>
        <v>0</v>
      </c>
      <c r="G28" s="324"/>
      <c r="H28" s="326"/>
      <c r="I28" s="347">
        <f t="shared" si="11"/>
        <v>0</v>
      </c>
      <c r="J28" s="347">
        <f t="shared" si="12"/>
        <v>0</v>
      </c>
      <c r="K28" s="348"/>
      <c r="M28" s="324">
        <f>(SUMIFS(msi[[#All],[CHARGE]],msi[[#All],[DATE]],$A28,msi[[#All],[Manual /OutSale]],"Manual"))-(SUMIFS(MRet[[#All],[CHARGE]],MRet[[#All],[DATE]],$A28,MRet[[#All],[Manual/ OutSale]],"Manual"))</f>
        <v>0</v>
      </c>
      <c r="N28" s="324">
        <f>(SUMIFS(msi[[#All],[GC/  OTHERS]],msi[[#All],[DATE]],$A28,msi[[#All],[Manual /OutSale]],"Manual"))-(SUMIFS(MRet[[#All],[GC/  OTHERS]],MRet[[#All],[DATE]],$A28,MRet[[#All],[Manual/ OutSale]],"Manual"))</f>
        <v>0</v>
      </c>
      <c r="O28" s="349"/>
      <c r="P28" s="349"/>
      <c r="Q28" s="349"/>
      <c r="R28" s="363"/>
      <c r="S28" s="324">
        <f>(SUMIFS(msi[[#All],[Check]],msi[[#All],[DATE]],$A28,msi[[#All],[Manual /OutSale]],"Manual"))-(SUMIFS(MRet[[#All],[Check]],MRet[[#All],[DATE]],$A28,MRet[[#All],[Manual/ OutSale]],"Manual"))</f>
        <v>0</v>
      </c>
      <c r="T28" s="324">
        <f>(SUMIFS(msi[[#All],[COD]],msi[[#All],[DATE]],$A28,msi[[#All],[Manual /OutSale]],"Manual"))-(SUMIFS(MRet[[#All],[COD]],MRet[[#All],[DATE]],$A28,MRet[[#All],[Manual/ OutSale]],"Manual"))</f>
        <v>0</v>
      </c>
      <c r="U28" s="349">
        <v>0</v>
      </c>
      <c r="V28" s="363"/>
      <c r="W28" s="324">
        <f>(SUMIFS(msi[[#All],[CWT]],msi[[#All],[DATE]],$A28,msi[[#All],[Manual /OutSale]],"Manual"))-(SUMIFS(MRet[[#All],[CWT]],MRet[[#All],[DATE]],$A28,MRet[[#All],[Manual/ OutSale]],"Manual"))</f>
        <v>0</v>
      </c>
      <c r="X28" s="324">
        <f>(SUMIFS(msi[[#All],[CASH]],msi[[#All],[DATE]],$A28,msi[[#All],[Manual /OutSale]],"Manual"))-(SUMIFS(MRet[[#All],[CASH]],MRet[[#All],[DATE]],$A28,MRet[[#All],[Manual/ OutSale]],"Manual"))</f>
        <v>0</v>
      </c>
      <c r="Y28" s="369">
        <f t="shared" si="13"/>
        <v>0</v>
      </c>
      <c r="Z28" s="369">
        <f t="shared" si="14"/>
        <v>0</v>
      </c>
      <c r="AA28" s="371"/>
    </row>
    <row r="29" spans="1:27">
      <c r="A29" s="323">
        <f t="shared" si="15"/>
        <v>46317</v>
      </c>
      <c r="B29" s="324">
        <f>(SUMIFS(msi[[#All],[SP]],msi[[#All],[DATE]],$A29,msi[[#All],[Manual /OutSale]],"Manual"))-(SUMIFS(MRet[[#All],[SP]],MRet[[#All],[DATE]],$A29,MRet[[#All],[Manual/ OutSale]],"Manual"))</f>
        <v>0</v>
      </c>
      <c r="C29" s="324">
        <f>(SUMIFS(msi[[#All],[DISC. AMOUNT]],msi[[#All],[DATE]],$A29,msi[[#All],[Manual /OutSale]],"Manual"))-(SUMIFS(MRet[[#All],[DISC. AMOUNT]],MRet[[#All],[DATE]],$A29,MRet[[#All],[Manual/ OutSale]],"Manual"))</f>
        <v>0</v>
      </c>
      <c r="D29" s="325">
        <f t="shared" si="9"/>
        <v>0</v>
      </c>
      <c r="E29" s="324"/>
      <c r="F29" s="325">
        <f t="shared" si="10"/>
        <v>0</v>
      </c>
      <c r="G29" s="324"/>
      <c r="H29" s="326"/>
      <c r="I29" s="347">
        <f t="shared" si="11"/>
        <v>0</v>
      </c>
      <c r="J29" s="347">
        <f t="shared" si="12"/>
        <v>0</v>
      </c>
      <c r="K29" s="348"/>
      <c r="M29" s="324">
        <f>(SUMIFS(msi[[#All],[CHARGE]],msi[[#All],[DATE]],$A29,msi[[#All],[Manual /OutSale]],"Manual"))-(SUMIFS(MRet[[#All],[CHARGE]],MRet[[#All],[DATE]],$A29,MRet[[#All],[Manual/ OutSale]],"Manual"))</f>
        <v>0</v>
      </c>
      <c r="N29" s="324">
        <f>(SUMIFS(msi[[#All],[GC/  OTHERS]],msi[[#All],[DATE]],$A29,msi[[#All],[Manual /OutSale]],"Manual"))-(SUMIFS(MRet[[#All],[GC/  OTHERS]],MRet[[#All],[DATE]],$A29,MRet[[#All],[Manual/ OutSale]],"Manual"))</f>
        <v>0</v>
      </c>
      <c r="O29" s="349"/>
      <c r="P29" s="349"/>
      <c r="Q29" s="349"/>
      <c r="R29" s="363"/>
      <c r="S29" s="324">
        <f>(SUMIFS(msi[[#All],[Check]],msi[[#All],[DATE]],$A29,msi[[#All],[Manual /OutSale]],"Manual"))-(SUMIFS(MRet[[#All],[Check]],MRet[[#All],[DATE]],$A29,MRet[[#All],[Manual/ OutSale]],"Manual"))</f>
        <v>0</v>
      </c>
      <c r="T29" s="324">
        <f>(SUMIFS(msi[[#All],[COD]],msi[[#All],[DATE]],$A29,msi[[#All],[Manual /OutSale]],"Manual"))-(SUMIFS(MRet[[#All],[COD]],MRet[[#All],[DATE]],$A29,MRet[[#All],[Manual/ OutSale]],"Manual"))</f>
        <v>0</v>
      </c>
      <c r="U29" s="349">
        <v>0</v>
      </c>
      <c r="V29" s="363"/>
      <c r="W29" s="324">
        <f>(SUMIFS(msi[[#All],[CWT]],msi[[#All],[DATE]],$A29,msi[[#All],[Manual /OutSale]],"Manual"))-(SUMIFS(MRet[[#All],[CWT]],MRet[[#All],[DATE]],$A29,MRet[[#All],[Manual/ OutSale]],"Manual"))</f>
        <v>0</v>
      </c>
      <c r="X29" s="324">
        <f>(SUMIFS(msi[[#All],[CASH]],msi[[#All],[DATE]],$A29,msi[[#All],[Manual /OutSale]],"Manual"))-(SUMIFS(MRet[[#All],[CASH]],MRet[[#All],[DATE]],$A29,MRet[[#All],[Manual/ OutSale]],"Manual"))</f>
        <v>0</v>
      </c>
      <c r="Y29" s="369">
        <f t="shared" si="13"/>
        <v>0</v>
      </c>
      <c r="Z29" s="369">
        <f t="shared" si="14"/>
        <v>0</v>
      </c>
      <c r="AA29" s="371"/>
    </row>
    <row r="30" spans="1:27">
      <c r="A30" s="323">
        <f t="shared" si="15"/>
        <v>46318</v>
      </c>
      <c r="B30" s="324">
        <f>(SUMIFS(msi[[#All],[SP]],msi[[#All],[DATE]],$A30,msi[[#All],[Manual /OutSale]],"Manual"))-(SUMIFS(MRet[[#All],[SP]],MRet[[#All],[DATE]],$A30,MRet[[#All],[Manual/ OutSale]],"Manual"))</f>
        <v>0</v>
      </c>
      <c r="C30" s="324">
        <f>(SUMIFS(msi[[#All],[DISC. AMOUNT]],msi[[#All],[DATE]],$A30,msi[[#All],[Manual /OutSale]],"Manual"))-(SUMIFS(MRet[[#All],[DISC. AMOUNT]],MRet[[#All],[DATE]],$A30,MRet[[#All],[Manual/ OutSale]],"Manual"))</f>
        <v>0</v>
      </c>
      <c r="D30" s="325">
        <f t="shared" si="9"/>
        <v>0</v>
      </c>
      <c r="E30" s="324"/>
      <c r="F30" s="325">
        <f t="shared" si="10"/>
        <v>0</v>
      </c>
      <c r="G30" s="324"/>
      <c r="H30" s="326"/>
      <c r="I30" s="347">
        <f t="shared" si="11"/>
        <v>0</v>
      </c>
      <c r="J30" s="347">
        <f t="shared" si="12"/>
        <v>0</v>
      </c>
      <c r="K30" s="348"/>
      <c r="M30" s="324">
        <f>(SUMIFS(msi[[#All],[CHARGE]],msi[[#All],[DATE]],$A30,msi[[#All],[Manual /OutSale]],"Manual"))-(SUMIFS(MRet[[#All],[CHARGE]],MRet[[#All],[DATE]],$A30,MRet[[#All],[Manual/ OutSale]],"Manual"))</f>
        <v>0</v>
      </c>
      <c r="N30" s="324">
        <f>(SUMIFS(msi[[#All],[GC/  OTHERS]],msi[[#All],[DATE]],$A30,msi[[#All],[Manual /OutSale]],"Manual"))-(SUMIFS(MRet[[#All],[GC/  OTHERS]],MRet[[#All],[DATE]],$A30,MRet[[#All],[Manual/ OutSale]],"Manual"))</f>
        <v>0</v>
      </c>
      <c r="O30" s="349"/>
      <c r="P30" s="349"/>
      <c r="Q30" s="349"/>
      <c r="R30" s="363"/>
      <c r="S30" s="324">
        <f>(SUMIFS(msi[[#All],[Check]],msi[[#All],[DATE]],$A30,msi[[#All],[Manual /OutSale]],"Manual"))-(SUMIFS(MRet[[#All],[Check]],MRet[[#All],[DATE]],$A30,MRet[[#All],[Manual/ OutSale]],"Manual"))</f>
        <v>0</v>
      </c>
      <c r="T30" s="324">
        <f>(SUMIFS(msi[[#All],[COD]],msi[[#All],[DATE]],$A30,msi[[#All],[Manual /OutSale]],"Manual"))-(SUMIFS(MRet[[#All],[COD]],MRet[[#All],[DATE]],$A30,MRet[[#All],[Manual/ OutSale]],"Manual"))</f>
        <v>0</v>
      </c>
      <c r="U30" s="349">
        <v>0</v>
      </c>
      <c r="V30" s="363"/>
      <c r="W30" s="324">
        <f>(SUMIFS(msi[[#All],[CWT]],msi[[#All],[DATE]],$A30,msi[[#All],[Manual /OutSale]],"Manual"))-(SUMIFS(MRet[[#All],[CWT]],MRet[[#All],[DATE]],$A30,MRet[[#All],[Manual/ OutSale]],"Manual"))</f>
        <v>0</v>
      </c>
      <c r="X30" s="324">
        <f>(SUMIFS(msi[[#All],[CASH]],msi[[#All],[DATE]],$A30,msi[[#All],[Manual /OutSale]],"Manual"))-(SUMIFS(MRet[[#All],[CASH]],MRet[[#All],[DATE]],$A30,MRet[[#All],[Manual/ OutSale]],"Manual"))</f>
        <v>0</v>
      </c>
      <c r="Y30" s="369">
        <f t="shared" si="13"/>
        <v>0</v>
      </c>
      <c r="Z30" s="369">
        <f t="shared" si="14"/>
        <v>0</v>
      </c>
      <c r="AA30" s="371"/>
    </row>
    <row r="31" spans="1:27">
      <c r="A31" s="323">
        <f t="shared" si="15"/>
        <v>46319</v>
      </c>
      <c r="B31" s="324">
        <f>(SUMIFS(msi[[#All],[SP]],msi[[#All],[DATE]],$A31,msi[[#All],[Manual /OutSale]],"Manual"))-(SUMIFS(MRet[[#All],[SP]],MRet[[#All],[DATE]],$A31,MRet[[#All],[Manual/ OutSale]],"Manual"))</f>
        <v>0</v>
      </c>
      <c r="C31" s="324">
        <f>(SUMIFS(msi[[#All],[DISC. AMOUNT]],msi[[#All],[DATE]],$A31,msi[[#All],[Manual /OutSale]],"Manual"))-(SUMIFS(MRet[[#All],[DISC. AMOUNT]],MRet[[#All],[DATE]],$A31,MRet[[#All],[Manual/ OutSale]],"Manual"))</f>
        <v>0</v>
      </c>
      <c r="D31" s="325">
        <f t="shared" si="9"/>
        <v>0</v>
      </c>
      <c r="E31" s="324"/>
      <c r="F31" s="325">
        <f t="shared" si="10"/>
        <v>0</v>
      </c>
      <c r="G31" s="324"/>
      <c r="H31" s="326"/>
      <c r="I31" s="347">
        <f t="shared" si="11"/>
        <v>0</v>
      </c>
      <c r="J31" s="347">
        <f t="shared" si="12"/>
        <v>0</v>
      </c>
      <c r="K31" s="348"/>
      <c r="M31" s="324">
        <f>(SUMIFS(msi[[#All],[CHARGE]],msi[[#All],[DATE]],$A31,msi[[#All],[Manual /OutSale]],"Manual"))-(SUMIFS(MRet[[#All],[CHARGE]],MRet[[#All],[DATE]],$A31,MRet[[#All],[Manual/ OutSale]],"Manual"))</f>
        <v>0</v>
      </c>
      <c r="N31" s="324">
        <f>(SUMIFS(msi[[#All],[GC/  OTHERS]],msi[[#All],[DATE]],$A31,msi[[#All],[Manual /OutSale]],"Manual"))-(SUMIFS(MRet[[#All],[GC/  OTHERS]],MRet[[#All],[DATE]],$A31,MRet[[#All],[Manual/ OutSale]],"Manual"))</f>
        <v>0</v>
      </c>
      <c r="O31" s="349"/>
      <c r="P31" s="349"/>
      <c r="Q31" s="349"/>
      <c r="R31" s="363"/>
      <c r="S31" s="324">
        <f>(SUMIFS(msi[[#All],[Check]],msi[[#All],[DATE]],$A31,msi[[#All],[Manual /OutSale]],"Manual"))-(SUMIFS(MRet[[#All],[Check]],MRet[[#All],[DATE]],$A31,MRet[[#All],[Manual/ OutSale]],"Manual"))</f>
        <v>0</v>
      </c>
      <c r="T31" s="324">
        <f>(SUMIFS(msi[[#All],[COD]],msi[[#All],[DATE]],$A31,msi[[#All],[Manual /OutSale]],"Manual"))-(SUMIFS(MRet[[#All],[COD]],MRet[[#All],[DATE]],$A31,MRet[[#All],[Manual/ OutSale]],"Manual"))</f>
        <v>0</v>
      </c>
      <c r="U31" s="349">
        <v>0</v>
      </c>
      <c r="V31" s="363"/>
      <c r="W31" s="324">
        <f>(SUMIFS(msi[[#All],[CWT]],msi[[#All],[DATE]],$A31,msi[[#All],[Manual /OutSale]],"Manual"))-(SUMIFS(MRet[[#All],[CWT]],MRet[[#All],[DATE]],$A31,MRet[[#All],[Manual/ OutSale]],"Manual"))</f>
        <v>0</v>
      </c>
      <c r="X31" s="324">
        <f>(SUMIFS(msi[[#All],[CASH]],msi[[#All],[DATE]],$A31,msi[[#All],[Manual /OutSale]],"Manual"))-(SUMIFS(MRet[[#All],[CASH]],MRet[[#All],[DATE]],$A31,MRet[[#All],[Manual/ OutSale]],"Manual"))</f>
        <v>0</v>
      </c>
      <c r="Y31" s="369">
        <f t="shared" si="13"/>
        <v>0</v>
      </c>
      <c r="Z31" s="369">
        <f t="shared" si="14"/>
        <v>0</v>
      </c>
      <c r="AA31" s="371"/>
    </row>
    <row r="32" spans="1:27">
      <c r="A32" s="323">
        <f t="shared" si="15"/>
        <v>46320</v>
      </c>
      <c r="B32" s="324">
        <f>(SUMIFS(msi[[#All],[SP]],msi[[#All],[DATE]],$A32,msi[[#All],[Manual /OutSale]],"Manual"))-(SUMIFS(MRet[[#All],[SP]],MRet[[#All],[DATE]],$A32,MRet[[#All],[Manual/ OutSale]],"Manual"))</f>
        <v>0</v>
      </c>
      <c r="C32" s="324">
        <f>(SUMIFS(msi[[#All],[DISC. AMOUNT]],msi[[#All],[DATE]],$A32,msi[[#All],[Manual /OutSale]],"Manual"))-(SUMIFS(MRet[[#All],[DISC. AMOUNT]],MRet[[#All],[DATE]],$A32,MRet[[#All],[Manual/ OutSale]],"Manual"))</f>
        <v>0</v>
      </c>
      <c r="D32" s="325">
        <f t="shared" si="9"/>
        <v>0</v>
      </c>
      <c r="E32" s="324"/>
      <c r="F32" s="325">
        <f t="shared" si="10"/>
        <v>0</v>
      </c>
      <c r="G32" s="324"/>
      <c r="H32" s="326"/>
      <c r="I32" s="347">
        <f t="shared" si="11"/>
        <v>0</v>
      </c>
      <c r="J32" s="347">
        <f t="shared" si="12"/>
        <v>0</v>
      </c>
      <c r="K32" s="348"/>
      <c r="M32" s="324">
        <f>(SUMIFS(msi[[#All],[CHARGE]],msi[[#All],[DATE]],$A32,msi[[#All],[Manual /OutSale]],"Manual"))-(SUMIFS(MRet[[#All],[CHARGE]],MRet[[#All],[DATE]],$A32,MRet[[#All],[Manual/ OutSale]],"Manual"))</f>
        <v>0</v>
      </c>
      <c r="N32" s="324">
        <f>(SUMIFS(msi[[#All],[GC/  OTHERS]],msi[[#All],[DATE]],$A32,msi[[#All],[Manual /OutSale]],"Manual"))-(SUMIFS(MRet[[#All],[GC/  OTHERS]],MRet[[#All],[DATE]],$A32,MRet[[#All],[Manual/ OutSale]],"Manual"))</f>
        <v>0</v>
      </c>
      <c r="O32" s="349"/>
      <c r="P32" s="349"/>
      <c r="Q32" s="349"/>
      <c r="R32" s="363"/>
      <c r="S32" s="324">
        <f>(SUMIFS(msi[[#All],[Check]],msi[[#All],[DATE]],$A32,msi[[#All],[Manual /OutSale]],"Manual"))-(SUMIFS(MRet[[#All],[Check]],MRet[[#All],[DATE]],$A32,MRet[[#All],[Manual/ OutSale]],"Manual"))</f>
        <v>0</v>
      </c>
      <c r="T32" s="324">
        <f>(SUMIFS(msi[[#All],[COD]],msi[[#All],[DATE]],$A32,msi[[#All],[Manual /OutSale]],"Manual"))-(SUMIFS(MRet[[#All],[COD]],MRet[[#All],[DATE]],$A32,MRet[[#All],[Manual/ OutSale]],"Manual"))</f>
        <v>0</v>
      </c>
      <c r="U32" s="349">
        <v>0</v>
      </c>
      <c r="V32" s="363"/>
      <c r="W32" s="324">
        <f>(SUMIFS(msi[[#All],[CWT]],msi[[#All],[DATE]],$A32,msi[[#All],[Manual /OutSale]],"Manual"))-(SUMIFS(MRet[[#All],[CWT]],MRet[[#All],[DATE]],$A32,MRet[[#All],[Manual/ OutSale]],"Manual"))</f>
        <v>0</v>
      </c>
      <c r="X32" s="324">
        <f>(SUMIFS(msi[[#All],[CASH]],msi[[#All],[DATE]],$A32,msi[[#All],[Manual /OutSale]],"Manual"))-(SUMIFS(MRet[[#All],[CASH]],MRet[[#All],[DATE]],$A32,MRet[[#All],[Manual/ OutSale]],"Manual"))</f>
        <v>0</v>
      </c>
      <c r="Y32" s="369">
        <f t="shared" si="13"/>
        <v>0</v>
      </c>
      <c r="Z32" s="369">
        <f t="shared" si="14"/>
        <v>0</v>
      </c>
      <c r="AA32" s="371"/>
    </row>
    <row r="33" spans="1:27">
      <c r="A33" s="323">
        <f t="shared" si="15"/>
        <v>46321</v>
      </c>
      <c r="B33" s="324">
        <f>(SUMIFS(msi[[#All],[SP]],msi[[#All],[DATE]],$A33,msi[[#All],[Manual /OutSale]],"Manual"))-(SUMIFS(MRet[[#All],[SP]],MRet[[#All],[DATE]],$A33,MRet[[#All],[Manual/ OutSale]],"Manual"))</f>
        <v>0</v>
      </c>
      <c r="C33" s="324">
        <f>(SUMIFS(msi[[#All],[DISC. AMOUNT]],msi[[#All],[DATE]],$A33,msi[[#All],[Manual /OutSale]],"Manual"))-(SUMIFS(MRet[[#All],[DISC. AMOUNT]],MRet[[#All],[DATE]],$A33,MRet[[#All],[Manual/ OutSale]],"Manual"))</f>
        <v>0</v>
      </c>
      <c r="D33" s="325">
        <f t="shared" si="9"/>
        <v>0</v>
      </c>
      <c r="E33" s="324"/>
      <c r="F33" s="325">
        <f t="shared" si="10"/>
        <v>0</v>
      </c>
      <c r="G33" s="324"/>
      <c r="H33" s="326"/>
      <c r="I33" s="347">
        <f t="shared" si="11"/>
        <v>0</v>
      </c>
      <c r="J33" s="347">
        <f t="shared" si="12"/>
        <v>0</v>
      </c>
      <c r="K33" s="348"/>
      <c r="M33" s="324">
        <f>(SUMIFS(msi[[#All],[CHARGE]],msi[[#All],[DATE]],$A33,msi[[#All],[Manual /OutSale]],"Manual"))-(SUMIFS(MRet[[#All],[CHARGE]],MRet[[#All],[DATE]],$A33,MRet[[#All],[Manual/ OutSale]],"Manual"))</f>
        <v>0</v>
      </c>
      <c r="N33" s="324">
        <f>(SUMIFS(msi[[#All],[GC/  OTHERS]],msi[[#All],[DATE]],$A33,msi[[#All],[Manual /OutSale]],"Manual"))-(SUMIFS(MRet[[#All],[GC/  OTHERS]],MRet[[#All],[DATE]],$A33,MRet[[#All],[Manual/ OutSale]],"Manual"))</f>
        <v>0</v>
      </c>
      <c r="O33" s="349"/>
      <c r="P33" s="349"/>
      <c r="Q33" s="349"/>
      <c r="R33" s="363"/>
      <c r="S33" s="324">
        <f>(SUMIFS(msi[[#All],[Check]],msi[[#All],[DATE]],$A33,msi[[#All],[Manual /OutSale]],"Manual"))-(SUMIFS(MRet[[#All],[Check]],MRet[[#All],[DATE]],$A33,MRet[[#All],[Manual/ OutSale]],"Manual"))</f>
        <v>0</v>
      </c>
      <c r="T33" s="324">
        <f>(SUMIFS(msi[[#All],[COD]],msi[[#All],[DATE]],$A33,msi[[#All],[Manual /OutSale]],"Manual"))-(SUMIFS(MRet[[#All],[COD]],MRet[[#All],[DATE]],$A33,MRet[[#All],[Manual/ OutSale]],"Manual"))</f>
        <v>0</v>
      </c>
      <c r="U33" s="349">
        <v>0</v>
      </c>
      <c r="V33" s="363"/>
      <c r="W33" s="324">
        <f>(SUMIFS(msi[[#All],[CWT]],msi[[#All],[DATE]],$A33,msi[[#All],[Manual /OutSale]],"Manual"))-(SUMIFS(MRet[[#All],[CWT]],MRet[[#All],[DATE]],$A33,MRet[[#All],[Manual/ OutSale]],"Manual"))</f>
        <v>0</v>
      </c>
      <c r="X33" s="324">
        <f>(SUMIFS(msi[[#All],[CASH]],msi[[#All],[DATE]],$A33,msi[[#All],[Manual /OutSale]],"Manual"))-(SUMIFS(MRet[[#All],[CASH]],MRet[[#All],[DATE]],$A33,MRet[[#All],[Manual/ OutSale]],"Manual"))</f>
        <v>0</v>
      </c>
      <c r="Y33" s="369">
        <f t="shared" si="13"/>
        <v>0</v>
      </c>
      <c r="Z33" s="369">
        <f t="shared" si="14"/>
        <v>0</v>
      </c>
      <c r="AA33" s="371"/>
    </row>
    <row r="34" spans="1:27">
      <c r="A34" s="323">
        <f t="shared" si="15"/>
        <v>46322</v>
      </c>
      <c r="B34" s="324">
        <f>(SUMIFS(msi[[#All],[SP]],msi[[#All],[DATE]],$A34,msi[[#All],[Manual /OutSale]],"Manual"))-(SUMIFS(MRet[[#All],[SP]],MRet[[#All],[DATE]],$A34,MRet[[#All],[Manual/ OutSale]],"Manual"))</f>
        <v>0</v>
      </c>
      <c r="C34" s="324">
        <f>(SUMIFS(msi[[#All],[DISC. AMOUNT]],msi[[#All],[DATE]],$A34,msi[[#All],[Manual /OutSale]],"Manual"))-(SUMIFS(MRet[[#All],[DISC. AMOUNT]],MRet[[#All],[DATE]],$A34,MRet[[#All],[Manual/ OutSale]],"Manual"))</f>
        <v>0</v>
      </c>
      <c r="D34" s="325">
        <f t="shared" si="9"/>
        <v>0</v>
      </c>
      <c r="E34" s="324"/>
      <c r="F34" s="325">
        <f t="shared" si="10"/>
        <v>0</v>
      </c>
      <c r="G34" s="324"/>
      <c r="H34" s="326"/>
      <c r="I34" s="347">
        <f t="shared" si="11"/>
        <v>0</v>
      </c>
      <c r="J34" s="347">
        <f t="shared" si="12"/>
        <v>0</v>
      </c>
      <c r="K34" s="348"/>
      <c r="M34" s="324">
        <f>(SUMIFS(msi[[#All],[CHARGE]],msi[[#All],[DATE]],$A34,msi[[#All],[Manual /OutSale]],"Manual"))-(SUMIFS(MRet[[#All],[CHARGE]],MRet[[#All],[DATE]],$A34,MRet[[#All],[Manual/ OutSale]],"Manual"))</f>
        <v>0</v>
      </c>
      <c r="N34" s="324">
        <f>(SUMIFS(msi[[#All],[GC/  OTHERS]],msi[[#All],[DATE]],$A34,msi[[#All],[Manual /OutSale]],"Manual"))-(SUMIFS(MRet[[#All],[GC/  OTHERS]],MRet[[#All],[DATE]],$A34,MRet[[#All],[Manual/ OutSale]],"Manual"))</f>
        <v>0</v>
      </c>
      <c r="O34" s="349"/>
      <c r="P34" s="349"/>
      <c r="Q34" s="349"/>
      <c r="R34" s="363"/>
      <c r="S34" s="324">
        <f>(SUMIFS(msi[[#All],[Check]],msi[[#All],[DATE]],$A34,msi[[#All],[Manual /OutSale]],"Manual"))-(SUMIFS(MRet[[#All],[Check]],MRet[[#All],[DATE]],$A34,MRet[[#All],[Manual/ OutSale]],"Manual"))</f>
        <v>0</v>
      </c>
      <c r="T34" s="324">
        <f>(SUMIFS(msi[[#All],[COD]],msi[[#All],[DATE]],$A34,msi[[#All],[Manual /OutSale]],"Manual"))-(SUMIFS(MRet[[#All],[COD]],MRet[[#All],[DATE]],$A34,MRet[[#All],[Manual/ OutSale]],"Manual"))</f>
        <v>0</v>
      </c>
      <c r="U34" s="349">
        <v>0</v>
      </c>
      <c r="V34" s="363"/>
      <c r="W34" s="324">
        <f>(SUMIFS(msi[[#All],[CWT]],msi[[#All],[DATE]],$A34,msi[[#All],[Manual /OutSale]],"Manual"))-(SUMIFS(MRet[[#All],[CWT]],MRet[[#All],[DATE]],$A34,MRet[[#All],[Manual/ OutSale]],"Manual"))</f>
        <v>0</v>
      </c>
      <c r="X34" s="324">
        <f>(SUMIFS(msi[[#All],[CASH]],msi[[#All],[DATE]],$A34,msi[[#All],[Manual /OutSale]],"Manual"))-(SUMIFS(MRet[[#All],[CASH]],MRet[[#All],[DATE]],$A34,MRet[[#All],[Manual/ OutSale]],"Manual"))</f>
        <v>0</v>
      </c>
      <c r="Y34" s="369">
        <f t="shared" si="13"/>
        <v>0</v>
      </c>
      <c r="Z34" s="369">
        <f t="shared" si="14"/>
        <v>0</v>
      </c>
      <c r="AA34" s="371"/>
    </row>
    <row r="35" spans="1:27">
      <c r="A35" s="323">
        <f t="shared" si="15"/>
        <v>46323</v>
      </c>
      <c r="B35" s="324">
        <f>(SUMIFS(msi[[#All],[SP]],msi[[#All],[DATE]],$A35,msi[[#All],[Manual /OutSale]],"Manual"))-(SUMIFS(MRet[[#All],[SP]],MRet[[#All],[DATE]],$A35,MRet[[#All],[Manual/ OutSale]],"Manual"))</f>
        <v>0</v>
      </c>
      <c r="C35" s="324">
        <f>(SUMIFS(msi[[#All],[DISC. AMOUNT]],msi[[#All],[DATE]],$A35,msi[[#All],[Manual /OutSale]],"Manual"))-(SUMIFS(MRet[[#All],[DISC. AMOUNT]],MRet[[#All],[DATE]],$A35,MRet[[#All],[Manual/ OutSale]],"Manual"))</f>
        <v>0</v>
      </c>
      <c r="D35" s="325">
        <f t="shared" si="9"/>
        <v>0</v>
      </c>
      <c r="E35" s="324"/>
      <c r="F35" s="325">
        <f t="shared" si="10"/>
        <v>0</v>
      </c>
      <c r="G35" s="324"/>
      <c r="H35" s="326"/>
      <c r="I35" s="347">
        <f t="shared" si="11"/>
        <v>0</v>
      </c>
      <c r="J35" s="347">
        <f t="shared" si="12"/>
        <v>0</v>
      </c>
      <c r="K35" s="348"/>
      <c r="M35" s="324">
        <f>(SUMIFS(msi[[#All],[CHARGE]],msi[[#All],[DATE]],$A35,msi[[#All],[Manual /OutSale]],"Manual"))-(SUMIFS(MRet[[#All],[CHARGE]],MRet[[#All],[DATE]],$A35,MRet[[#All],[Manual/ OutSale]],"Manual"))</f>
        <v>0</v>
      </c>
      <c r="N35" s="324">
        <f>(SUMIFS(msi[[#All],[GC/  OTHERS]],msi[[#All],[DATE]],$A35,msi[[#All],[Manual /OutSale]],"Manual"))-(SUMIFS(MRet[[#All],[GC/  OTHERS]],MRet[[#All],[DATE]],$A35,MRet[[#All],[Manual/ OutSale]],"Manual"))</f>
        <v>0</v>
      </c>
      <c r="O35" s="349"/>
      <c r="P35" s="349"/>
      <c r="Q35" s="349"/>
      <c r="R35" s="363"/>
      <c r="S35" s="324">
        <f>(SUMIFS(msi[[#All],[Check]],msi[[#All],[DATE]],$A35,msi[[#All],[Manual /OutSale]],"Manual"))-(SUMIFS(MRet[[#All],[Check]],MRet[[#All],[DATE]],$A35,MRet[[#All],[Manual/ OutSale]],"Manual"))</f>
        <v>0</v>
      </c>
      <c r="T35" s="324">
        <f>(SUMIFS(msi[[#All],[COD]],msi[[#All],[DATE]],$A35,msi[[#All],[Manual /OutSale]],"Manual"))-(SUMIFS(MRet[[#All],[COD]],MRet[[#All],[DATE]],$A35,MRet[[#All],[Manual/ OutSale]],"Manual"))</f>
        <v>0</v>
      </c>
      <c r="U35" s="349">
        <v>0</v>
      </c>
      <c r="V35" s="363"/>
      <c r="W35" s="324">
        <f>(SUMIFS(msi[[#All],[CWT]],msi[[#All],[DATE]],$A35,msi[[#All],[Manual /OutSale]],"Manual"))-(SUMIFS(MRet[[#All],[CWT]],MRet[[#All],[DATE]],$A35,MRet[[#All],[Manual/ OutSale]],"Manual"))</f>
        <v>0</v>
      </c>
      <c r="X35" s="324">
        <f>(SUMIFS(msi[[#All],[CASH]],msi[[#All],[DATE]],$A35,msi[[#All],[Manual /OutSale]],"Manual"))-(SUMIFS(MRet[[#All],[CASH]],MRet[[#All],[DATE]],$A35,MRet[[#All],[Manual/ OutSale]],"Manual"))</f>
        <v>0</v>
      </c>
      <c r="Y35" s="369">
        <f t="shared" si="13"/>
        <v>0</v>
      </c>
      <c r="Z35" s="369">
        <f t="shared" si="14"/>
        <v>0</v>
      </c>
      <c r="AA35" s="371"/>
    </row>
    <row r="36" spans="1:27">
      <c r="A36" s="323">
        <f t="shared" si="15"/>
        <v>46324</v>
      </c>
      <c r="B36" s="324">
        <f>(SUMIFS(msi[[#All],[SP]],msi[[#All],[DATE]],$A36,msi[[#All],[Manual /OutSale]],"Manual"))-(SUMIFS(MRet[[#All],[SP]],MRet[[#All],[DATE]],$A36,MRet[[#All],[Manual/ OutSale]],"Manual"))</f>
        <v>0</v>
      </c>
      <c r="C36" s="324">
        <f>(SUMIFS(msi[[#All],[DISC. AMOUNT]],msi[[#All],[DATE]],$A36,msi[[#All],[Manual /OutSale]],"Manual"))-(SUMIFS(MRet[[#All],[DISC. AMOUNT]],MRet[[#All],[DATE]],$A36,MRet[[#All],[Manual/ OutSale]],"Manual"))</f>
        <v>0</v>
      </c>
      <c r="D36" s="325">
        <f t="shared" si="9"/>
        <v>0</v>
      </c>
      <c r="E36" s="324"/>
      <c r="F36" s="325">
        <f t="shared" si="10"/>
        <v>0</v>
      </c>
      <c r="G36" s="324"/>
      <c r="H36" s="326"/>
      <c r="I36" s="347">
        <f t="shared" si="11"/>
        <v>0</v>
      </c>
      <c r="J36" s="347">
        <f t="shared" si="12"/>
        <v>0</v>
      </c>
      <c r="K36" s="348"/>
      <c r="M36" s="324">
        <f>(SUMIFS(msi[[#All],[CHARGE]],msi[[#All],[DATE]],$A36,msi[[#All],[Manual /OutSale]],"Manual"))-(SUMIFS(MRet[[#All],[CHARGE]],MRet[[#All],[DATE]],$A36,MRet[[#All],[Manual/ OutSale]],"Manual"))</f>
        <v>0</v>
      </c>
      <c r="N36" s="324">
        <f>(SUMIFS(msi[[#All],[GC/  OTHERS]],msi[[#All],[DATE]],$A36,msi[[#All],[Manual /OutSale]],"Manual"))-(SUMIFS(MRet[[#All],[GC/  OTHERS]],MRet[[#All],[DATE]],$A36,MRet[[#All],[Manual/ OutSale]],"Manual"))</f>
        <v>0</v>
      </c>
      <c r="O36" s="349"/>
      <c r="P36" s="349"/>
      <c r="Q36" s="349"/>
      <c r="R36" s="363"/>
      <c r="S36" s="324">
        <f>(SUMIFS(msi[[#All],[Check]],msi[[#All],[DATE]],$A36,msi[[#All],[Manual /OutSale]],"Manual"))-(SUMIFS(MRet[[#All],[Check]],MRet[[#All],[DATE]],$A36,MRet[[#All],[Manual/ OutSale]],"Manual"))</f>
        <v>0</v>
      </c>
      <c r="T36" s="324">
        <f>(SUMIFS(msi[[#All],[COD]],msi[[#All],[DATE]],$A36,msi[[#All],[Manual /OutSale]],"Manual"))-(SUMIFS(MRet[[#All],[COD]],MRet[[#All],[DATE]],$A36,MRet[[#All],[Manual/ OutSale]],"Manual"))</f>
        <v>0</v>
      </c>
      <c r="U36" s="349">
        <v>0</v>
      </c>
      <c r="V36" s="363"/>
      <c r="W36" s="324">
        <f>(SUMIFS(msi[[#All],[CWT]],msi[[#All],[DATE]],$A36,msi[[#All],[Manual /OutSale]],"Manual"))-(SUMIFS(MRet[[#All],[CWT]],MRet[[#All],[DATE]],$A36,MRet[[#All],[Manual/ OutSale]],"Manual"))</f>
        <v>0</v>
      </c>
      <c r="X36" s="324">
        <f>(SUMIFS(msi[[#All],[CASH]],msi[[#All],[DATE]],$A36,msi[[#All],[Manual /OutSale]],"Manual"))-(SUMIFS(MRet[[#All],[CASH]],MRet[[#All],[DATE]],$A36,MRet[[#All],[Manual/ OutSale]],"Manual"))</f>
        <v>0</v>
      </c>
      <c r="Y36" s="369">
        <f t="shared" si="13"/>
        <v>0</v>
      </c>
      <c r="Z36" s="369">
        <f t="shared" si="14"/>
        <v>0</v>
      </c>
      <c r="AA36" s="371"/>
    </row>
    <row r="37" spans="1:27">
      <c r="A37" s="323">
        <f t="shared" si="15"/>
        <v>46325</v>
      </c>
      <c r="B37" s="324">
        <f>(SUMIFS(msi[[#All],[SP]],msi[[#All],[DATE]],$A37,msi[[#All],[Manual /OutSale]],"Manual"))-(SUMIFS(MRet[[#All],[SP]],MRet[[#All],[DATE]],$A37,MRet[[#All],[Manual/ OutSale]],"Manual"))</f>
        <v>0</v>
      </c>
      <c r="C37" s="324">
        <f>(SUMIFS(msi[[#All],[DISC. AMOUNT]],msi[[#All],[DATE]],$A37,msi[[#All],[Manual /OutSale]],"Manual"))-(SUMIFS(MRet[[#All],[DISC. AMOUNT]],MRet[[#All],[DATE]],$A37,MRet[[#All],[Manual/ OutSale]],"Manual"))</f>
        <v>0</v>
      </c>
      <c r="D37" s="325">
        <f t="shared" si="9"/>
        <v>0</v>
      </c>
      <c r="E37" s="324"/>
      <c r="F37" s="325">
        <f t="shared" si="10"/>
        <v>0</v>
      </c>
      <c r="G37" s="324"/>
      <c r="H37" s="326"/>
      <c r="I37" s="347">
        <f t="shared" si="11"/>
        <v>0</v>
      </c>
      <c r="J37" s="347">
        <f t="shared" si="12"/>
        <v>0</v>
      </c>
      <c r="K37" s="348"/>
      <c r="M37" s="324">
        <f>(SUMIFS(msi[[#All],[CHARGE]],msi[[#All],[DATE]],$A37,msi[[#All],[Manual /OutSale]],"Manual"))-(SUMIFS(MRet[[#All],[CHARGE]],MRet[[#All],[DATE]],$A37,MRet[[#All],[Manual/ OutSale]],"Manual"))</f>
        <v>0</v>
      </c>
      <c r="N37" s="324">
        <f>(SUMIFS(msi[[#All],[GC/  OTHERS]],msi[[#All],[DATE]],$A37,msi[[#All],[Manual /OutSale]],"Manual"))-(SUMIFS(MRet[[#All],[GC/  OTHERS]],MRet[[#All],[DATE]],$A37,MRet[[#All],[Manual/ OutSale]],"Manual"))</f>
        <v>0</v>
      </c>
      <c r="O37" s="349"/>
      <c r="P37" s="349"/>
      <c r="Q37" s="349"/>
      <c r="R37" s="363"/>
      <c r="S37" s="324">
        <f>(SUMIFS(msi[[#All],[Check]],msi[[#All],[DATE]],$A37,msi[[#All],[Manual /OutSale]],"Manual"))-(SUMIFS(MRet[[#All],[Check]],MRet[[#All],[DATE]],$A37,MRet[[#All],[Manual/ OutSale]],"Manual"))</f>
        <v>0</v>
      </c>
      <c r="T37" s="324">
        <f>(SUMIFS(msi[[#All],[COD]],msi[[#All],[DATE]],$A37,msi[[#All],[Manual /OutSale]],"Manual"))-(SUMIFS(MRet[[#All],[COD]],MRet[[#All],[DATE]],$A37,MRet[[#All],[Manual/ OutSale]],"Manual"))</f>
        <v>0</v>
      </c>
      <c r="U37" s="349">
        <v>0</v>
      </c>
      <c r="V37" s="363"/>
      <c r="W37" s="324">
        <f>(SUMIFS(msi[[#All],[CWT]],msi[[#All],[DATE]],$A37,msi[[#All],[Manual /OutSale]],"Manual"))-(SUMIFS(MRet[[#All],[CWT]],MRet[[#All],[DATE]],$A37,MRet[[#All],[Manual/ OutSale]],"Manual"))</f>
        <v>0</v>
      </c>
      <c r="X37" s="324">
        <f>(SUMIFS(msi[[#All],[CASH]],msi[[#All],[DATE]],$A37,msi[[#All],[Manual /OutSale]],"Manual"))-(SUMIFS(MRet[[#All],[CASH]],MRet[[#All],[DATE]],$A37,MRet[[#All],[Manual/ OutSale]],"Manual"))</f>
        <v>0</v>
      </c>
      <c r="Y37" s="369">
        <f t="shared" si="13"/>
        <v>0</v>
      </c>
      <c r="Z37" s="369">
        <f t="shared" si="14"/>
        <v>0</v>
      </c>
      <c r="AA37" s="371"/>
    </row>
    <row r="38" spans="1:27">
      <c r="A38" s="323">
        <f t="shared" si="15"/>
        <v>46326</v>
      </c>
      <c r="B38" s="324">
        <f>(SUMIFS(msi[[#All],[SP]],msi[[#All],[DATE]],$A38,msi[[#All],[Manual /OutSale]],"Manual"))-(SUMIFS(MRet[[#All],[SP]],MRet[[#All],[DATE]],$A38,MRet[[#All],[Manual/ OutSale]],"Manual"))</f>
        <v>0</v>
      </c>
      <c r="C38" s="324">
        <f>(SUMIFS(msi[[#All],[DISC. AMOUNT]],msi[[#All],[DATE]],$A38,msi[[#All],[Manual /OutSale]],"Manual"))-(SUMIFS(MRet[[#All],[DISC. AMOUNT]],MRet[[#All],[DATE]],$A38,MRet[[#All],[Manual/ OutSale]],"Manual"))</f>
        <v>0</v>
      </c>
      <c r="D38" s="325">
        <f t="shared" si="9"/>
        <v>0</v>
      </c>
      <c r="E38" s="324"/>
      <c r="F38" s="325">
        <f t="shared" si="10"/>
        <v>0</v>
      </c>
      <c r="G38" s="324"/>
      <c r="H38" s="326"/>
      <c r="I38" s="347">
        <f t="shared" si="11"/>
        <v>0</v>
      </c>
      <c r="J38" s="347">
        <f t="shared" si="12"/>
        <v>0</v>
      </c>
      <c r="K38" s="348"/>
      <c r="M38" s="324">
        <f>(SUMIFS(msi[[#All],[CHARGE]],msi[[#All],[DATE]],$A38,msi[[#All],[Manual /OutSale]],"Manual"))-(SUMIFS(MRet[[#All],[CHARGE]],MRet[[#All],[DATE]],$A38,MRet[[#All],[Manual/ OutSale]],"Manual"))</f>
        <v>0</v>
      </c>
      <c r="N38" s="324">
        <f>(SUMIFS(msi[[#All],[GC/  OTHERS]],msi[[#All],[DATE]],$A38,msi[[#All],[Manual /OutSale]],"Manual"))-(SUMIFS(MRet[[#All],[GC/  OTHERS]],MRet[[#All],[DATE]],$A38,MRet[[#All],[Manual/ OutSale]],"Manual"))</f>
        <v>0</v>
      </c>
      <c r="O38" s="349"/>
      <c r="P38" s="349"/>
      <c r="Q38" s="349"/>
      <c r="R38" s="363"/>
      <c r="S38" s="324">
        <f>(SUMIFS(msi[[#All],[Check]],msi[[#All],[DATE]],$A38,msi[[#All],[Manual /OutSale]],"Manual"))-(SUMIFS(MRet[[#All],[Check]],MRet[[#All],[DATE]],$A38,MRet[[#All],[Manual/ OutSale]],"Manual"))</f>
        <v>0</v>
      </c>
      <c r="T38" s="324">
        <f>(SUMIFS(msi[[#All],[COD]],msi[[#All],[DATE]],$A38,msi[[#All],[Manual /OutSale]],"Manual"))-(SUMIFS(MRet[[#All],[COD]],MRet[[#All],[DATE]],$A38,MRet[[#All],[Manual/ OutSale]],"Manual"))</f>
        <v>0</v>
      </c>
      <c r="U38" s="349">
        <v>0</v>
      </c>
      <c r="V38" s="363"/>
      <c r="W38" s="324">
        <f>(SUMIFS(msi[[#All],[CWT]],msi[[#All],[DATE]],$A38,msi[[#All],[Manual /OutSale]],"Manual"))-(SUMIFS(MRet[[#All],[CWT]],MRet[[#All],[DATE]],$A38,MRet[[#All],[Manual/ OutSale]],"Manual"))</f>
        <v>0</v>
      </c>
      <c r="X38" s="324">
        <f>(SUMIFS(msi[[#All],[CASH]],msi[[#All],[DATE]],$A38,msi[[#All],[Manual /OutSale]],"Manual"))-(SUMIFS(MRet[[#All],[CASH]],MRet[[#All],[DATE]],$A38,MRet[[#All],[Manual/ OutSale]],"Manual"))</f>
        <v>0</v>
      </c>
      <c r="Y38" s="369">
        <f t="shared" si="13"/>
        <v>0</v>
      </c>
      <c r="Z38" s="369">
        <f t="shared" si="14"/>
        <v>0</v>
      </c>
      <c r="AA38" s="307"/>
    </row>
    <row r="39" spans="1:27">
      <c r="A39" s="332"/>
      <c r="B39" s="333">
        <f>SUM(B23:B38)</f>
        <v>0</v>
      </c>
      <c r="C39" s="333">
        <f t="shared" ref="C39:K39" si="16">SUM(C23:C38)</f>
        <v>0</v>
      </c>
      <c r="D39" s="333">
        <f t="shared" si="16"/>
        <v>0</v>
      </c>
      <c r="E39" s="333">
        <f t="shared" si="16"/>
        <v>0</v>
      </c>
      <c r="F39" s="333">
        <f t="shared" si="16"/>
        <v>0</v>
      </c>
      <c r="G39" s="333">
        <f t="shared" si="16"/>
        <v>0</v>
      </c>
      <c r="H39" s="333">
        <f t="shared" si="16"/>
        <v>0</v>
      </c>
      <c r="I39" s="333">
        <f t="shared" si="16"/>
        <v>0</v>
      </c>
      <c r="J39" s="333">
        <f t="shared" si="16"/>
        <v>0</v>
      </c>
      <c r="K39" s="375">
        <f t="shared" si="16"/>
        <v>0</v>
      </c>
      <c r="M39" s="356">
        <f t="shared" ref="M39:Z39" si="17">SUM(M23:M38)</f>
        <v>0</v>
      </c>
      <c r="N39" s="356">
        <f t="shared" si="17"/>
        <v>0</v>
      </c>
      <c r="O39" s="356">
        <f t="shared" si="17"/>
        <v>0</v>
      </c>
      <c r="P39" s="356">
        <f t="shared" si="17"/>
        <v>0</v>
      </c>
      <c r="Q39" s="356">
        <f t="shared" si="17"/>
        <v>0</v>
      </c>
      <c r="R39" s="356">
        <f t="shared" si="17"/>
        <v>0</v>
      </c>
      <c r="S39" s="356">
        <f t="shared" si="17"/>
        <v>0</v>
      </c>
      <c r="T39" s="356">
        <f t="shared" si="17"/>
        <v>0</v>
      </c>
      <c r="U39" s="356">
        <f t="shared" si="17"/>
        <v>0</v>
      </c>
      <c r="V39" s="356">
        <f t="shared" si="17"/>
        <v>0</v>
      </c>
      <c r="W39" s="356">
        <f t="shared" si="17"/>
        <v>0</v>
      </c>
      <c r="X39" s="333">
        <f t="shared" si="17"/>
        <v>0</v>
      </c>
      <c r="Y39" s="372">
        <f t="shared" si="17"/>
        <v>0</v>
      </c>
      <c r="Z39" s="333">
        <f t="shared" si="17"/>
        <v>0</v>
      </c>
      <c r="AA39" s="307"/>
    </row>
    <row r="40" spans="1:27">
      <c r="A40" s="323"/>
      <c r="B40" s="334"/>
      <c r="C40" s="334"/>
      <c r="D40" s="334"/>
      <c r="E40" s="331"/>
      <c r="F40" s="325"/>
      <c r="G40" s="334"/>
      <c r="H40" s="335"/>
      <c r="I40" s="334"/>
      <c r="J40" s="331"/>
      <c r="K40" s="376"/>
      <c r="M40" s="341"/>
      <c r="N40" s="341"/>
      <c r="O40" s="341"/>
      <c r="P40" s="341"/>
      <c r="Q40" s="341"/>
      <c r="R40" s="341"/>
      <c r="S40" s="341"/>
      <c r="T40" s="341"/>
      <c r="U40" s="341"/>
      <c r="V40" s="341"/>
      <c r="W40" s="341"/>
      <c r="X40" s="341"/>
      <c r="Y40" s="307"/>
      <c r="Z40" s="307"/>
      <c r="AA40" s="307"/>
    </row>
    <row r="41" spans="1:27" s="308" customFormat="1">
      <c r="A41" s="336"/>
      <c r="B41" s="337">
        <f>+B21+B39</f>
        <v>0</v>
      </c>
      <c r="C41" s="337">
        <f t="shared" ref="C41:K41" si="18">+C21+C39</f>
        <v>0</v>
      </c>
      <c r="D41" s="337">
        <f t="shared" si="18"/>
        <v>0</v>
      </c>
      <c r="E41" s="337">
        <f t="shared" si="18"/>
        <v>0</v>
      </c>
      <c r="F41" s="337">
        <f t="shared" si="18"/>
        <v>0</v>
      </c>
      <c r="G41" s="337">
        <f t="shared" si="18"/>
        <v>0</v>
      </c>
      <c r="H41" s="338">
        <f t="shared" si="18"/>
        <v>0</v>
      </c>
      <c r="I41" s="358">
        <f t="shared" si="18"/>
        <v>0</v>
      </c>
      <c r="J41" s="358">
        <f t="shared" si="18"/>
        <v>0</v>
      </c>
      <c r="K41" s="377">
        <f t="shared" si="18"/>
        <v>0</v>
      </c>
      <c r="M41" s="360">
        <f t="shared" ref="M41:Z41" si="19">+M21+M39</f>
        <v>0</v>
      </c>
      <c r="N41" s="360">
        <f t="shared" si="19"/>
        <v>0</v>
      </c>
      <c r="O41" s="360">
        <f t="shared" si="19"/>
        <v>0</v>
      </c>
      <c r="P41" s="360">
        <f t="shared" si="19"/>
        <v>0</v>
      </c>
      <c r="Q41" s="360">
        <f t="shared" si="19"/>
        <v>0</v>
      </c>
      <c r="R41" s="360">
        <f t="shared" si="19"/>
        <v>0</v>
      </c>
      <c r="S41" s="360">
        <f t="shared" si="19"/>
        <v>0</v>
      </c>
      <c r="T41" s="360">
        <f t="shared" si="19"/>
        <v>0</v>
      </c>
      <c r="U41" s="360">
        <f t="shared" si="19"/>
        <v>0</v>
      </c>
      <c r="V41" s="360">
        <f t="shared" si="19"/>
        <v>0</v>
      </c>
      <c r="W41" s="360">
        <f t="shared" si="19"/>
        <v>0</v>
      </c>
      <c r="X41" s="365">
        <f t="shared" si="19"/>
        <v>0</v>
      </c>
      <c r="Y41" s="365">
        <f t="shared" si="19"/>
        <v>0</v>
      </c>
      <c r="Z41" s="365">
        <f t="shared" si="19"/>
        <v>0</v>
      </c>
    </row>
    <row r="42" spans="1:27">
      <c r="A42" s="339"/>
      <c r="I42" s="309"/>
      <c r="J42" s="309"/>
      <c r="K42" s="309"/>
      <c r="M42" s="341"/>
      <c r="N42" s="341"/>
      <c r="O42" s="341"/>
      <c r="P42" s="341"/>
      <c r="Q42" s="341"/>
      <c r="R42" s="341"/>
      <c r="S42" s="341"/>
      <c r="T42" s="341"/>
      <c r="U42" s="341"/>
      <c r="V42" s="341"/>
      <c r="W42" s="341"/>
      <c r="X42" s="341"/>
      <c r="Y42" s="307"/>
      <c r="Z42" s="307"/>
      <c r="AA42" s="307"/>
    </row>
    <row r="43" spans="1:27">
      <c r="A43" s="339"/>
      <c r="I43" s="309"/>
      <c r="J43" s="307"/>
      <c r="M43" s="341"/>
      <c r="N43" s="361"/>
      <c r="O43" s="341"/>
      <c r="P43" s="341"/>
      <c r="Q43" s="341"/>
      <c r="R43" s="341"/>
      <c r="S43" s="341"/>
      <c r="T43" s="341"/>
      <c r="U43" s="341"/>
      <c r="V43" s="341"/>
      <c r="W43" s="341"/>
      <c r="X43" s="341"/>
      <c r="Y43" s="307"/>
      <c r="Z43" s="307"/>
      <c r="AA43" s="307"/>
    </row>
    <row r="44" spans="1:27">
      <c r="A44" s="339"/>
      <c r="I44" s="309"/>
      <c r="J44" s="307"/>
      <c r="M44" s="341"/>
      <c r="N44" s="361"/>
      <c r="O44" s="341"/>
      <c r="P44" s="341"/>
      <c r="Q44" s="341"/>
      <c r="R44" s="341"/>
      <c r="S44" s="341"/>
      <c r="T44" s="341"/>
      <c r="U44" s="341"/>
      <c r="V44" s="341"/>
      <c r="W44" s="341"/>
      <c r="X44" s="341"/>
      <c r="Y44" s="307"/>
      <c r="Z44" s="307"/>
      <c r="AA44" s="307"/>
    </row>
    <row r="45" spans="1:27">
      <c r="A45" s="339"/>
      <c r="I45" s="309"/>
      <c r="J45" s="309"/>
      <c r="K45" s="309"/>
      <c r="M45" s="341"/>
      <c r="N45" s="341"/>
      <c r="O45" s="341"/>
      <c r="P45" s="341"/>
      <c r="Q45" s="341"/>
      <c r="R45" s="341"/>
      <c r="S45" s="341"/>
      <c r="T45" s="341"/>
      <c r="U45" s="341"/>
      <c r="V45" s="341"/>
      <c r="W45" s="341"/>
      <c r="X45" s="341"/>
      <c r="Y45" s="307"/>
      <c r="Z45" s="366"/>
      <c r="AA45" s="366"/>
    </row>
    <row r="46" spans="1:27">
      <c r="A46" s="339"/>
      <c r="I46" s="309"/>
      <c r="J46" s="309"/>
      <c r="K46" s="309"/>
      <c r="M46" s="341"/>
      <c r="N46" s="341"/>
      <c r="O46" s="341"/>
      <c r="P46" s="341"/>
      <c r="Q46" s="341"/>
      <c r="R46" s="341"/>
      <c r="S46" s="341"/>
      <c r="T46" s="341"/>
      <c r="U46" s="341"/>
      <c r="V46" s="341"/>
      <c r="W46" s="341"/>
      <c r="X46" s="341"/>
      <c r="Y46" s="307"/>
      <c r="Z46" s="366"/>
      <c r="AA46" s="366"/>
    </row>
    <row r="47" spans="1:27">
      <c r="A47" s="339"/>
      <c r="I47" s="309"/>
      <c r="J47" s="309"/>
      <c r="K47" s="309"/>
      <c r="M47" s="341"/>
      <c r="N47" s="341"/>
      <c r="O47" s="341"/>
      <c r="P47" s="341"/>
      <c r="Q47" s="341"/>
      <c r="R47" s="341"/>
      <c r="S47" s="341"/>
      <c r="T47" s="341"/>
      <c r="U47" s="341"/>
      <c r="V47" s="341"/>
      <c r="W47" s="341"/>
      <c r="X47" s="341"/>
      <c r="Y47" s="307"/>
      <c r="Z47" s="366"/>
      <c r="AA47" s="366"/>
    </row>
    <row r="48" spans="1:27">
      <c r="A48" s="339"/>
      <c r="I48" s="309"/>
      <c r="J48" s="309"/>
      <c r="K48" s="309"/>
      <c r="M48" s="341"/>
      <c r="N48" s="341"/>
      <c r="O48" s="341"/>
      <c r="P48" s="341"/>
      <c r="Q48" s="341"/>
      <c r="R48" s="341"/>
      <c r="S48" s="341"/>
      <c r="T48" s="341"/>
      <c r="U48" s="341"/>
      <c r="V48" s="341"/>
      <c r="W48" s="341"/>
      <c r="X48" s="341"/>
      <c r="Y48" s="307"/>
      <c r="Z48" s="366"/>
      <c r="AA48" s="366"/>
    </row>
    <row r="49" spans="1:27">
      <c r="A49" s="339"/>
      <c r="I49" s="309"/>
      <c r="J49" s="309"/>
      <c r="K49" s="309"/>
      <c r="M49" s="341"/>
      <c r="N49" s="341"/>
      <c r="O49" s="341"/>
      <c r="P49" s="341"/>
      <c r="Q49" s="341"/>
      <c r="R49" s="341"/>
      <c r="S49" s="341"/>
      <c r="T49" s="341"/>
      <c r="U49" s="341"/>
      <c r="V49" s="341"/>
      <c r="W49" s="341"/>
      <c r="X49" s="341"/>
      <c r="Y49" s="307"/>
      <c r="Z49" s="366"/>
      <c r="AA49" s="366"/>
    </row>
    <row r="50" spans="1:27">
      <c r="A50" s="339"/>
      <c r="I50" s="309"/>
      <c r="J50" s="309"/>
      <c r="K50" s="309"/>
      <c r="M50" s="341"/>
      <c r="N50" s="341"/>
      <c r="O50" s="341"/>
      <c r="P50" s="341"/>
      <c r="Q50" s="341"/>
      <c r="R50" s="341"/>
      <c r="S50" s="341"/>
      <c r="T50" s="341"/>
      <c r="U50" s="341"/>
      <c r="V50" s="341"/>
      <c r="W50" s="341"/>
      <c r="X50" s="341"/>
      <c r="Y50" s="307"/>
      <c r="Z50" s="366"/>
      <c r="AA50" s="366"/>
    </row>
    <row r="51" spans="1:27">
      <c r="A51" s="339"/>
      <c r="I51" s="309"/>
      <c r="J51" s="309"/>
      <c r="K51" s="309"/>
      <c r="M51" s="341"/>
      <c r="N51" s="341"/>
      <c r="O51" s="341"/>
      <c r="P51" s="341"/>
      <c r="Q51" s="341"/>
      <c r="R51" s="341"/>
      <c r="S51" s="341"/>
      <c r="T51" s="341"/>
      <c r="U51" s="341"/>
      <c r="V51" s="341"/>
      <c r="W51" s="341"/>
      <c r="X51" s="341"/>
      <c r="Y51" s="307"/>
      <c r="Z51" s="366"/>
      <c r="AA51" s="366"/>
    </row>
    <row r="52" spans="1:27">
      <c r="A52" s="339"/>
      <c r="I52" s="309"/>
      <c r="J52" s="309"/>
      <c r="K52" s="309"/>
      <c r="M52" s="341"/>
      <c r="N52" s="341"/>
      <c r="O52" s="341"/>
      <c r="P52" s="341"/>
      <c r="Q52" s="341"/>
      <c r="R52" s="341"/>
      <c r="S52" s="341"/>
      <c r="T52" s="341"/>
      <c r="U52" s="341"/>
      <c r="V52" s="341"/>
      <c r="W52" s="341"/>
      <c r="X52" s="341"/>
      <c r="Y52" s="307"/>
      <c r="Z52" s="366"/>
      <c r="AA52" s="366"/>
    </row>
    <row r="53" spans="1:27">
      <c r="A53" s="339"/>
      <c r="I53" s="309"/>
      <c r="J53" s="309"/>
      <c r="K53" s="309"/>
      <c r="M53" s="341"/>
      <c r="N53" s="341"/>
      <c r="O53" s="341"/>
      <c r="P53" s="341"/>
      <c r="Q53" s="341"/>
      <c r="R53" s="341"/>
      <c r="S53" s="341"/>
      <c r="T53" s="341"/>
      <c r="U53" s="341"/>
      <c r="V53" s="341"/>
      <c r="W53" s="341"/>
      <c r="X53" s="341"/>
      <c r="Y53" s="307"/>
      <c r="Z53" s="366"/>
      <c r="AA53" s="366"/>
    </row>
    <row r="54" spans="1:27">
      <c r="A54" s="339"/>
      <c r="I54" s="309"/>
      <c r="J54" s="309"/>
      <c r="K54" s="309"/>
      <c r="M54" s="341"/>
      <c r="N54" s="341"/>
      <c r="O54" s="341"/>
      <c r="P54" s="341"/>
      <c r="Q54" s="341"/>
      <c r="R54" s="341"/>
      <c r="S54" s="341"/>
      <c r="T54" s="341"/>
      <c r="U54" s="341"/>
      <c r="V54" s="341"/>
      <c r="W54" s="341"/>
      <c r="X54" s="341"/>
      <c r="Y54" s="307"/>
      <c r="Z54" s="366"/>
      <c r="AA54" s="366"/>
    </row>
    <row r="55" spans="1:27">
      <c r="A55" s="339"/>
      <c r="I55" s="309"/>
      <c r="J55" s="309"/>
      <c r="K55" s="309"/>
      <c r="M55" s="341"/>
      <c r="N55" s="341"/>
      <c r="O55" s="341"/>
      <c r="P55" s="341"/>
      <c r="Q55" s="341"/>
      <c r="R55" s="341"/>
      <c r="S55" s="341"/>
      <c r="T55" s="341"/>
      <c r="U55" s="341"/>
      <c r="V55" s="341"/>
      <c r="W55" s="341"/>
      <c r="X55" s="341"/>
      <c r="Y55" s="307"/>
      <c r="Z55" s="366"/>
      <c r="AA55" s="366"/>
    </row>
    <row r="56" spans="1:27">
      <c r="A56" s="339"/>
      <c r="K56" s="309"/>
    </row>
    <row r="57" spans="1:27">
      <c r="A57" s="339"/>
      <c r="K57" s="309"/>
    </row>
    <row r="58" spans="1:27">
      <c r="A58" s="339"/>
      <c r="K58" s="309"/>
    </row>
    <row r="59" spans="1:27">
      <c r="A59" s="339"/>
    </row>
    <row r="60" spans="1:27">
      <c r="A60" s="339"/>
    </row>
    <row r="61" spans="1:27">
      <c r="A61" s="339"/>
    </row>
    <row r="62" spans="1:27">
      <c r="A62" s="339"/>
    </row>
    <row r="63" spans="1:27">
      <c r="A63" s="339"/>
    </row>
    <row r="64" spans="1:27">
      <c r="A64" s="339"/>
    </row>
    <row r="65" spans="1:1">
      <c r="A65" s="339"/>
    </row>
    <row r="66" spans="1:1">
      <c r="A66" s="339"/>
    </row>
    <row r="67" spans="1:1">
      <c r="A67" s="339"/>
    </row>
    <row r="68" spans="1:1">
      <c r="A68" s="339"/>
    </row>
    <row r="69" spans="1:1">
      <c r="A69" s="339"/>
    </row>
    <row r="70" spans="1:1">
      <c r="A70" s="339"/>
    </row>
    <row r="71" spans="1:1">
      <c r="A71" s="339"/>
    </row>
    <row r="72" spans="1:1">
      <c r="A72" s="339"/>
    </row>
    <row r="73" spans="1:1">
      <c r="A73" s="339"/>
    </row>
    <row r="74" spans="1:1">
      <c r="A74" s="339"/>
    </row>
    <row r="75" spans="1:1">
      <c r="A75" s="339"/>
    </row>
    <row r="76" spans="1:1">
      <c r="A76" s="339"/>
    </row>
    <row r="77" spans="1:1">
      <c r="A77" s="339"/>
    </row>
    <row r="78" spans="1:1">
      <c r="A78" s="339"/>
    </row>
    <row r="79" spans="1:1">
      <c r="A79" s="339"/>
    </row>
    <row r="80" spans="1:1">
      <c r="A80" s="339"/>
    </row>
    <row r="81" spans="1:1">
      <c r="A81" s="339"/>
    </row>
    <row r="82" spans="1:1">
      <c r="A82" s="339"/>
    </row>
    <row r="83" spans="1:1">
      <c r="A83" s="339"/>
    </row>
    <row r="84" spans="1:1">
      <c r="A84" s="339"/>
    </row>
    <row r="85" spans="1:1">
      <c r="A85" s="339"/>
    </row>
    <row r="86" spans="1:1">
      <c r="A86" s="339"/>
    </row>
    <row r="87" spans="1:1">
      <c r="A87" s="339"/>
    </row>
    <row r="88" spans="1:1">
      <c r="A88" s="339"/>
    </row>
    <row r="89" spans="1:1">
      <c r="A89" s="339"/>
    </row>
    <row r="90" spans="1:1">
      <c r="A90" s="339"/>
    </row>
    <row r="91" spans="1:1">
      <c r="A91" s="339"/>
    </row>
    <row r="92" spans="1:1">
      <c r="A92" s="339"/>
    </row>
    <row r="93" spans="1:1">
      <c r="A93" s="339"/>
    </row>
    <row r="94" spans="1:1">
      <c r="A94" s="339"/>
    </row>
    <row r="95" spans="1:1">
      <c r="A95" s="339"/>
    </row>
    <row r="96" spans="1:1">
      <c r="A96" s="339"/>
    </row>
    <row r="97" spans="1:1">
      <c r="A97" s="339"/>
    </row>
    <row r="98" spans="1:1">
      <c r="A98" s="339"/>
    </row>
    <row r="99" spans="1:1">
      <c r="A99" s="339"/>
    </row>
    <row r="100" spans="1:1">
      <c r="A100" s="339"/>
    </row>
    <row r="101" spans="1:1">
      <c r="A101" s="339"/>
    </row>
    <row r="102" spans="1:1">
      <c r="A102" s="339"/>
    </row>
    <row r="103" spans="1:1">
      <c r="A103" s="339"/>
    </row>
    <row r="104" spans="1:1">
      <c r="A104" s="339"/>
    </row>
    <row r="105" spans="1:1">
      <c r="A105" s="339"/>
    </row>
    <row r="106" spans="1:1">
      <c r="A106" s="339"/>
    </row>
    <row r="107" spans="1:1">
      <c r="A107" s="339"/>
    </row>
    <row r="108" spans="1:1">
      <c r="A108" s="339"/>
    </row>
    <row r="109" spans="1:1">
      <c r="A109" s="339"/>
    </row>
    <row r="110" spans="1:1">
      <c r="A110" s="339"/>
    </row>
    <row r="111" spans="1:1">
      <c r="A111" s="339"/>
    </row>
    <row r="112" spans="1:1">
      <c r="A112" s="339"/>
    </row>
    <row r="113" spans="1:1">
      <c r="A113" s="339"/>
    </row>
    <row r="114" spans="1:1">
      <c r="A114" s="339"/>
    </row>
    <row r="115" spans="1:1">
      <c r="A115" s="339"/>
    </row>
    <row r="116" spans="1:1">
      <c r="A116" s="339"/>
    </row>
    <row r="117" spans="1:1">
      <c r="A117" s="339"/>
    </row>
    <row r="118" spans="1:1">
      <c r="A118" s="339"/>
    </row>
    <row r="119" spans="1:1">
      <c r="A119" s="339"/>
    </row>
    <row r="120" spans="1:1">
      <c r="A120" s="339"/>
    </row>
    <row r="121" spans="1:1">
      <c r="A121" s="339"/>
    </row>
    <row r="122" spans="1:1">
      <c r="A122" s="339"/>
    </row>
    <row r="123" spans="1:1">
      <c r="A123" s="339"/>
    </row>
    <row r="124" spans="1:1">
      <c r="A124" s="339"/>
    </row>
    <row r="125" spans="1:1">
      <c r="A125" s="339"/>
    </row>
    <row r="126" spans="1:1">
      <c r="A126" s="339"/>
    </row>
    <row r="127" spans="1:1">
      <c r="A127" s="339"/>
    </row>
    <row r="128" spans="1:1">
      <c r="A128" s="339"/>
    </row>
    <row r="129" spans="1:1">
      <c r="A129" s="339"/>
    </row>
    <row r="130" spans="1:1">
      <c r="A130" s="339"/>
    </row>
    <row r="131" spans="1:1">
      <c r="A131" s="339"/>
    </row>
    <row r="132" spans="1:1">
      <c r="A132" s="339"/>
    </row>
    <row r="133" spans="1:1">
      <c r="A133" s="339"/>
    </row>
    <row r="134" spans="1:1">
      <c r="A134" s="339"/>
    </row>
    <row r="135" spans="1:1">
      <c r="A135" s="339"/>
    </row>
    <row r="136" spans="1:1">
      <c r="A136" s="339"/>
    </row>
    <row r="137" spans="1:1">
      <c r="A137" s="339"/>
    </row>
    <row r="138" spans="1:1">
      <c r="A138" s="339"/>
    </row>
    <row r="139" spans="1:1">
      <c r="A139" s="339"/>
    </row>
    <row r="140" spans="1:1">
      <c r="A140" s="339"/>
    </row>
    <row r="141" spans="1:1">
      <c r="A141" s="339"/>
    </row>
    <row r="142" spans="1:1">
      <c r="A142" s="339"/>
    </row>
    <row r="143" spans="1:1">
      <c r="A143" s="339"/>
    </row>
    <row r="144" spans="1:1">
      <c r="A144" s="339"/>
    </row>
    <row r="145" spans="1:1">
      <c r="A145" s="339"/>
    </row>
    <row r="146" spans="1:1">
      <c r="A146" s="339"/>
    </row>
    <row r="147" spans="1:1">
      <c r="A147" s="339"/>
    </row>
    <row r="148" spans="1:1">
      <c r="A148" s="339"/>
    </row>
    <row r="149" spans="1:1">
      <c r="A149" s="339"/>
    </row>
    <row r="150" spans="1:1">
      <c r="A150" s="339"/>
    </row>
    <row r="151" spans="1:1">
      <c r="A151" s="339"/>
    </row>
    <row r="152" spans="1:1">
      <c r="A152" s="339"/>
    </row>
    <row r="153" spans="1:1">
      <c r="A153" s="339"/>
    </row>
    <row r="154" spans="1:1">
      <c r="A154" s="339"/>
    </row>
    <row r="155" spans="1:1">
      <c r="A155" s="339"/>
    </row>
    <row r="156" spans="1:1">
      <c r="A156" s="339"/>
    </row>
    <row r="157" spans="1:1">
      <c r="A157" s="339"/>
    </row>
    <row r="158" spans="1:1">
      <c r="A158" s="339"/>
    </row>
    <row r="159" spans="1:1">
      <c r="A159" s="339"/>
    </row>
    <row r="160" spans="1:1">
      <c r="A160" s="339"/>
    </row>
    <row r="161" spans="1:1">
      <c r="A161" s="339"/>
    </row>
    <row r="162" spans="1:1">
      <c r="A162" s="339"/>
    </row>
    <row r="163" spans="1:1">
      <c r="A163" s="339"/>
    </row>
    <row r="164" spans="1:1">
      <c r="A164" s="339"/>
    </row>
    <row r="165" spans="1:1">
      <c r="A165" s="339"/>
    </row>
    <row r="166" spans="1:1">
      <c r="A166" s="339"/>
    </row>
    <row r="167" spans="1:1">
      <c r="A167" s="339"/>
    </row>
    <row r="168" spans="1:1">
      <c r="A168" s="339"/>
    </row>
    <row r="169" spans="1:1">
      <c r="A169" s="339"/>
    </row>
    <row r="170" spans="1:1">
      <c r="A170" s="339"/>
    </row>
    <row r="171" spans="1:1">
      <c r="A171" s="339"/>
    </row>
    <row r="172" spans="1:1">
      <c r="A172" s="339"/>
    </row>
    <row r="173" spans="1:1">
      <c r="A173" s="339"/>
    </row>
    <row r="174" spans="1:1">
      <c r="A174" s="339"/>
    </row>
    <row r="175" spans="1:1">
      <c r="A175" s="339"/>
    </row>
    <row r="176" spans="1:1">
      <c r="A176" s="339"/>
    </row>
    <row r="177" spans="1:1">
      <c r="A177" s="339"/>
    </row>
    <row r="178" spans="1:1">
      <c r="A178" s="339"/>
    </row>
    <row r="179" spans="1:1">
      <c r="A179" s="339"/>
    </row>
    <row r="180" spans="1:1">
      <c r="A180" s="339"/>
    </row>
    <row r="181" spans="1:1">
      <c r="A181" s="339"/>
    </row>
    <row r="182" spans="1:1">
      <c r="A182" s="339"/>
    </row>
    <row r="183" spans="1:1">
      <c r="A183" s="339"/>
    </row>
    <row r="184" spans="1:1">
      <c r="A184" s="339"/>
    </row>
    <row r="185" spans="1:1">
      <c r="A185" s="339"/>
    </row>
    <row r="186" spans="1:1">
      <c r="A186" s="339"/>
    </row>
    <row r="187" spans="1:1">
      <c r="A187" s="339"/>
    </row>
    <row r="188" spans="1:1">
      <c r="A188" s="339"/>
    </row>
    <row r="189" spans="1:1">
      <c r="A189" s="339"/>
    </row>
    <row r="190" spans="1:1">
      <c r="A190" s="339"/>
    </row>
    <row r="191" spans="1:1">
      <c r="A191" s="339"/>
    </row>
    <row r="192" spans="1:1">
      <c r="A192" s="339"/>
    </row>
    <row r="193" spans="1:1">
      <c r="A193" s="339"/>
    </row>
    <row r="194" spans="1:1">
      <c r="A194" s="339"/>
    </row>
    <row r="195" spans="1:1">
      <c r="A195" s="339"/>
    </row>
    <row r="196" spans="1:1">
      <c r="A196" s="339"/>
    </row>
    <row r="197" spans="1:1">
      <c r="A197" s="339"/>
    </row>
    <row r="198" spans="1:1">
      <c r="A198" s="339"/>
    </row>
    <row r="199" spans="1:1">
      <c r="A199" s="339"/>
    </row>
    <row r="200" spans="1:1">
      <c r="A200" s="339"/>
    </row>
    <row r="201" spans="1:1">
      <c r="A201" s="339"/>
    </row>
    <row r="202" spans="1:1">
      <c r="A202" s="339"/>
    </row>
    <row r="203" spans="1:1">
      <c r="A203" s="339"/>
    </row>
    <row r="204" spans="1:1">
      <c r="A204" s="339"/>
    </row>
    <row r="205" spans="1:1">
      <c r="A205" s="339"/>
    </row>
    <row r="206" spans="1:1">
      <c r="A206" s="339"/>
    </row>
    <row r="207" spans="1:1">
      <c r="A207" s="339"/>
    </row>
    <row r="208" spans="1:1">
      <c r="A208" s="339"/>
    </row>
    <row r="209" spans="1:1">
      <c r="A209" s="339"/>
    </row>
    <row r="210" spans="1:1">
      <c r="A210" s="339"/>
    </row>
    <row r="211" spans="1:1">
      <c r="A211" s="339"/>
    </row>
    <row r="212" spans="1:1">
      <c r="A212" s="339"/>
    </row>
    <row r="213" spans="1:1">
      <c r="A213" s="339"/>
    </row>
    <row r="214" spans="1:1">
      <c r="A214" s="339"/>
    </row>
    <row r="215" spans="1:1">
      <c r="A215" s="339"/>
    </row>
    <row r="216" spans="1:1">
      <c r="A216" s="339"/>
    </row>
    <row r="217" spans="1:1">
      <c r="A217" s="339"/>
    </row>
    <row r="218" spans="1:1">
      <c r="A218" s="339"/>
    </row>
    <row r="219" spans="1:1">
      <c r="A219" s="339"/>
    </row>
    <row r="220" spans="1:1">
      <c r="A220" s="339"/>
    </row>
    <row r="221" spans="1:1">
      <c r="A221" s="339"/>
    </row>
    <row r="222" spans="1:1">
      <c r="A222" s="339"/>
    </row>
    <row r="223" spans="1:1">
      <c r="A223" s="339"/>
    </row>
    <row r="224" spans="1:1">
      <c r="A224" s="339"/>
    </row>
    <row r="225" spans="1:1">
      <c r="A225" s="339"/>
    </row>
    <row r="226" spans="1:1">
      <c r="A226" s="339"/>
    </row>
    <row r="227" spans="1:1">
      <c r="A227" s="339"/>
    </row>
    <row r="228" spans="1:1">
      <c r="A228" s="339"/>
    </row>
    <row r="229" spans="1:1">
      <c r="A229" s="339"/>
    </row>
    <row r="230" spans="1:1">
      <c r="A230" s="339"/>
    </row>
    <row r="231" spans="1:1">
      <c r="A231" s="339"/>
    </row>
    <row r="232" spans="1:1">
      <c r="A232" s="339"/>
    </row>
    <row r="233" spans="1:1">
      <c r="A233" s="339"/>
    </row>
    <row r="234" spans="1:1">
      <c r="A234" s="339"/>
    </row>
    <row r="235" spans="1:1">
      <c r="A235" s="339"/>
    </row>
    <row r="236" spans="1:1">
      <c r="A236" s="339"/>
    </row>
    <row r="237" spans="1:1">
      <c r="A237" s="339"/>
    </row>
    <row r="238" spans="1:1">
      <c r="A238" s="339"/>
    </row>
    <row r="239" spans="1:1">
      <c r="A239" s="339"/>
    </row>
    <row r="240" spans="1:1">
      <c r="A240" s="339"/>
    </row>
    <row r="241" spans="1:1">
      <c r="A241" s="339"/>
    </row>
    <row r="242" spans="1:1">
      <c r="A242" s="339"/>
    </row>
    <row r="243" spans="1:1">
      <c r="A243" s="339"/>
    </row>
    <row r="244" spans="1:1">
      <c r="A244" s="339"/>
    </row>
    <row r="245" spans="1:1">
      <c r="A245" s="339"/>
    </row>
    <row r="246" spans="1:1">
      <c r="A246" s="339"/>
    </row>
    <row r="247" spans="1:1">
      <c r="A247" s="339"/>
    </row>
    <row r="248" spans="1:1">
      <c r="A248" s="339"/>
    </row>
    <row r="249" spans="1:1">
      <c r="A249" s="339"/>
    </row>
    <row r="250" spans="1:1">
      <c r="A250" s="339"/>
    </row>
    <row r="251" spans="1:1">
      <c r="A251" s="339"/>
    </row>
    <row r="252" spans="1:1">
      <c r="A252" s="339"/>
    </row>
    <row r="253" spans="1:1">
      <c r="A253" s="339"/>
    </row>
    <row r="254" spans="1:1">
      <c r="A254" s="339"/>
    </row>
    <row r="255" spans="1:1">
      <c r="A255" s="339"/>
    </row>
    <row r="256" spans="1:1">
      <c r="A256" s="339"/>
    </row>
    <row r="257" spans="1:1">
      <c r="A257" s="339"/>
    </row>
    <row r="258" spans="1:1">
      <c r="A258" s="339"/>
    </row>
    <row r="259" spans="1:1">
      <c r="A259" s="339"/>
    </row>
    <row r="260" spans="1:1">
      <c r="A260" s="339"/>
    </row>
    <row r="261" spans="1:1">
      <c r="A261" s="339"/>
    </row>
    <row r="262" spans="1:1">
      <c r="A262" s="339"/>
    </row>
    <row r="263" spans="1:1">
      <c r="A263" s="339"/>
    </row>
    <row r="264" spans="1:1">
      <c r="A264" s="339"/>
    </row>
    <row r="265" spans="1:1">
      <c r="A265" s="339"/>
    </row>
    <row r="266" spans="1:1">
      <c r="A266" s="339"/>
    </row>
    <row r="267" spans="1:1">
      <c r="A267" s="339"/>
    </row>
    <row r="268" spans="1:1">
      <c r="A268" s="339"/>
    </row>
    <row r="269" spans="1:1">
      <c r="A269" s="339"/>
    </row>
    <row r="270" spans="1:1">
      <c r="A270" s="339"/>
    </row>
    <row r="271" spans="1:1">
      <c r="A271" s="339"/>
    </row>
    <row r="272" spans="1:1">
      <c r="A272" s="339"/>
    </row>
    <row r="273" spans="1:1">
      <c r="A273" s="339"/>
    </row>
    <row r="274" spans="1:1">
      <c r="A274" s="339"/>
    </row>
    <row r="275" spans="1:1">
      <c r="A275" s="339"/>
    </row>
    <row r="276" spans="1:1">
      <c r="A276" s="339"/>
    </row>
    <row r="277" spans="1:1">
      <c r="A277" s="339"/>
    </row>
    <row r="278" spans="1:1">
      <c r="A278" s="339"/>
    </row>
    <row r="279" spans="1:1">
      <c r="A279" s="339"/>
    </row>
    <row r="280" spans="1:1">
      <c r="A280" s="339"/>
    </row>
    <row r="281" spans="1:1">
      <c r="A281" s="339"/>
    </row>
    <row r="282" spans="1:1">
      <c r="A282" s="339"/>
    </row>
    <row r="283" spans="1:1">
      <c r="A283" s="339"/>
    </row>
    <row r="284" spans="1:1">
      <c r="A284" s="339"/>
    </row>
    <row r="285" spans="1:1">
      <c r="A285" s="339"/>
    </row>
    <row r="286" spans="1:1">
      <c r="A286" s="339"/>
    </row>
    <row r="287" spans="1:1">
      <c r="A287" s="339"/>
    </row>
    <row r="288" spans="1:1">
      <c r="A288" s="339"/>
    </row>
    <row r="289" spans="1:1">
      <c r="A289" s="339"/>
    </row>
    <row r="290" spans="1:1">
      <c r="A290" s="339"/>
    </row>
    <row r="291" spans="1:1">
      <c r="A291" s="339"/>
    </row>
    <row r="292" spans="1:1">
      <c r="A292" s="339"/>
    </row>
    <row r="293" spans="1:1">
      <c r="A293" s="339"/>
    </row>
    <row r="294" spans="1:1">
      <c r="A294" s="339"/>
    </row>
    <row r="295" spans="1:1">
      <c r="A295" s="339"/>
    </row>
    <row r="296" spans="1:1">
      <c r="A296" s="339"/>
    </row>
    <row r="297" spans="1:1">
      <c r="A297" s="339"/>
    </row>
    <row r="298" spans="1:1">
      <c r="A298" s="339"/>
    </row>
    <row r="299" spans="1:1">
      <c r="A299" s="339"/>
    </row>
    <row r="300" spans="1:1">
      <c r="A300" s="339"/>
    </row>
    <row r="301" spans="1:1">
      <c r="A301" s="339"/>
    </row>
    <row r="302" spans="1:1">
      <c r="A302" s="339"/>
    </row>
    <row r="303" spans="1:1">
      <c r="A303" s="339"/>
    </row>
    <row r="304" spans="1:1">
      <c r="A304" s="339"/>
    </row>
    <row r="305" spans="1:1">
      <c r="A305" s="339"/>
    </row>
    <row r="306" spans="1:1">
      <c r="A306" s="339"/>
    </row>
    <row r="307" spans="1:1">
      <c r="A307" s="339"/>
    </row>
    <row r="308" spans="1:1">
      <c r="A308" s="339"/>
    </row>
    <row r="309" spans="1:1">
      <c r="A309" s="339"/>
    </row>
    <row r="310" spans="1:1">
      <c r="A310" s="339"/>
    </row>
    <row r="311" spans="1:1">
      <c r="A311" s="339"/>
    </row>
    <row r="312" spans="1:1">
      <c r="A312" s="339"/>
    </row>
    <row r="313" spans="1:1">
      <c r="A313" s="339"/>
    </row>
    <row r="314" spans="1:1">
      <c r="A314" s="339"/>
    </row>
    <row r="315" spans="1:1">
      <c r="A315" s="339"/>
    </row>
    <row r="316" spans="1:1">
      <c r="A316" s="339"/>
    </row>
    <row r="317" spans="1:1">
      <c r="A317" s="339"/>
    </row>
    <row r="318" spans="1:1">
      <c r="A318" s="339"/>
    </row>
    <row r="319" spans="1:1">
      <c r="A319" s="339"/>
    </row>
    <row r="320" spans="1:1">
      <c r="A320" s="339"/>
    </row>
    <row r="321" spans="1:1">
      <c r="A321" s="339"/>
    </row>
    <row r="322" spans="1:1">
      <c r="A322" s="339"/>
    </row>
    <row r="323" spans="1:1">
      <c r="A323" s="339"/>
    </row>
    <row r="324" spans="1:1">
      <c r="A324" s="339"/>
    </row>
    <row r="325" spans="1:1">
      <c r="A325" s="339"/>
    </row>
    <row r="326" spans="1:1">
      <c r="A326" s="339"/>
    </row>
    <row r="327" spans="1:1">
      <c r="A327" s="339"/>
    </row>
    <row r="328" spans="1:1">
      <c r="A328" s="339"/>
    </row>
    <row r="329" spans="1:1">
      <c r="A329" s="339"/>
    </row>
    <row r="330" spans="1:1">
      <c r="A330" s="339"/>
    </row>
    <row r="331" spans="1:1">
      <c r="A331" s="339"/>
    </row>
    <row r="332" spans="1:1">
      <c r="A332" s="339"/>
    </row>
    <row r="333" spans="1:1">
      <c r="A333" s="339"/>
    </row>
    <row r="334" spans="1:1">
      <c r="A334" s="339"/>
    </row>
    <row r="335" spans="1:1">
      <c r="A335" s="339"/>
    </row>
    <row r="336" spans="1:1">
      <c r="A336" s="339"/>
    </row>
    <row r="337" spans="1:1">
      <c r="A337" s="339"/>
    </row>
    <row r="338" spans="1:1">
      <c r="A338" s="339"/>
    </row>
    <row r="339" spans="1:1">
      <c r="A339" s="339"/>
    </row>
    <row r="340" spans="1:1">
      <c r="A340" s="339"/>
    </row>
    <row r="341" spans="1:1">
      <c r="A341" s="339"/>
    </row>
    <row r="342" spans="1:1">
      <c r="A342" s="339"/>
    </row>
    <row r="343" spans="1:1">
      <c r="A343" s="339"/>
    </row>
    <row r="344" spans="1:1">
      <c r="A344" s="339"/>
    </row>
    <row r="345" spans="1:1">
      <c r="A345" s="339"/>
    </row>
    <row r="346" spans="1:1">
      <c r="A346" s="339"/>
    </row>
    <row r="347" spans="1:1">
      <c r="A347" s="339"/>
    </row>
    <row r="348" spans="1:1">
      <c r="A348" s="339"/>
    </row>
    <row r="349" spans="1:1">
      <c r="A349" s="339"/>
    </row>
    <row r="350" spans="1:1">
      <c r="A350" s="339"/>
    </row>
    <row r="351" spans="1:1">
      <c r="A351" s="339"/>
    </row>
    <row r="352" spans="1:1">
      <c r="A352" s="339"/>
    </row>
    <row r="353" spans="1:1">
      <c r="A353" s="339"/>
    </row>
    <row r="354" spans="1:1">
      <c r="A354" s="339"/>
    </row>
    <row r="355" spans="1:1">
      <c r="A355" s="339"/>
    </row>
    <row r="356" spans="1:1">
      <c r="A356" s="339"/>
    </row>
    <row r="357" spans="1:1">
      <c r="A357" s="339"/>
    </row>
    <row r="358" spans="1:1">
      <c r="A358" s="339"/>
    </row>
    <row r="359" spans="1:1">
      <c r="A359" s="339"/>
    </row>
    <row r="360" spans="1:1">
      <c r="A360" s="339"/>
    </row>
    <row r="361" spans="1:1">
      <c r="A361" s="339"/>
    </row>
    <row r="362" spans="1:1">
      <c r="A362" s="339"/>
    </row>
    <row r="363" spans="1:1">
      <c r="A363" s="339"/>
    </row>
    <row r="364" spans="1:1">
      <c r="A364" s="339"/>
    </row>
    <row r="365" spans="1:1">
      <c r="A365" s="339"/>
    </row>
    <row r="366" spans="1:1">
      <c r="A366" s="339"/>
    </row>
    <row r="367" spans="1:1">
      <c r="A367" s="339"/>
    </row>
    <row r="368" spans="1:1">
      <c r="A368" s="339"/>
    </row>
    <row r="369" spans="1:1">
      <c r="A369" s="339"/>
    </row>
    <row r="370" spans="1:1">
      <c r="A370" s="339"/>
    </row>
    <row r="371" spans="1:1">
      <c r="A371" s="339"/>
    </row>
    <row r="372" spans="1:1">
      <c r="A372" s="339"/>
    </row>
    <row r="373" spans="1:1">
      <c r="A373" s="339"/>
    </row>
    <row r="374" spans="1:1">
      <c r="A374" s="339"/>
    </row>
    <row r="375" spans="1:1">
      <c r="A375" s="339"/>
    </row>
    <row r="376" spans="1:1">
      <c r="A376" s="339"/>
    </row>
    <row r="377" spans="1:1">
      <c r="A377" s="339"/>
    </row>
    <row r="378" spans="1:1">
      <c r="A378" s="339"/>
    </row>
    <row r="379" spans="1:1">
      <c r="A379" s="339"/>
    </row>
    <row r="380" spans="1:1">
      <c r="A380" s="339"/>
    </row>
    <row r="381" spans="1:1">
      <c r="A381" s="339"/>
    </row>
    <row r="382" spans="1:1">
      <c r="A382" s="339"/>
    </row>
    <row r="383" spans="1:1">
      <c r="A383" s="339"/>
    </row>
    <row r="384" spans="1:1">
      <c r="A384" s="339"/>
    </row>
    <row r="385" spans="1:1">
      <c r="A385" s="339"/>
    </row>
    <row r="386" spans="1:1">
      <c r="A386" s="339"/>
    </row>
    <row r="387" spans="1:1">
      <c r="A387" s="339"/>
    </row>
    <row r="388" spans="1:1">
      <c r="A388" s="339"/>
    </row>
    <row r="389" spans="1:1">
      <c r="A389" s="339"/>
    </row>
    <row r="390" spans="1:1">
      <c r="A390" s="339"/>
    </row>
    <row r="391" spans="1:1">
      <c r="A391" s="339"/>
    </row>
    <row r="392" spans="1:1">
      <c r="A392" s="339"/>
    </row>
    <row r="393" spans="1:1">
      <c r="A393" s="339"/>
    </row>
    <row r="394" spans="1:1">
      <c r="A394" s="339"/>
    </row>
    <row r="395" spans="1:1">
      <c r="A395" s="339"/>
    </row>
    <row r="396" spans="1:1">
      <c r="A396" s="339"/>
    </row>
    <row r="397" spans="1:1">
      <c r="A397" s="339"/>
    </row>
    <row r="398" spans="1:1">
      <c r="A398" s="339"/>
    </row>
    <row r="399" spans="1:1">
      <c r="A399" s="339"/>
    </row>
    <row r="400" spans="1:1">
      <c r="A400" s="339"/>
    </row>
    <row r="401" spans="1:1">
      <c r="A401" s="339"/>
    </row>
    <row r="402" spans="1:1">
      <c r="A402" s="339"/>
    </row>
    <row r="403" spans="1:1">
      <c r="A403" s="339"/>
    </row>
    <row r="404" spans="1:1">
      <c r="A404" s="339"/>
    </row>
    <row r="405" spans="1:1">
      <c r="A405" s="339"/>
    </row>
    <row r="406" spans="1:1">
      <c r="A406" s="339"/>
    </row>
    <row r="407" spans="1:1">
      <c r="A407" s="339"/>
    </row>
    <row r="408" spans="1:1">
      <c r="A408" s="339"/>
    </row>
    <row r="409" spans="1:1">
      <c r="A409" s="339"/>
    </row>
    <row r="410" spans="1:1">
      <c r="A410" s="339"/>
    </row>
    <row r="411" spans="1:1">
      <c r="A411" s="339"/>
    </row>
    <row r="412" spans="1:1">
      <c r="A412" s="339"/>
    </row>
    <row r="413" spans="1:1">
      <c r="A413" s="339"/>
    </row>
    <row r="414" spans="1:1">
      <c r="A414" s="339"/>
    </row>
    <row r="415" spans="1:1">
      <c r="A415" s="339"/>
    </row>
    <row r="416" spans="1:1">
      <c r="A416" s="339"/>
    </row>
    <row r="417" spans="1:1">
      <c r="A417" s="339"/>
    </row>
    <row r="418" spans="1:1">
      <c r="A418" s="339"/>
    </row>
    <row r="419" spans="1:1">
      <c r="A419" s="339"/>
    </row>
    <row r="420" spans="1:1">
      <c r="A420" s="339"/>
    </row>
    <row r="421" spans="1:1">
      <c r="A421" s="339"/>
    </row>
    <row r="422" spans="1:1">
      <c r="A422" s="339"/>
    </row>
    <row r="423" spans="1:1">
      <c r="A423" s="339"/>
    </row>
    <row r="424" spans="1:1">
      <c r="A424" s="339"/>
    </row>
    <row r="425" spans="1:1">
      <c r="A425" s="339"/>
    </row>
    <row r="426" spans="1:1">
      <c r="A426" s="339"/>
    </row>
    <row r="427" spans="1:1">
      <c r="A427" s="339"/>
    </row>
    <row r="428" spans="1:1">
      <c r="A428" s="339"/>
    </row>
    <row r="429" spans="1:1">
      <c r="A429" s="339"/>
    </row>
    <row r="430" spans="1:1">
      <c r="A430" s="339"/>
    </row>
    <row r="431" spans="1:1">
      <c r="A431" s="339"/>
    </row>
    <row r="432" spans="1:1">
      <c r="A432" s="339"/>
    </row>
    <row r="433" spans="1:1">
      <c r="A433" s="339"/>
    </row>
    <row r="434" spans="1:1">
      <c r="A434" s="339"/>
    </row>
    <row r="435" spans="1:1">
      <c r="A435" s="339"/>
    </row>
    <row r="436" spans="1:1">
      <c r="A436" s="339"/>
    </row>
    <row r="437" spans="1:1">
      <c r="A437" s="339"/>
    </row>
    <row r="438" spans="1:1">
      <c r="A438" s="339"/>
    </row>
    <row r="439" spans="1:1">
      <c r="A439" s="339"/>
    </row>
    <row r="440" spans="1:1">
      <c r="A440" s="339"/>
    </row>
    <row r="441" spans="1:1">
      <c r="A441" s="339"/>
    </row>
    <row r="442" spans="1:1">
      <c r="A442" s="339"/>
    </row>
    <row r="443" spans="1:1">
      <c r="A443" s="339"/>
    </row>
    <row r="444" spans="1:1">
      <c r="A444" s="339"/>
    </row>
    <row r="445" spans="1:1">
      <c r="A445" s="339"/>
    </row>
    <row r="446" spans="1:1">
      <c r="A446" s="339"/>
    </row>
    <row r="447" spans="1:1">
      <c r="A447" s="339"/>
    </row>
    <row r="448" spans="1:1">
      <c r="A448" s="339"/>
    </row>
    <row r="449" spans="1:1">
      <c r="A449" s="339"/>
    </row>
    <row r="450" spans="1:1">
      <c r="A450" s="339"/>
    </row>
    <row r="451" spans="1:1">
      <c r="A451" s="339"/>
    </row>
    <row r="452" spans="1:1">
      <c r="A452" s="339"/>
    </row>
    <row r="453" spans="1:1">
      <c r="A453" s="339"/>
    </row>
    <row r="454" spans="1:1">
      <c r="A454" s="339"/>
    </row>
    <row r="455" spans="1:1">
      <c r="A455" s="339"/>
    </row>
    <row r="456" spans="1:1">
      <c r="A456" s="339"/>
    </row>
    <row r="457" spans="1:1">
      <c r="A457" s="339"/>
    </row>
    <row r="458" spans="1:1">
      <c r="A458" s="339"/>
    </row>
    <row r="459" spans="1:1">
      <c r="A459" s="339"/>
    </row>
    <row r="460" spans="1:1">
      <c r="A460" s="339"/>
    </row>
    <row r="461" spans="1:1">
      <c r="A461" s="339"/>
    </row>
    <row r="462" spans="1:1">
      <c r="A462" s="339"/>
    </row>
    <row r="463" spans="1:1">
      <c r="A463" s="339"/>
    </row>
    <row r="464" spans="1:1">
      <c r="A464" s="339"/>
    </row>
    <row r="465" spans="1:1">
      <c r="A465" s="339"/>
    </row>
    <row r="466" spans="1:1">
      <c r="A466" s="339"/>
    </row>
    <row r="467" spans="1:1">
      <c r="A467" s="339"/>
    </row>
    <row r="468" spans="1:1">
      <c r="A468" s="339"/>
    </row>
    <row r="469" spans="1:1">
      <c r="A469" s="339"/>
    </row>
    <row r="470" spans="1:1">
      <c r="A470" s="339"/>
    </row>
    <row r="471" spans="1:1">
      <c r="A471" s="339"/>
    </row>
    <row r="472" spans="1:1">
      <c r="A472" s="339"/>
    </row>
    <row r="473" spans="1:1">
      <c r="A473" s="339"/>
    </row>
    <row r="474" spans="1:1">
      <c r="A474" s="339"/>
    </row>
    <row r="475" spans="1:1">
      <c r="A475" s="339"/>
    </row>
    <row r="476" spans="1:1">
      <c r="A476" s="339"/>
    </row>
    <row r="477" spans="1:1">
      <c r="A477" s="339"/>
    </row>
    <row r="478" spans="1:1">
      <c r="A478" s="339"/>
    </row>
    <row r="479" spans="1:1">
      <c r="A479" s="339"/>
    </row>
    <row r="480" spans="1:1">
      <c r="A480" s="339"/>
    </row>
    <row r="481" spans="1:1">
      <c r="A481" s="339"/>
    </row>
    <row r="482" spans="1:1">
      <c r="A482" s="339"/>
    </row>
    <row r="483" spans="1:1">
      <c r="A483" s="339"/>
    </row>
    <row r="484" spans="1:1">
      <c r="A484" s="339"/>
    </row>
    <row r="485" spans="1:1">
      <c r="A485" s="339"/>
    </row>
    <row r="486" spans="1:1">
      <c r="A486" s="339"/>
    </row>
    <row r="487" spans="1:1">
      <c r="A487" s="339"/>
    </row>
    <row r="488" spans="1:1">
      <c r="A488" s="339"/>
    </row>
    <row r="489" spans="1:1">
      <c r="A489" s="339"/>
    </row>
    <row r="490" spans="1:1">
      <c r="A490" s="339"/>
    </row>
    <row r="491" spans="1:1">
      <c r="A491" s="339"/>
    </row>
    <row r="492" spans="1:1">
      <c r="A492" s="339"/>
    </row>
    <row r="493" spans="1:1">
      <c r="A493" s="339"/>
    </row>
    <row r="494" spans="1:1">
      <c r="A494" s="339"/>
    </row>
    <row r="495" spans="1:1">
      <c r="A495" s="339"/>
    </row>
    <row r="496" spans="1:1">
      <c r="A496" s="339"/>
    </row>
    <row r="497" spans="1:1">
      <c r="A497" s="339"/>
    </row>
    <row r="498" spans="1:1">
      <c r="A498" s="339"/>
    </row>
    <row r="499" spans="1:1">
      <c r="A499" s="339"/>
    </row>
    <row r="500" spans="1:1">
      <c r="A500" s="339"/>
    </row>
    <row r="501" spans="1:1">
      <c r="A501" s="339"/>
    </row>
    <row r="502" spans="1:1">
      <c r="A502" s="339"/>
    </row>
    <row r="503" spans="1:1">
      <c r="A503" s="339"/>
    </row>
    <row r="504" spans="1:1">
      <c r="A504" s="339"/>
    </row>
    <row r="505" spans="1:1">
      <c r="A505" s="339"/>
    </row>
    <row r="506" spans="1:1">
      <c r="A506" s="339"/>
    </row>
    <row r="507" spans="1:1">
      <c r="A507" s="339"/>
    </row>
    <row r="508" spans="1:1">
      <c r="A508" s="339"/>
    </row>
    <row r="509" spans="1:1">
      <c r="A509" s="339"/>
    </row>
    <row r="510" spans="1:1">
      <c r="A510" s="339"/>
    </row>
    <row r="511" spans="1:1">
      <c r="A511" s="339"/>
    </row>
    <row r="512" spans="1:1">
      <c r="A512" s="339"/>
    </row>
    <row r="513" spans="1:1">
      <c r="A513" s="339"/>
    </row>
    <row r="514" spans="1:1">
      <c r="A514" s="339"/>
    </row>
    <row r="515" spans="1:1">
      <c r="A515" s="339"/>
    </row>
    <row r="516" spans="1:1">
      <c r="A516" s="339"/>
    </row>
    <row r="517" spans="1:1">
      <c r="A517" s="339"/>
    </row>
    <row r="518" spans="1:1">
      <c r="A518" s="339"/>
    </row>
    <row r="519" spans="1:1">
      <c r="A519" s="339"/>
    </row>
    <row r="520" spans="1:1">
      <c r="A520" s="339"/>
    </row>
    <row r="521" spans="1:1">
      <c r="A521" s="339"/>
    </row>
    <row r="522" spans="1:1">
      <c r="A522" s="339"/>
    </row>
    <row r="523" spans="1:1">
      <c r="A523" s="339"/>
    </row>
    <row r="524" spans="1:1">
      <c r="A524" s="339"/>
    </row>
    <row r="525" spans="1:1">
      <c r="A525" s="339"/>
    </row>
    <row r="526" spans="1:1">
      <c r="A526" s="339"/>
    </row>
    <row r="527" spans="1:1">
      <c r="A527" s="339"/>
    </row>
    <row r="528" spans="1:1">
      <c r="A528" s="339"/>
    </row>
    <row r="529" spans="1:1">
      <c r="A529" s="339"/>
    </row>
    <row r="530" spans="1:1">
      <c r="A530" s="339"/>
    </row>
    <row r="531" spans="1:1">
      <c r="A531" s="339"/>
    </row>
    <row r="532" spans="1:1">
      <c r="A532" s="339"/>
    </row>
    <row r="533" spans="1:1">
      <c r="A533" s="339"/>
    </row>
    <row r="534" spans="1:1">
      <c r="A534" s="339"/>
    </row>
    <row r="535" spans="1:1">
      <c r="A535" s="339"/>
    </row>
    <row r="536" spans="1:1">
      <c r="A536" s="339"/>
    </row>
    <row r="537" spans="1:1">
      <c r="A537" s="339"/>
    </row>
    <row r="538" spans="1:1">
      <c r="A538" s="339"/>
    </row>
    <row r="539" spans="1:1">
      <c r="A539" s="339"/>
    </row>
    <row r="540" spans="1:1">
      <c r="A540" s="339"/>
    </row>
    <row r="541" spans="1:1">
      <c r="A541" s="339"/>
    </row>
    <row r="542" spans="1:1">
      <c r="A542" s="339"/>
    </row>
    <row r="543" spans="1:1">
      <c r="A543" s="339"/>
    </row>
    <row r="544" spans="1:1">
      <c r="A544" s="339"/>
    </row>
    <row r="545" spans="1:1">
      <c r="A545" s="339"/>
    </row>
    <row r="546" spans="1:1">
      <c r="A546" s="339"/>
    </row>
    <row r="547" spans="1:1">
      <c r="A547" s="339"/>
    </row>
    <row r="548" spans="1:1">
      <c r="A548" s="339"/>
    </row>
    <row r="549" spans="1:1">
      <c r="A549" s="339"/>
    </row>
    <row r="550" spans="1:1">
      <c r="A550" s="339"/>
    </row>
    <row r="551" spans="1:1">
      <c r="A551" s="339"/>
    </row>
    <row r="552" spans="1:1">
      <c r="A552" s="339"/>
    </row>
    <row r="553" spans="1:1">
      <c r="A553" s="339"/>
    </row>
    <row r="554" spans="1:1">
      <c r="A554" s="339"/>
    </row>
    <row r="555" spans="1:1">
      <c r="A555" s="339"/>
    </row>
    <row r="556" spans="1:1">
      <c r="A556" s="339"/>
    </row>
    <row r="557" spans="1:1">
      <c r="A557" s="339"/>
    </row>
    <row r="558" spans="1:1">
      <c r="A558" s="339"/>
    </row>
    <row r="559" spans="1:1">
      <c r="A559" s="339"/>
    </row>
    <row r="560" spans="1:1">
      <c r="A560" s="339"/>
    </row>
    <row r="561" spans="1:1">
      <c r="A561" s="339"/>
    </row>
    <row r="562" spans="1:1">
      <c r="A562" s="339"/>
    </row>
    <row r="563" spans="1:1">
      <c r="A563" s="339"/>
    </row>
    <row r="564" spans="1:1">
      <c r="A564" s="339"/>
    </row>
    <row r="565" spans="1:1">
      <c r="A565" s="339"/>
    </row>
    <row r="566" spans="1:1">
      <c r="A566" s="339"/>
    </row>
    <row r="567" spans="1:1">
      <c r="A567" s="339"/>
    </row>
    <row r="568" spans="1:1">
      <c r="A568" s="339"/>
    </row>
    <row r="569" spans="1:1">
      <c r="A569" s="339"/>
    </row>
    <row r="570" spans="1:1">
      <c r="A570" s="339"/>
    </row>
    <row r="571" spans="1:1">
      <c r="A571" s="339"/>
    </row>
    <row r="572" spans="1:1">
      <c r="A572" s="339"/>
    </row>
    <row r="573" spans="1:1">
      <c r="A573" s="339"/>
    </row>
    <row r="574" spans="1:1">
      <c r="A574" s="339"/>
    </row>
    <row r="575" spans="1:1">
      <c r="A575" s="339"/>
    </row>
    <row r="576" spans="1:1">
      <c r="A576" s="339"/>
    </row>
    <row r="577" spans="1:1">
      <c r="A577" s="339"/>
    </row>
    <row r="578" spans="1:1">
      <c r="A578" s="339"/>
    </row>
    <row r="579" spans="1:1">
      <c r="A579" s="339"/>
    </row>
    <row r="580" spans="1:1">
      <c r="A580" s="339"/>
    </row>
    <row r="581" spans="1:1">
      <c r="A581" s="339"/>
    </row>
    <row r="582" spans="1:1">
      <c r="A582" s="339"/>
    </row>
    <row r="583" spans="1:1">
      <c r="A583" s="339"/>
    </row>
    <row r="584" spans="1:1">
      <c r="A584" s="339"/>
    </row>
    <row r="585" spans="1:1">
      <c r="A585" s="339"/>
    </row>
    <row r="586" spans="1:1">
      <c r="A586" s="339"/>
    </row>
    <row r="587" spans="1:1">
      <c r="A587" s="339"/>
    </row>
    <row r="588" spans="1:1">
      <c r="A588" s="339"/>
    </row>
    <row r="589" spans="1:1">
      <c r="A589" s="339"/>
    </row>
    <row r="590" spans="1:1">
      <c r="A590" s="339"/>
    </row>
    <row r="591" spans="1:1">
      <c r="A591" s="339"/>
    </row>
    <row r="592" spans="1:1">
      <c r="A592" s="339"/>
    </row>
    <row r="593" spans="1:1">
      <c r="A593" s="339"/>
    </row>
    <row r="594" spans="1:1">
      <c r="A594" s="339"/>
    </row>
    <row r="595" spans="1:1">
      <c r="A595" s="339"/>
    </row>
    <row r="596" spans="1:1">
      <c r="A596" s="339"/>
    </row>
    <row r="597" spans="1:1">
      <c r="A597" s="339"/>
    </row>
    <row r="598" spans="1:1">
      <c r="A598" s="339"/>
    </row>
    <row r="599" spans="1:1">
      <c r="A599" s="339"/>
    </row>
    <row r="600" spans="1:1">
      <c r="A600" s="339"/>
    </row>
    <row r="601" spans="1:1">
      <c r="A601" s="339"/>
    </row>
    <row r="602" spans="1:1">
      <c r="A602" s="339"/>
    </row>
    <row r="603" spans="1:1">
      <c r="A603" s="339"/>
    </row>
    <row r="604" spans="1:1">
      <c r="A604" s="339"/>
    </row>
    <row r="605" spans="1:1">
      <c r="A605" s="339"/>
    </row>
    <row r="606" spans="1:1">
      <c r="A606" s="339"/>
    </row>
    <row r="607" spans="1:1">
      <c r="A607" s="339"/>
    </row>
    <row r="608" spans="1:1">
      <c r="A608" s="339"/>
    </row>
    <row r="609" spans="1:1">
      <c r="A609" s="339"/>
    </row>
    <row r="610" spans="1:1">
      <c r="A610" s="339"/>
    </row>
    <row r="611" spans="1:1">
      <c r="A611" s="339"/>
    </row>
    <row r="612" spans="1:1">
      <c r="A612" s="339"/>
    </row>
    <row r="613" spans="1:1">
      <c r="A613" s="339"/>
    </row>
    <row r="614" spans="1:1">
      <c r="A614" s="339"/>
    </row>
    <row r="615" spans="1:1">
      <c r="A615" s="339"/>
    </row>
    <row r="616" spans="1:1">
      <c r="A616" s="339"/>
    </row>
    <row r="617" spans="1:1">
      <c r="A617" s="339"/>
    </row>
    <row r="618" spans="1:1">
      <c r="A618" s="339"/>
    </row>
    <row r="619" spans="1:1">
      <c r="A619" s="339"/>
    </row>
    <row r="620" spans="1:1">
      <c r="A620" s="339"/>
    </row>
    <row r="621" spans="1:1">
      <c r="A621" s="339"/>
    </row>
    <row r="622" spans="1:1">
      <c r="A622" s="339"/>
    </row>
    <row r="623" spans="1:1">
      <c r="A623" s="339"/>
    </row>
    <row r="624" spans="1:1">
      <c r="A624" s="339"/>
    </row>
    <row r="625" spans="1:1">
      <c r="A625" s="339"/>
    </row>
    <row r="626" spans="1:1">
      <c r="A626" s="339"/>
    </row>
    <row r="627" spans="1:1">
      <c r="A627" s="339"/>
    </row>
    <row r="628" spans="1:1">
      <c r="A628" s="339"/>
    </row>
    <row r="629" spans="1:1">
      <c r="A629" s="339"/>
    </row>
    <row r="630" spans="1:1">
      <c r="A630" s="339"/>
    </row>
    <row r="631" spans="1:1">
      <c r="A631" s="339"/>
    </row>
    <row r="632" spans="1:1">
      <c r="A632" s="339"/>
    </row>
    <row r="633" spans="1:1">
      <c r="A633" s="339"/>
    </row>
    <row r="634" spans="1:1">
      <c r="A634" s="339"/>
    </row>
    <row r="635" spans="1:1">
      <c r="A635" s="339"/>
    </row>
    <row r="636" spans="1:1">
      <c r="A636" s="339"/>
    </row>
    <row r="637" spans="1:1">
      <c r="A637" s="339"/>
    </row>
    <row r="638" spans="1:1">
      <c r="A638" s="339"/>
    </row>
    <row r="639" spans="1:1">
      <c r="A639" s="339"/>
    </row>
    <row r="640" spans="1:1">
      <c r="A640" s="339"/>
    </row>
    <row r="641" spans="1:1">
      <c r="A641" s="339"/>
    </row>
    <row r="642" spans="1:1">
      <c r="A642" s="339"/>
    </row>
    <row r="643" spans="1:1">
      <c r="A643" s="339"/>
    </row>
    <row r="644" spans="1:1">
      <c r="A644" s="339"/>
    </row>
    <row r="645" spans="1:1">
      <c r="A645" s="339"/>
    </row>
    <row r="646" spans="1:1">
      <c r="A646" s="339"/>
    </row>
    <row r="647" spans="1:1">
      <c r="A647" s="339"/>
    </row>
    <row r="648" spans="1:1">
      <c r="A648" s="339"/>
    </row>
    <row r="649" spans="1:1">
      <c r="A649" s="339"/>
    </row>
    <row r="650" spans="1:1">
      <c r="A650" s="339"/>
    </row>
    <row r="651" spans="1:1">
      <c r="A651" s="339"/>
    </row>
    <row r="652" spans="1:1">
      <c r="A652" s="339"/>
    </row>
    <row r="653" spans="1:1">
      <c r="A653" s="339"/>
    </row>
    <row r="654" spans="1:1">
      <c r="A654" s="339"/>
    </row>
    <row r="655" spans="1:1">
      <c r="A655" s="339"/>
    </row>
    <row r="656" spans="1:1">
      <c r="A656" s="339"/>
    </row>
    <row r="657" spans="1:1">
      <c r="A657" s="339"/>
    </row>
    <row r="658" spans="1:1">
      <c r="A658" s="339"/>
    </row>
    <row r="659" spans="1:1">
      <c r="A659" s="339"/>
    </row>
    <row r="660" spans="1:1">
      <c r="A660" s="339"/>
    </row>
    <row r="661" spans="1:1">
      <c r="A661" s="339"/>
    </row>
    <row r="662" spans="1:1">
      <c r="A662" s="339"/>
    </row>
    <row r="663" spans="1:1">
      <c r="A663" s="339"/>
    </row>
    <row r="664" spans="1:1">
      <c r="A664" s="339"/>
    </row>
    <row r="665" spans="1:1">
      <c r="A665" s="339"/>
    </row>
    <row r="666" spans="1:1">
      <c r="A666" s="339"/>
    </row>
    <row r="667" spans="1:1">
      <c r="A667" s="339"/>
    </row>
    <row r="668" spans="1:1">
      <c r="A668" s="339"/>
    </row>
    <row r="669" spans="1:1">
      <c r="A669" s="339"/>
    </row>
    <row r="670" spans="1:1">
      <c r="A670" s="339"/>
    </row>
    <row r="671" spans="1:1">
      <c r="A671" s="339"/>
    </row>
    <row r="672" spans="1:1">
      <c r="A672" s="339"/>
    </row>
    <row r="673" spans="1:1">
      <c r="A673" s="339"/>
    </row>
    <row r="674" spans="1:1">
      <c r="A674" s="339"/>
    </row>
    <row r="675" spans="1:1">
      <c r="A675" s="339"/>
    </row>
    <row r="676" spans="1:1">
      <c r="A676" s="339"/>
    </row>
    <row r="677" spans="1:1">
      <c r="A677" s="339"/>
    </row>
    <row r="678" spans="1:1">
      <c r="A678" s="339"/>
    </row>
    <row r="679" spans="1:1">
      <c r="A679" s="339"/>
    </row>
    <row r="680" spans="1:1">
      <c r="A680" s="339"/>
    </row>
    <row r="681" spans="1:1">
      <c r="A681" s="339"/>
    </row>
    <row r="682" spans="1:1">
      <c r="A682" s="339"/>
    </row>
    <row r="683" spans="1:1">
      <c r="A683" s="339"/>
    </row>
    <row r="684" spans="1:1">
      <c r="A684" s="339"/>
    </row>
    <row r="685" spans="1:1">
      <c r="A685" s="339"/>
    </row>
    <row r="686" spans="1:1">
      <c r="A686" s="339"/>
    </row>
    <row r="687" spans="1:1">
      <c r="A687" s="339"/>
    </row>
    <row r="688" spans="1:1">
      <c r="A688" s="339"/>
    </row>
    <row r="689" spans="1:1">
      <c r="A689" s="339"/>
    </row>
    <row r="690" spans="1:1">
      <c r="A690" s="339"/>
    </row>
    <row r="691" spans="1:1">
      <c r="A691" s="339"/>
    </row>
    <row r="692" spans="1:1">
      <c r="A692" s="339"/>
    </row>
    <row r="693" spans="1:1">
      <c r="A693" s="339"/>
    </row>
    <row r="694" spans="1:1">
      <c r="A694" s="339"/>
    </row>
    <row r="695" spans="1:1">
      <c r="A695" s="339"/>
    </row>
    <row r="696" spans="1:1">
      <c r="A696" s="339"/>
    </row>
    <row r="697" spans="1:1">
      <c r="A697" s="339"/>
    </row>
    <row r="698" spans="1:1">
      <c r="A698" s="339"/>
    </row>
    <row r="699" spans="1:1">
      <c r="A699" s="339"/>
    </row>
    <row r="700" spans="1:1">
      <c r="A700" s="339"/>
    </row>
    <row r="701" spans="1:1">
      <c r="A701" s="339"/>
    </row>
    <row r="702" spans="1:1">
      <c r="A702" s="339"/>
    </row>
    <row r="703" spans="1:1">
      <c r="A703" s="339"/>
    </row>
    <row r="704" spans="1:1">
      <c r="A704" s="339"/>
    </row>
    <row r="705" spans="1:1">
      <c r="A705" s="339"/>
    </row>
    <row r="706" spans="1:1">
      <c r="A706" s="339"/>
    </row>
    <row r="707" spans="1:1">
      <c r="A707" s="339"/>
    </row>
    <row r="708" spans="1:1">
      <c r="A708" s="339"/>
    </row>
    <row r="709" spans="1:1">
      <c r="A709" s="339"/>
    </row>
    <row r="710" spans="1:1">
      <c r="A710" s="339"/>
    </row>
    <row r="711" spans="1:1">
      <c r="A711" s="339"/>
    </row>
    <row r="712" spans="1:1">
      <c r="A712" s="339"/>
    </row>
    <row r="713" spans="1:1">
      <c r="A713" s="339"/>
    </row>
    <row r="714" spans="1:1">
      <c r="A714" s="339"/>
    </row>
    <row r="715" spans="1:1">
      <c r="A715" s="339"/>
    </row>
    <row r="716" spans="1:1">
      <c r="A716" s="339"/>
    </row>
    <row r="717" spans="1:1">
      <c r="A717" s="339"/>
    </row>
    <row r="718" spans="1:1">
      <c r="A718" s="339"/>
    </row>
    <row r="719" spans="1:1">
      <c r="A719" s="339"/>
    </row>
    <row r="720" spans="1:1">
      <c r="A720" s="339"/>
    </row>
    <row r="721" spans="1:1">
      <c r="A721" s="339"/>
    </row>
    <row r="722" spans="1:1">
      <c r="A722" s="339"/>
    </row>
    <row r="723" spans="1:1">
      <c r="A723" s="339"/>
    </row>
    <row r="724" spans="1:1">
      <c r="A724" s="339"/>
    </row>
    <row r="725" spans="1:1">
      <c r="A725" s="339"/>
    </row>
    <row r="726" spans="1:1">
      <c r="A726" s="339"/>
    </row>
    <row r="727" spans="1:1">
      <c r="A727" s="339"/>
    </row>
    <row r="728" spans="1:1">
      <c r="A728" s="339"/>
    </row>
    <row r="729" spans="1:1">
      <c r="A729" s="339"/>
    </row>
    <row r="730" spans="1:1">
      <c r="A730" s="339"/>
    </row>
    <row r="731" spans="1:1">
      <c r="A731" s="339"/>
    </row>
    <row r="732" spans="1:1">
      <c r="A732" s="339"/>
    </row>
    <row r="733" spans="1:1">
      <c r="A733" s="339"/>
    </row>
    <row r="734" spans="1:1">
      <c r="A734" s="339"/>
    </row>
    <row r="735" spans="1:1">
      <c r="A735" s="339"/>
    </row>
    <row r="736" spans="1:1">
      <c r="A736" s="339"/>
    </row>
    <row r="737" spans="1:1">
      <c r="A737" s="339"/>
    </row>
    <row r="738" spans="1:1">
      <c r="A738" s="339"/>
    </row>
    <row r="739" spans="1:1">
      <c r="A739" s="339"/>
    </row>
    <row r="740" spans="1:1">
      <c r="A740" s="339"/>
    </row>
    <row r="741" spans="1:1">
      <c r="A741" s="339"/>
    </row>
    <row r="742" spans="1:1">
      <c r="A742" s="339"/>
    </row>
    <row r="743" spans="1:1">
      <c r="A743" s="339"/>
    </row>
    <row r="744" spans="1:1">
      <c r="A744" s="339"/>
    </row>
    <row r="745" spans="1:1">
      <c r="A745" s="339"/>
    </row>
    <row r="746" spans="1:1">
      <c r="A746" s="339"/>
    </row>
    <row r="747" spans="1:1">
      <c r="A747" s="339"/>
    </row>
    <row r="748" spans="1:1">
      <c r="A748" s="339"/>
    </row>
    <row r="749" spans="1:1">
      <c r="A749" s="339"/>
    </row>
    <row r="750" spans="1:1">
      <c r="A750" s="339"/>
    </row>
    <row r="751" spans="1:1">
      <c r="A751" s="339"/>
    </row>
    <row r="752" spans="1:1">
      <c r="A752" s="339"/>
    </row>
    <row r="753" spans="1:1">
      <c r="A753" s="339"/>
    </row>
    <row r="754" spans="1:1">
      <c r="A754" s="339"/>
    </row>
    <row r="755" spans="1:1">
      <c r="A755" s="339"/>
    </row>
    <row r="756" spans="1:1">
      <c r="A756" s="339"/>
    </row>
    <row r="757" spans="1:1">
      <c r="A757" s="339"/>
    </row>
    <row r="758" spans="1:1">
      <c r="A758" s="339"/>
    </row>
    <row r="759" spans="1:1">
      <c r="A759" s="339"/>
    </row>
    <row r="760" spans="1:1">
      <c r="A760" s="339"/>
    </row>
    <row r="761" spans="1:1">
      <c r="A761" s="339"/>
    </row>
    <row r="762" spans="1:1">
      <c r="A762" s="339"/>
    </row>
    <row r="763" spans="1:1">
      <c r="A763" s="339"/>
    </row>
    <row r="764" spans="1:1">
      <c r="A764" s="339"/>
    </row>
    <row r="765" spans="1:1">
      <c r="A765" s="339"/>
    </row>
    <row r="766" spans="1:1">
      <c r="A766" s="339"/>
    </row>
    <row r="767" spans="1:1">
      <c r="A767" s="339"/>
    </row>
    <row r="768" spans="1:1">
      <c r="A768" s="339"/>
    </row>
    <row r="769" spans="1:1">
      <c r="A769" s="339"/>
    </row>
    <row r="770" spans="1:1">
      <c r="A770" s="339"/>
    </row>
    <row r="771" spans="1:1">
      <c r="A771" s="339"/>
    </row>
    <row r="772" spans="1:1">
      <c r="A772" s="339"/>
    </row>
    <row r="773" spans="1:1">
      <c r="A773" s="339"/>
    </row>
    <row r="774" spans="1:1">
      <c r="A774" s="339"/>
    </row>
    <row r="775" spans="1:1">
      <c r="A775" s="339"/>
    </row>
    <row r="776" spans="1:1">
      <c r="A776" s="339"/>
    </row>
    <row r="777" spans="1:1">
      <c r="A777" s="339"/>
    </row>
    <row r="778" spans="1:1">
      <c r="A778" s="339"/>
    </row>
    <row r="779" spans="1:1">
      <c r="A779" s="339"/>
    </row>
    <row r="780" spans="1:1">
      <c r="A780" s="339"/>
    </row>
    <row r="781" spans="1:1">
      <c r="A781" s="339"/>
    </row>
    <row r="782" spans="1:1">
      <c r="A782" s="339"/>
    </row>
    <row r="783" spans="1:1">
      <c r="A783" s="339"/>
    </row>
    <row r="784" spans="1:1">
      <c r="A784" s="339"/>
    </row>
    <row r="785" spans="1:1">
      <c r="A785" s="339"/>
    </row>
    <row r="786" spans="1:1">
      <c r="A786" s="339"/>
    </row>
    <row r="787" spans="1:1">
      <c r="A787" s="339"/>
    </row>
    <row r="788" spans="1:1">
      <c r="A788" s="339"/>
    </row>
    <row r="789" spans="1:1">
      <c r="A789" s="339"/>
    </row>
    <row r="790" spans="1:1">
      <c r="A790" s="339"/>
    </row>
    <row r="791" spans="1:1">
      <c r="A791" s="339"/>
    </row>
    <row r="792" spans="1:1">
      <c r="A792" s="339"/>
    </row>
    <row r="793" spans="1:1">
      <c r="A793" s="339"/>
    </row>
    <row r="794" spans="1:1">
      <c r="A794" s="339"/>
    </row>
    <row r="795" spans="1:1">
      <c r="A795" s="339"/>
    </row>
    <row r="796" spans="1:1">
      <c r="A796" s="339"/>
    </row>
    <row r="797" spans="1:1">
      <c r="A797" s="339"/>
    </row>
    <row r="798" spans="1:1">
      <c r="A798" s="339"/>
    </row>
    <row r="799" spans="1:1">
      <c r="A799" s="339"/>
    </row>
    <row r="800" spans="1:1">
      <c r="A800" s="339"/>
    </row>
    <row r="801" spans="1:1">
      <c r="A801" s="339"/>
    </row>
    <row r="802" spans="1:1">
      <c r="A802" s="339"/>
    </row>
    <row r="803" spans="1:1">
      <c r="A803" s="339"/>
    </row>
    <row r="804" spans="1:1">
      <c r="A804" s="339"/>
    </row>
    <row r="805" spans="1:1">
      <c r="A805" s="339"/>
    </row>
    <row r="806" spans="1:1">
      <c r="A806" s="339"/>
    </row>
    <row r="807" spans="1:1">
      <c r="A807" s="339"/>
    </row>
    <row r="808" spans="1:1">
      <c r="A808" s="339"/>
    </row>
    <row r="809" spans="1:1">
      <c r="A809" s="339"/>
    </row>
    <row r="810" spans="1:1">
      <c r="A810" s="339"/>
    </row>
    <row r="811" spans="1:1">
      <c r="A811" s="339"/>
    </row>
    <row r="812" spans="1:1">
      <c r="A812" s="339"/>
    </row>
    <row r="813" spans="1:1">
      <c r="A813" s="339"/>
    </row>
    <row r="814" spans="1:1">
      <c r="A814" s="339"/>
    </row>
    <row r="815" spans="1:1">
      <c r="A815" s="339"/>
    </row>
    <row r="816" spans="1:1">
      <c r="A816" s="339"/>
    </row>
    <row r="817" spans="1:1">
      <c r="A817" s="339"/>
    </row>
    <row r="818" spans="1:1">
      <c r="A818" s="339"/>
    </row>
    <row r="819" spans="1:1">
      <c r="A819" s="339"/>
    </row>
    <row r="820" spans="1:1">
      <c r="A820" s="339"/>
    </row>
    <row r="821" spans="1:1">
      <c r="A821" s="339"/>
    </row>
    <row r="822" spans="1:1">
      <c r="A822" s="339"/>
    </row>
    <row r="823" spans="1:1">
      <c r="A823" s="339"/>
    </row>
    <row r="824" spans="1:1">
      <c r="A824" s="339"/>
    </row>
    <row r="825" spans="1:1">
      <c r="A825" s="339"/>
    </row>
    <row r="826" spans="1:1">
      <c r="A826" s="339"/>
    </row>
    <row r="827" spans="1:1">
      <c r="A827" s="339"/>
    </row>
    <row r="828" spans="1:1">
      <c r="A828" s="339"/>
    </row>
    <row r="829" spans="1:1">
      <c r="A829" s="339"/>
    </row>
    <row r="830" spans="1:1">
      <c r="A830" s="339"/>
    </row>
    <row r="831" spans="1:1">
      <c r="A831" s="339"/>
    </row>
    <row r="832" spans="1:1">
      <c r="A832" s="339"/>
    </row>
    <row r="833" spans="1:1">
      <c r="A833" s="339"/>
    </row>
    <row r="834" spans="1:1">
      <c r="A834" s="339"/>
    </row>
    <row r="835" spans="1:1">
      <c r="A835" s="339"/>
    </row>
    <row r="836" spans="1:1">
      <c r="A836" s="339"/>
    </row>
    <row r="837" spans="1:1">
      <c r="A837" s="339"/>
    </row>
    <row r="838" spans="1:1">
      <c r="A838" s="339"/>
    </row>
    <row r="839" spans="1:1">
      <c r="A839" s="339"/>
    </row>
    <row r="840" spans="1:1">
      <c r="A840" s="339"/>
    </row>
    <row r="841" spans="1:1">
      <c r="A841" s="339"/>
    </row>
    <row r="842" spans="1:1">
      <c r="A842" s="339"/>
    </row>
    <row r="843" spans="1:1">
      <c r="A843" s="339"/>
    </row>
    <row r="844" spans="1:1">
      <c r="A844" s="339"/>
    </row>
    <row r="845" spans="1:1">
      <c r="A845" s="339"/>
    </row>
    <row r="846" spans="1:1">
      <c r="A846" s="339"/>
    </row>
    <row r="847" spans="1:1">
      <c r="A847" s="339"/>
    </row>
    <row r="848" spans="1:1">
      <c r="A848" s="339"/>
    </row>
    <row r="849" spans="1:1">
      <c r="A849" s="339"/>
    </row>
    <row r="850" spans="1:1">
      <c r="A850" s="339"/>
    </row>
    <row r="851" spans="1:1">
      <c r="A851" s="339"/>
    </row>
    <row r="852" spans="1:1">
      <c r="A852" s="339"/>
    </row>
    <row r="853" spans="1:1">
      <c r="A853" s="339"/>
    </row>
    <row r="854" spans="1:1">
      <c r="A854" s="339"/>
    </row>
    <row r="855" spans="1:1">
      <c r="A855" s="339"/>
    </row>
    <row r="856" spans="1:1">
      <c r="A856" s="339"/>
    </row>
    <row r="857" spans="1:1">
      <c r="A857" s="339"/>
    </row>
    <row r="858" spans="1:1">
      <c r="A858" s="339"/>
    </row>
    <row r="859" spans="1:1">
      <c r="A859" s="339"/>
    </row>
    <row r="860" spans="1:1">
      <c r="A860" s="339"/>
    </row>
    <row r="861" spans="1:1">
      <c r="A861" s="339"/>
    </row>
    <row r="862" spans="1:1">
      <c r="A862" s="339"/>
    </row>
    <row r="863" spans="1:1">
      <c r="A863" s="339"/>
    </row>
    <row r="864" spans="1:1">
      <c r="A864" s="339"/>
    </row>
    <row r="865" spans="1:1">
      <c r="A865" s="339"/>
    </row>
    <row r="866" spans="1:1">
      <c r="A866" s="339"/>
    </row>
    <row r="867" spans="1:1">
      <c r="A867" s="339"/>
    </row>
    <row r="868" spans="1:1">
      <c r="A868" s="339"/>
    </row>
    <row r="869" spans="1:1">
      <c r="A869" s="339"/>
    </row>
    <row r="870" spans="1:1">
      <c r="A870" s="339"/>
    </row>
    <row r="871" spans="1:1">
      <c r="A871" s="339"/>
    </row>
    <row r="872" spans="1:1">
      <c r="A872" s="339"/>
    </row>
    <row r="873" spans="1:1">
      <c r="A873" s="339"/>
    </row>
    <row r="874" spans="1:1">
      <c r="A874" s="339"/>
    </row>
    <row r="875" spans="1:1">
      <c r="A875" s="339"/>
    </row>
    <row r="876" spans="1:1">
      <c r="A876" s="339"/>
    </row>
    <row r="877" spans="1:1">
      <c r="A877" s="339"/>
    </row>
    <row r="878" spans="1:1">
      <c r="A878" s="339"/>
    </row>
    <row r="879" spans="1:1">
      <c r="A879" s="339"/>
    </row>
    <row r="880" spans="1:1">
      <c r="A880" s="339"/>
    </row>
    <row r="881" spans="1:1">
      <c r="A881" s="339"/>
    </row>
    <row r="882" spans="1:1">
      <c r="A882" s="339"/>
    </row>
    <row r="883" spans="1:1">
      <c r="A883" s="339"/>
    </row>
    <row r="884" spans="1:1">
      <c r="A884" s="339"/>
    </row>
    <row r="885" spans="1:1">
      <c r="A885" s="339"/>
    </row>
    <row r="886" spans="1:1">
      <c r="A886" s="339"/>
    </row>
    <row r="887" spans="1:1">
      <c r="A887" s="339"/>
    </row>
    <row r="888" spans="1:1">
      <c r="A888" s="339"/>
    </row>
    <row r="889" spans="1:1">
      <c r="A889" s="339"/>
    </row>
    <row r="890" spans="1:1">
      <c r="A890" s="339"/>
    </row>
    <row r="891" spans="1:1">
      <c r="A891" s="339"/>
    </row>
    <row r="892" spans="1:1">
      <c r="A892" s="339"/>
    </row>
    <row r="893" spans="1:1">
      <c r="A893" s="339"/>
    </row>
    <row r="894" spans="1:1">
      <c r="A894" s="339"/>
    </row>
    <row r="895" spans="1:1">
      <c r="A895" s="339"/>
    </row>
    <row r="896" spans="1:1">
      <c r="A896" s="339"/>
    </row>
    <row r="897" spans="1:1">
      <c r="A897" s="339"/>
    </row>
    <row r="898" spans="1:1">
      <c r="A898" s="339"/>
    </row>
    <row r="899" spans="1:1">
      <c r="A899" s="339"/>
    </row>
    <row r="900" spans="1:1">
      <c r="A900" s="339"/>
    </row>
    <row r="901" spans="1:1">
      <c r="A901" s="339"/>
    </row>
    <row r="902" spans="1:1">
      <c r="A902" s="339"/>
    </row>
    <row r="903" spans="1:1">
      <c r="A903" s="339"/>
    </row>
    <row r="904" spans="1:1">
      <c r="A904" s="339"/>
    </row>
    <row r="905" spans="1:1">
      <c r="A905" s="339"/>
    </row>
    <row r="906" spans="1:1">
      <c r="A906" s="339"/>
    </row>
    <row r="907" spans="1:1">
      <c r="A907" s="339"/>
    </row>
    <row r="908" spans="1:1">
      <c r="A908" s="339"/>
    </row>
    <row r="909" spans="1:1">
      <c r="A909" s="339"/>
    </row>
    <row r="910" spans="1:1">
      <c r="A910" s="339"/>
    </row>
    <row r="911" spans="1:1">
      <c r="A911" s="339"/>
    </row>
    <row r="912" spans="1:1">
      <c r="A912" s="339"/>
    </row>
    <row r="913" spans="1:1">
      <c r="A913" s="339"/>
    </row>
    <row r="914" spans="1:1">
      <c r="A914" s="339"/>
    </row>
    <row r="915" spans="1:1">
      <c r="A915" s="339"/>
    </row>
    <row r="916" spans="1:1">
      <c r="A916" s="339"/>
    </row>
    <row r="917" spans="1:1">
      <c r="A917" s="339"/>
    </row>
    <row r="918" spans="1:1">
      <c r="A918" s="339"/>
    </row>
    <row r="919" spans="1:1">
      <c r="A919" s="339"/>
    </row>
    <row r="920" spans="1:1">
      <c r="A920" s="339"/>
    </row>
    <row r="921" spans="1:1">
      <c r="A921" s="339"/>
    </row>
    <row r="922" spans="1:1">
      <c r="A922" s="339"/>
    </row>
    <row r="923" spans="1:1">
      <c r="A923" s="339"/>
    </row>
    <row r="924" spans="1:1">
      <c r="A924" s="339"/>
    </row>
    <row r="925" spans="1:1">
      <c r="A925" s="339"/>
    </row>
    <row r="926" spans="1:1">
      <c r="A926" s="339"/>
    </row>
    <row r="927" spans="1:1">
      <c r="A927" s="339"/>
    </row>
    <row r="928" spans="1:1">
      <c r="A928" s="339"/>
    </row>
    <row r="929" spans="1:1">
      <c r="A929" s="339"/>
    </row>
    <row r="930" spans="1:1">
      <c r="A930" s="339"/>
    </row>
    <row r="931" spans="1:1">
      <c r="A931" s="339"/>
    </row>
    <row r="932" spans="1:1">
      <c r="A932" s="339"/>
    </row>
    <row r="933" spans="1:1">
      <c r="A933" s="339"/>
    </row>
    <row r="934" spans="1:1">
      <c r="A934" s="339"/>
    </row>
    <row r="935" spans="1:1">
      <c r="A935" s="339"/>
    </row>
    <row r="936" spans="1:1">
      <c r="A936" s="339"/>
    </row>
    <row r="937" spans="1:1">
      <c r="A937" s="339"/>
    </row>
    <row r="938" spans="1:1">
      <c r="A938" s="339"/>
    </row>
    <row r="939" spans="1:1">
      <c r="A939" s="339"/>
    </row>
    <row r="940" spans="1:1">
      <c r="A940" s="339"/>
    </row>
    <row r="941" spans="1:1">
      <c r="A941" s="339"/>
    </row>
    <row r="942" spans="1:1">
      <c r="A942" s="339"/>
    </row>
    <row r="943" spans="1:1">
      <c r="A943" s="339"/>
    </row>
    <row r="944" spans="1:1">
      <c r="A944" s="339"/>
    </row>
    <row r="945" spans="1:1">
      <c r="A945" s="339"/>
    </row>
    <row r="946" spans="1:1">
      <c r="A946" s="339"/>
    </row>
    <row r="947" spans="1:1">
      <c r="A947" s="339"/>
    </row>
    <row r="948" spans="1:1">
      <c r="A948" s="339"/>
    </row>
    <row r="949" spans="1:1">
      <c r="A949" s="339"/>
    </row>
    <row r="950" spans="1:1">
      <c r="A950" s="339"/>
    </row>
    <row r="951" spans="1:1">
      <c r="A951" s="339"/>
    </row>
    <row r="952" spans="1:1">
      <c r="A952" s="339"/>
    </row>
    <row r="953" spans="1:1">
      <c r="A953" s="339"/>
    </row>
    <row r="954" spans="1:1">
      <c r="A954" s="339"/>
    </row>
    <row r="955" spans="1:1">
      <c r="A955" s="339"/>
    </row>
    <row r="956" spans="1:1">
      <c r="A956" s="339"/>
    </row>
    <row r="957" spans="1:1">
      <c r="A957" s="339"/>
    </row>
    <row r="958" spans="1:1">
      <c r="A958" s="339"/>
    </row>
    <row r="959" spans="1:1">
      <c r="A959" s="339"/>
    </row>
    <row r="960" spans="1:1">
      <c r="A960" s="339"/>
    </row>
    <row r="961" spans="1:1">
      <c r="A961" s="339"/>
    </row>
    <row r="962" spans="1:1">
      <c r="A962" s="339"/>
    </row>
    <row r="963" spans="1:1">
      <c r="A963" s="339"/>
    </row>
    <row r="964" spans="1:1">
      <c r="A964" s="339"/>
    </row>
    <row r="965" spans="1:1">
      <c r="A965" s="339"/>
    </row>
    <row r="966" spans="1:1">
      <c r="A966" s="339"/>
    </row>
    <row r="967" spans="1:1">
      <c r="A967" s="339"/>
    </row>
    <row r="968" spans="1:1">
      <c r="A968" s="339"/>
    </row>
    <row r="969" spans="1:1">
      <c r="A969" s="339"/>
    </row>
    <row r="970" spans="1:1">
      <c r="A970" s="339"/>
    </row>
    <row r="971" spans="1:1">
      <c r="A971" s="339"/>
    </row>
    <row r="972" spans="1:1">
      <c r="A972" s="339"/>
    </row>
    <row r="973" spans="1:1">
      <c r="A973" s="339"/>
    </row>
    <row r="974" spans="1:1">
      <c r="A974" s="339"/>
    </row>
    <row r="975" spans="1:1">
      <c r="A975" s="339"/>
    </row>
    <row r="976" spans="1:1">
      <c r="A976" s="339"/>
    </row>
    <row r="977" spans="1:1">
      <c r="A977" s="339"/>
    </row>
    <row r="978" spans="1:1">
      <c r="A978" s="339"/>
    </row>
    <row r="979" spans="1:1">
      <c r="A979" s="339"/>
    </row>
    <row r="980" spans="1:1">
      <c r="A980" s="339"/>
    </row>
    <row r="981" spans="1:1">
      <c r="A981" s="339"/>
    </row>
    <row r="982" spans="1:1">
      <c r="A982" s="339"/>
    </row>
    <row r="983" spans="1:1">
      <c r="A983" s="339"/>
    </row>
    <row r="984" spans="1:1">
      <c r="A984" s="339"/>
    </row>
    <row r="985" spans="1:1">
      <c r="A985" s="339"/>
    </row>
    <row r="986" spans="1:1">
      <c r="A986" s="339"/>
    </row>
    <row r="987" spans="1:1">
      <c r="A987" s="339"/>
    </row>
    <row r="988" spans="1:1">
      <c r="A988" s="339"/>
    </row>
    <row r="989" spans="1:1">
      <c r="A989" s="339"/>
    </row>
    <row r="990" spans="1:1">
      <c r="A990" s="339"/>
    </row>
    <row r="991" spans="1:1">
      <c r="A991" s="339"/>
    </row>
    <row r="992" spans="1:1">
      <c r="A992" s="339"/>
    </row>
    <row r="993" spans="1:1">
      <c r="A993" s="339"/>
    </row>
    <row r="994" spans="1:1">
      <c r="A994" s="339"/>
    </row>
    <row r="995" spans="1:1">
      <c r="A995" s="339"/>
    </row>
    <row r="996" spans="1:1">
      <c r="A996" s="339"/>
    </row>
    <row r="997" spans="1:1">
      <c r="A997" s="339"/>
    </row>
    <row r="998" spans="1:1">
      <c r="A998" s="339"/>
    </row>
    <row r="999" spans="1:1">
      <c r="A999" s="339"/>
    </row>
    <row r="1000" spans="1:1">
      <c r="A1000" s="339"/>
    </row>
    <row r="1001" spans="1:1">
      <c r="A1001" s="339"/>
    </row>
    <row r="1002" spans="1:1">
      <c r="A1002" s="339"/>
    </row>
    <row r="1003" spans="1:1">
      <c r="A1003" s="339"/>
    </row>
    <row r="1004" spans="1:1">
      <c r="A1004" s="339"/>
    </row>
    <row r="1005" spans="1:1">
      <c r="A1005" s="339"/>
    </row>
    <row r="1006" spans="1:1">
      <c r="A1006" s="339"/>
    </row>
    <row r="1007" spans="1:1">
      <c r="A1007" s="339"/>
    </row>
    <row r="1008" spans="1:1">
      <c r="A1008" s="339"/>
    </row>
    <row r="1009" spans="1:1">
      <c r="A1009" s="339"/>
    </row>
    <row r="1010" spans="1:1">
      <c r="A1010" s="339"/>
    </row>
    <row r="1011" spans="1:1">
      <c r="A1011" s="339"/>
    </row>
    <row r="1012" spans="1:1">
      <c r="A1012" s="339"/>
    </row>
    <row r="1013" spans="1:1">
      <c r="A1013" s="339"/>
    </row>
    <row r="1014" spans="1:1">
      <c r="A1014" s="339"/>
    </row>
    <row r="1015" spans="1:1">
      <c r="A1015" s="339"/>
    </row>
    <row r="1016" spans="1:1">
      <c r="A1016" s="339"/>
    </row>
    <row r="1017" spans="1:1">
      <c r="A1017" s="339"/>
    </row>
    <row r="1018" spans="1:1">
      <c r="A1018" s="339"/>
    </row>
    <row r="1019" spans="1:1">
      <c r="A1019" s="339"/>
    </row>
    <row r="1020" spans="1:1">
      <c r="A1020" s="339"/>
    </row>
    <row r="1021" spans="1:1">
      <c r="A1021" s="339"/>
    </row>
    <row r="1022" spans="1:1">
      <c r="A1022" s="339"/>
    </row>
    <row r="1023" spans="1:1">
      <c r="A1023" s="339"/>
    </row>
    <row r="1024" spans="1:1">
      <c r="A1024" s="339"/>
    </row>
    <row r="1025" spans="1:1">
      <c r="A1025" s="339"/>
    </row>
    <row r="1026" spans="1:1">
      <c r="A1026" s="339"/>
    </row>
    <row r="1027" spans="1:1">
      <c r="A1027" s="339"/>
    </row>
    <row r="1028" spans="1:1">
      <c r="A1028" s="339"/>
    </row>
    <row r="1029" spans="1:1">
      <c r="A1029" s="339"/>
    </row>
    <row r="1030" spans="1:1">
      <c r="A1030" s="339"/>
    </row>
    <row r="1031" spans="1:1">
      <c r="A1031" s="339"/>
    </row>
    <row r="1032" spans="1:1">
      <c r="A1032" s="339"/>
    </row>
    <row r="1033" spans="1:1">
      <c r="A1033" s="339"/>
    </row>
    <row r="1034" spans="1:1">
      <c r="A1034" s="339"/>
    </row>
    <row r="1035" spans="1:1">
      <c r="A1035" s="339"/>
    </row>
    <row r="1036" spans="1:1">
      <c r="A1036" s="339"/>
    </row>
    <row r="1037" spans="1:1">
      <c r="A1037" s="339"/>
    </row>
    <row r="1038" spans="1:1">
      <c r="A1038" s="339"/>
    </row>
    <row r="1039" spans="1:1">
      <c r="A1039" s="339"/>
    </row>
    <row r="1040" spans="1:1">
      <c r="A1040" s="339"/>
    </row>
    <row r="1041" spans="1:1">
      <c r="A1041" s="339"/>
    </row>
    <row r="1042" spans="1:1">
      <c r="A1042" s="339"/>
    </row>
    <row r="1043" spans="1:1">
      <c r="A1043" s="339"/>
    </row>
    <row r="1044" spans="1:1">
      <c r="A1044" s="339"/>
    </row>
    <row r="1045" spans="1:1">
      <c r="A1045" s="339"/>
    </row>
    <row r="1046" spans="1:1">
      <c r="A1046" s="339"/>
    </row>
    <row r="1047" spans="1:1">
      <c r="A1047" s="339"/>
    </row>
    <row r="1048" spans="1:1">
      <c r="A1048" s="339"/>
    </row>
    <row r="1049" spans="1:1">
      <c r="A1049" s="339"/>
    </row>
    <row r="1050" spans="1:1">
      <c r="A1050" s="339"/>
    </row>
    <row r="1051" spans="1:1">
      <c r="A1051" s="339"/>
    </row>
    <row r="1052" spans="1:1">
      <c r="A1052" s="339"/>
    </row>
    <row r="1053" spans="1:1">
      <c r="A1053" s="339"/>
    </row>
    <row r="1054" spans="1:1">
      <c r="A1054" s="339"/>
    </row>
    <row r="1055" spans="1:1">
      <c r="A1055" s="339"/>
    </row>
    <row r="1056" spans="1:1">
      <c r="A1056" s="339"/>
    </row>
    <row r="1057" spans="1:1">
      <c r="A1057" s="339"/>
    </row>
    <row r="1058" spans="1:1">
      <c r="A1058" s="339"/>
    </row>
    <row r="1059" spans="1:1">
      <c r="A1059" s="339"/>
    </row>
    <row r="1060" spans="1:1">
      <c r="A1060" s="339"/>
    </row>
    <row r="1061" spans="1:1">
      <c r="A1061" s="339"/>
    </row>
    <row r="1062" spans="1:1">
      <c r="A1062" s="339"/>
    </row>
    <row r="1063" spans="1:1">
      <c r="A1063" s="339"/>
    </row>
    <row r="1064" spans="1:1">
      <c r="A1064" s="339"/>
    </row>
    <row r="1065" spans="1:1">
      <c r="A1065" s="339"/>
    </row>
    <row r="1066" spans="1:1">
      <c r="A1066" s="339"/>
    </row>
    <row r="1067" spans="1:1">
      <c r="A1067" s="339"/>
    </row>
    <row r="1068" spans="1:1">
      <c r="A1068" s="339"/>
    </row>
    <row r="1069" spans="1:1">
      <c r="A1069" s="339"/>
    </row>
    <row r="1070" spans="1:1">
      <c r="A1070" s="339"/>
    </row>
    <row r="1071" spans="1:1">
      <c r="A1071" s="339"/>
    </row>
    <row r="1072" spans="1:1">
      <c r="A1072" s="339"/>
    </row>
    <row r="1073" spans="1:1">
      <c r="A1073" s="339"/>
    </row>
    <row r="1074" spans="1:1">
      <c r="A1074" s="339"/>
    </row>
    <row r="1075" spans="1:1">
      <c r="A1075" s="339"/>
    </row>
    <row r="1076" spans="1:1">
      <c r="A1076" s="339"/>
    </row>
    <row r="1077" spans="1:1">
      <c r="A1077" s="339"/>
    </row>
    <row r="1078" spans="1:1">
      <c r="A1078" s="339"/>
    </row>
    <row r="1079" spans="1:1">
      <c r="A1079" s="339"/>
    </row>
    <row r="1080" spans="1:1">
      <c r="A1080" s="339"/>
    </row>
    <row r="1081" spans="1:1">
      <c r="A1081" s="339"/>
    </row>
    <row r="1082" spans="1:1">
      <c r="A1082" s="339"/>
    </row>
    <row r="1083" spans="1:1">
      <c r="A1083" s="339"/>
    </row>
    <row r="1084" spans="1:1">
      <c r="A1084" s="339"/>
    </row>
    <row r="1085" spans="1:1">
      <c r="A1085" s="339"/>
    </row>
    <row r="1086" spans="1:1">
      <c r="A1086" s="339"/>
    </row>
    <row r="1087" spans="1:1">
      <c r="A1087" s="339"/>
    </row>
    <row r="1088" spans="1:1">
      <c r="A1088" s="339"/>
    </row>
    <row r="1089" spans="1:1">
      <c r="A1089" s="339"/>
    </row>
    <row r="1090" spans="1:1">
      <c r="A1090" s="339"/>
    </row>
    <row r="1091" spans="1:1">
      <c r="A1091" s="339"/>
    </row>
    <row r="1092" spans="1:1">
      <c r="A1092" s="339"/>
    </row>
    <row r="1093" spans="1:1">
      <c r="A1093" s="339"/>
    </row>
    <row r="1094" spans="1:1">
      <c r="A1094" s="339"/>
    </row>
    <row r="1095" spans="1:1">
      <c r="A1095" s="339"/>
    </row>
    <row r="1096" spans="1:1">
      <c r="A1096" s="339"/>
    </row>
    <row r="1097" spans="1:1">
      <c r="A1097" s="339"/>
    </row>
    <row r="1098" spans="1:1">
      <c r="A1098" s="339"/>
    </row>
    <row r="1099" spans="1:1">
      <c r="A1099" s="339"/>
    </row>
    <row r="1100" spans="1:1">
      <c r="A1100" s="339"/>
    </row>
    <row r="1101" spans="1:1">
      <c r="A1101" s="339"/>
    </row>
    <row r="1102" spans="1:1">
      <c r="A1102" s="339"/>
    </row>
    <row r="1103" spans="1:1">
      <c r="A1103" s="339"/>
    </row>
    <row r="1104" spans="1:1">
      <c r="A1104" s="339"/>
    </row>
    <row r="1105" spans="1:1">
      <c r="A1105" s="339"/>
    </row>
    <row r="1106" spans="1:1">
      <c r="A1106" s="339"/>
    </row>
    <row r="1107" spans="1:1">
      <c r="A1107" s="339"/>
    </row>
    <row r="1108" spans="1:1">
      <c r="A1108" s="339"/>
    </row>
    <row r="1109" spans="1:1">
      <c r="A1109" s="339"/>
    </row>
    <row r="1110" spans="1:1">
      <c r="A1110" s="339"/>
    </row>
    <row r="1111" spans="1:1">
      <c r="A1111" s="339"/>
    </row>
    <row r="1112" spans="1:1">
      <c r="A1112" s="339"/>
    </row>
    <row r="1113" spans="1:1">
      <c r="A1113" s="339"/>
    </row>
    <row r="1114" spans="1:1">
      <c r="A1114" s="339"/>
    </row>
    <row r="1115" spans="1:1">
      <c r="A1115" s="339"/>
    </row>
    <row r="1116" spans="1:1">
      <c r="A1116" s="339"/>
    </row>
    <row r="1117" spans="1:1">
      <c r="A1117" s="339"/>
    </row>
    <row r="1118" spans="1:1">
      <c r="A1118" s="339"/>
    </row>
    <row r="1119" spans="1:1">
      <c r="A1119" s="339"/>
    </row>
    <row r="1120" spans="1:1">
      <c r="A1120" s="339"/>
    </row>
    <row r="1121" spans="1:1">
      <c r="A1121" s="339"/>
    </row>
    <row r="1122" spans="1:1">
      <c r="A1122" s="339"/>
    </row>
    <row r="1123" spans="1:1">
      <c r="A1123" s="339"/>
    </row>
    <row r="1124" spans="1:1">
      <c r="A1124" s="339"/>
    </row>
    <row r="1125" spans="1:1">
      <c r="A1125" s="339"/>
    </row>
    <row r="1126" spans="1:1">
      <c r="A1126" s="339"/>
    </row>
    <row r="1127" spans="1:1">
      <c r="A1127" s="339"/>
    </row>
    <row r="1128" spans="1:1">
      <c r="A1128" s="339"/>
    </row>
    <row r="1129" spans="1:1">
      <c r="A1129" s="339"/>
    </row>
    <row r="1130" spans="1:1">
      <c r="A1130" s="339"/>
    </row>
    <row r="1131" spans="1:1">
      <c r="A1131" s="339"/>
    </row>
    <row r="1132" spans="1:1">
      <c r="A1132" s="339"/>
    </row>
    <row r="1133" spans="1:1">
      <c r="A1133" s="339"/>
    </row>
    <row r="1134" spans="1:1">
      <c r="A1134" s="339"/>
    </row>
    <row r="1135" spans="1:1">
      <c r="A1135" s="339"/>
    </row>
    <row r="1136" spans="1:1">
      <c r="A1136" s="339"/>
    </row>
    <row r="1137" spans="1:1">
      <c r="A1137" s="339"/>
    </row>
    <row r="1138" spans="1:1">
      <c r="A1138" s="339"/>
    </row>
    <row r="1139" spans="1:1">
      <c r="A1139" s="339"/>
    </row>
    <row r="1140" spans="1:1">
      <c r="A1140" s="339"/>
    </row>
    <row r="1141" spans="1:1">
      <c r="A1141" s="339"/>
    </row>
    <row r="1142" spans="1:1">
      <c r="A1142" s="339"/>
    </row>
    <row r="1143" spans="1:1">
      <c r="A1143" s="339"/>
    </row>
    <row r="1144" spans="1:1">
      <c r="A1144" s="339"/>
    </row>
    <row r="1145" spans="1:1">
      <c r="A1145" s="339"/>
    </row>
    <row r="1146" spans="1:1">
      <c r="A1146" s="339"/>
    </row>
    <row r="1147" spans="1:1">
      <c r="A1147" s="339"/>
    </row>
    <row r="1148" spans="1:1">
      <c r="A1148" s="339"/>
    </row>
    <row r="1149" spans="1:1">
      <c r="A1149" s="339"/>
    </row>
    <row r="1150" spans="1:1">
      <c r="A1150" s="339"/>
    </row>
    <row r="1151" spans="1:1">
      <c r="A1151" s="339"/>
    </row>
    <row r="1152" spans="1:1">
      <c r="A1152" s="339"/>
    </row>
    <row r="1153" spans="1:1">
      <c r="A1153" s="339"/>
    </row>
    <row r="1154" spans="1:1">
      <c r="A1154" s="339"/>
    </row>
    <row r="1155" spans="1:1">
      <c r="A1155" s="339"/>
    </row>
    <row r="1156" spans="1:1">
      <c r="A1156" s="339"/>
    </row>
    <row r="1157" spans="1:1">
      <c r="A1157" s="339"/>
    </row>
    <row r="1158" spans="1:1">
      <c r="A1158" s="339"/>
    </row>
    <row r="1159" spans="1:1">
      <c r="A1159" s="339"/>
    </row>
    <row r="1160" spans="1:1">
      <c r="A1160" s="339"/>
    </row>
    <row r="1161" spans="1:1">
      <c r="A1161" s="339"/>
    </row>
    <row r="1162" spans="1:1">
      <c r="A1162" s="339"/>
    </row>
    <row r="1163" spans="1:1">
      <c r="A1163" s="339"/>
    </row>
    <row r="1164" spans="1:1">
      <c r="A1164" s="339"/>
    </row>
    <row r="1165" spans="1:1">
      <c r="A1165" s="339"/>
    </row>
    <row r="1166" spans="1:1">
      <c r="A1166" s="339"/>
    </row>
    <row r="1167" spans="1:1">
      <c r="A1167" s="339"/>
    </row>
    <row r="1168" spans="1:1">
      <c r="A1168" s="339"/>
    </row>
    <row r="1169" spans="1:1">
      <c r="A1169" s="339"/>
    </row>
    <row r="1170" spans="1:1">
      <c r="A1170" s="339"/>
    </row>
    <row r="1171" spans="1:1">
      <c r="A1171" s="339"/>
    </row>
    <row r="1172" spans="1:1">
      <c r="A1172" s="339"/>
    </row>
    <row r="1173" spans="1:1">
      <c r="A1173" s="339"/>
    </row>
    <row r="1174" spans="1:1">
      <c r="A1174" s="339"/>
    </row>
    <row r="1175" spans="1:1">
      <c r="A1175" s="339"/>
    </row>
    <row r="1176" spans="1:1">
      <c r="A1176" s="339"/>
    </row>
    <row r="1177" spans="1:1">
      <c r="A1177" s="339"/>
    </row>
    <row r="1178" spans="1:1">
      <c r="A1178" s="339"/>
    </row>
    <row r="1179" spans="1:1">
      <c r="A1179" s="339"/>
    </row>
    <row r="1180" spans="1:1">
      <c r="A1180" s="339"/>
    </row>
    <row r="1181" spans="1:1">
      <c r="A1181" s="339"/>
    </row>
    <row r="1182" spans="1:1">
      <c r="A1182" s="339"/>
    </row>
    <row r="1183" spans="1:1">
      <c r="A1183" s="339"/>
    </row>
    <row r="1184" spans="1:1">
      <c r="A1184" s="339"/>
    </row>
    <row r="1185" spans="1:1">
      <c r="A1185" s="339"/>
    </row>
    <row r="1186" spans="1:1">
      <c r="A1186" s="339"/>
    </row>
    <row r="1187" spans="1:1">
      <c r="A1187" s="339"/>
    </row>
    <row r="1188" spans="1:1">
      <c r="A1188" s="339"/>
    </row>
    <row r="1189" spans="1:1">
      <c r="A1189" s="339"/>
    </row>
    <row r="1190" spans="1:1">
      <c r="A1190" s="339"/>
    </row>
    <row r="1191" spans="1:1">
      <c r="A1191" s="339"/>
    </row>
    <row r="1192" spans="1:1">
      <c r="A1192" s="339"/>
    </row>
    <row r="1193" spans="1:1">
      <c r="A1193" s="339"/>
    </row>
    <row r="1194" spans="1:1">
      <c r="A1194" s="339"/>
    </row>
    <row r="1195" spans="1:1">
      <c r="A1195" s="339"/>
    </row>
    <row r="1196" spans="1:1">
      <c r="A1196" s="339"/>
    </row>
    <row r="1197" spans="1:1">
      <c r="A1197" s="339"/>
    </row>
    <row r="1198" spans="1:1">
      <c r="A1198" s="339"/>
    </row>
    <row r="1199" spans="1:1">
      <c r="A1199" s="339"/>
    </row>
    <row r="1200" spans="1:1">
      <c r="A1200" s="339"/>
    </row>
    <row r="1201" spans="1:1">
      <c r="A1201" s="339"/>
    </row>
    <row r="1202" spans="1:1">
      <c r="A1202" s="339"/>
    </row>
    <row r="1203" spans="1:1">
      <c r="A1203" s="339"/>
    </row>
    <row r="1204" spans="1:1">
      <c r="A1204" s="339"/>
    </row>
    <row r="1205" spans="1:1">
      <c r="A1205" s="339"/>
    </row>
    <row r="1206" spans="1:1">
      <c r="A1206" s="339"/>
    </row>
    <row r="1207" spans="1:1">
      <c r="A1207" s="339"/>
    </row>
    <row r="1208" spans="1:1">
      <c r="A1208" s="339"/>
    </row>
    <row r="1209" spans="1:1">
      <c r="A1209" s="339"/>
    </row>
    <row r="1210" spans="1:1">
      <c r="A1210" s="339"/>
    </row>
    <row r="1211" spans="1:1">
      <c r="A1211" s="339"/>
    </row>
    <row r="1212" spans="1:1">
      <c r="A1212" s="339"/>
    </row>
    <row r="1213" spans="1:1">
      <c r="A1213" s="339"/>
    </row>
    <row r="1214" spans="1:1">
      <c r="A1214" s="339"/>
    </row>
    <row r="1215" spans="1:1">
      <c r="A1215" s="339"/>
    </row>
    <row r="1216" spans="1:1">
      <c r="A1216" s="339"/>
    </row>
    <row r="1217" spans="1:1">
      <c r="A1217" s="339"/>
    </row>
    <row r="1218" spans="1:1">
      <c r="A1218" s="339"/>
    </row>
    <row r="1219" spans="1:1">
      <c r="A1219" s="339"/>
    </row>
    <row r="1220" spans="1:1">
      <c r="A1220" s="339"/>
    </row>
    <row r="1221" spans="1:1">
      <c r="A1221" s="339"/>
    </row>
    <row r="1222" spans="1:1">
      <c r="A1222" s="339"/>
    </row>
    <row r="1223" spans="1:1">
      <c r="A1223" s="339"/>
    </row>
    <row r="1224" spans="1:1">
      <c r="A1224" s="339"/>
    </row>
    <row r="1225" spans="1:1">
      <c r="A1225" s="339"/>
    </row>
    <row r="1226" spans="1:1">
      <c r="A1226" s="339"/>
    </row>
    <row r="1227" spans="1:1">
      <c r="A1227" s="339"/>
    </row>
    <row r="1228" spans="1:1">
      <c r="A1228" s="339"/>
    </row>
    <row r="1229" spans="1:1">
      <c r="A1229" s="339"/>
    </row>
    <row r="1230" spans="1:1">
      <c r="A1230" s="339"/>
    </row>
    <row r="1231" spans="1:1">
      <c r="A1231" s="339"/>
    </row>
    <row r="1232" spans="1:1">
      <c r="A1232" s="339"/>
    </row>
    <row r="1233" spans="1:1">
      <c r="A1233" s="339"/>
    </row>
    <row r="1234" spans="1:1">
      <c r="A1234" s="339"/>
    </row>
    <row r="1235" spans="1:1">
      <c r="A1235" s="339"/>
    </row>
    <row r="1236" spans="1:1">
      <c r="A1236" s="339"/>
    </row>
    <row r="1237" spans="1:1">
      <c r="A1237" s="339"/>
    </row>
    <row r="1238" spans="1:1">
      <c r="A1238" s="339"/>
    </row>
    <row r="1239" spans="1:1">
      <c r="A1239" s="339"/>
    </row>
    <row r="1240" spans="1:1">
      <c r="A1240" s="339"/>
    </row>
    <row r="1241" spans="1:1">
      <c r="A1241" s="339"/>
    </row>
    <row r="1242" spans="1:1">
      <c r="A1242" s="339"/>
    </row>
    <row r="1243" spans="1:1">
      <c r="A1243" s="339"/>
    </row>
    <row r="1244" spans="1:1">
      <c r="A1244" s="339"/>
    </row>
    <row r="1245" spans="1:1">
      <c r="A1245" s="339"/>
    </row>
    <row r="1246" spans="1:1">
      <c r="A1246" s="339"/>
    </row>
    <row r="1247" spans="1:1">
      <c r="A1247" s="339"/>
    </row>
    <row r="1248" spans="1:1">
      <c r="A1248" s="339"/>
    </row>
    <row r="1249" spans="1:1">
      <c r="A1249" s="339"/>
    </row>
    <row r="1250" spans="1:1">
      <c r="A1250" s="339"/>
    </row>
    <row r="1251" spans="1:1">
      <c r="A1251" s="339"/>
    </row>
    <row r="1252" spans="1:1">
      <c r="A1252" s="339"/>
    </row>
    <row r="1253" spans="1:1">
      <c r="A1253" s="339"/>
    </row>
    <row r="1254" spans="1:1">
      <c r="A1254" s="339"/>
    </row>
    <row r="1255" spans="1:1">
      <c r="A1255" s="339"/>
    </row>
    <row r="1256" spans="1:1">
      <c r="A1256" s="339"/>
    </row>
    <row r="1257" spans="1:1">
      <c r="A1257" s="339"/>
    </row>
    <row r="1258" spans="1:1">
      <c r="A1258" s="339"/>
    </row>
    <row r="1259" spans="1:1">
      <c r="A1259" s="339"/>
    </row>
    <row r="1260" spans="1:1">
      <c r="A1260" s="339"/>
    </row>
    <row r="1261" spans="1:1">
      <c r="A1261" s="339"/>
    </row>
    <row r="1262" spans="1:1">
      <c r="A1262" s="339"/>
    </row>
    <row r="1263" spans="1:1">
      <c r="A1263" s="339"/>
    </row>
    <row r="1264" spans="1:1">
      <c r="A1264" s="339"/>
    </row>
    <row r="1265" spans="1:1">
      <c r="A1265" s="339"/>
    </row>
    <row r="1266" spans="1:1">
      <c r="A1266" s="339"/>
    </row>
    <row r="1267" spans="1:1">
      <c r="A1267" s="339"/>
    </row>
    <row r="1268" spans="1:1">
      <c r="A1268" s="339"/>
    </row>
    <row r="1269" spans="1:1">
      <c r="A1269" s="339"/>
    </row>
    <row r="1270" spans="1:1">
      <c r="A1270" s="339"/>
    </row>
    <row r="1271" spans="1:1">
      <c r="A1271" s="339"/>
    </row>
    <row r="1272" spans="1:1">
      <c r="A1272" s="339"/>
    </row>
    <row r="1273" spans="1:1">
      <c r="A1273" s="339"/>
    </row>
    <row r="1274" spans="1:1">
      <c r="A1274" s="339"/>
    </row>
    <row r="1275" spans="1:1">
      <c r="A1275" s="339"/>
    </row>
    <row r="1276" spans="1:1">
      <c r="A1276" s="339"/>
    </row>
    <row r="1277" spans="1:1">
      <c r="A1277" s="339"/>
    </row>
    <row r="1278" spans="1:1">
      <c r="A1278" s="339"/>
    </row>
    <row r="1279" spans="1:1">
      <c r="A1279" s="339"/>
    </row>
    <row r="1280" spans="1:1">
      <c r="A1280" s="339"/>
    </row>
    <row r="1281" spans="1:1">
      <c r="A1281" s="339"/>
    </row>
    <row r="1282" spans="1:1">
      <c r="A1282" s="339"/>
    </row>
    <row r="1283" spans="1:1">
      <c r="A1283" s="339"/>
    </row>
    <row r="1284" spans="1:1">
      <c r="A1284" s="339"/>
    </row>
    <row r="1285" spans="1:1">
      <c r="A1285" s="339"/>
    </row>
    <row r="1286" spans="1:1">
      <c r="A1286" s="339"/>
    </row>
    <row r="1287" spans="1:1">
      <c r="A1287" s="339"/>
    </row>
    <row r="1288" spans="1:1">
      <c r="A1288" s="339"/>
    </row>
    <row r="1289" spans="1:1">
      <c r="A1289" s="339"/>
    </row>
    <row r="1290" spans="1:1">
      <c r="A1290" s="339"/>
    </row>
    <row r="1291" spans="1:1">
      <c r="A1291" s="339"/>
    </row>
    <row r="1292" spans="1:1">
      <c r="A1292" s="339"/>
    </row>
    <row r="1293" spans="1:1">
      <c r="A1293" s="339"/>
    </row>
    <row r="1294" spans="1:1">
      <c r="A1294" s="339"/>
    </row>
    <row r="1295" spans="1:1">
      <c r="A1295" s="339"/>
    </row>
    <row r="1296" spans="1:1">
      <c r="A1296" s="339"/>
    </row>
    <row r="1297" spans="1:1">
      <c r="A1297" s="339"/>
    </row>
    <row r="1298" spans="1:1">
      <c r="A1298" s="339"/>
    </row>
    <row r="1299" spans="1:1">
      <c r="A1299" s="339"/>
    </row>
    <row r="1300" spans="1:1">
      <c r="A1300" s="339"/>
    </row>
    <row r="1301" spans="1:1">
      <c r="A1301" s="339"/>
    </row>
    <row r="1302" spans="1:1">
      <c r="A1302" s="339"/>
    </row>
    <row r="1303" spans="1:1">
      <c r="A1303" s="339"/>
    </row>
    <row r="1304" spans="1:1">
      <c r="A1304" s="339"/>
    </row>
    <row r="1305" spans="1:1">
      <c r="A1305" s="339"/>
    </row>
    <row r="1306" spans="1:1">
      <c r="A1306" s="339"/>
    </row>
    <row r="1307" spans="1:1">
      <c r="A1307" s="339"/>
    </row>
    <row r="1308" spans="1:1">
      <c r="A1308" s="339"/>
    </row>
    <row r="1309" spans="1:1">
      <c r="A1309" s="339"/>
    </row>
    <row r="1310" spans="1:1">
      <c r="A1310" s="339"/>
    </row>
    <row r="1311" spans="1:1">
      <c r="A1311" s="339"/>
    </row>
    <row r="1312" spans="1:1">
      <c r="A1312" s="339"/>
    </row>
    <row r="1313" spans="1:1">
      <c r="A1313" s="339"/>
    </row>
    <row r="1314" spans="1:1">
      <c r="A1314" s="339"/>
    </row>
    <row r="1315" spans="1:1">
      <c r="A1315" s="339"/>
    </row>
    <row r="1316" spans="1:1">
      <c r="A1316" s="339"/>
    </row>
    <row r="1317" spans="1:1">
      <c r="A1317" s="339"/>
    </row>
    <row r="1318" spans="1:1">
      <c r="A1318" s="339"/>
    </row>
    <row r="1319" spans="1:1">
      <c r="A1319" s="339"/>
    </row>
    <row r="1320" spans="1:1">
      <c r="A1320" s="339"/>
    </row>
    <row r="1321" spans="1:1">
      <c r="A1321" s="339"/>
    </row>
    <row r="1322" spans="1:1">
      <c r="A1322" s="339"/>
    </row>
    <row r="1323" spans="1:1">
      <c r="A1323" s="339"/>
    </row>
    <row r="1324" spans="1:1">
      <c r="A1324" s="339"/>
    </row>
    <row r="1325" spans="1:1">
      <c r="A1325" s="339"/>
    </row>
    <row r="1326" spans="1:1">
      <c r="A1326" s="339"/>
    </row>
    <row r="1327" spans="1:1">
      <c r="A1327" s="339"/>
    </row>
    <row r="1328" spans="1:1">
      <c r="A1328" s="339"/>
    </row>
    <row r="1329" spans="1:1">
      <c r="A1329" s="339"/>
    </row>
    <row r="1330" spans="1:1">
      <c r="A1330" s="339"/>
    </row>
    <row r="1331" spans="1:1">
      <c r="A1331" s="339"/>
    </row>
    <row r="1332" spans="1:1">
      <c r="A1332" s="339"/>
    </row>
    <row r="1333" spans="1:1">
      <c r="A1333" s="339"/>
    </row>
    <row r="1334" spans="1:1">
      <c r="A1334" s="339"/>
    </row>
    <row r="1335" spans="1:1">
      <c r="A1335" s="339"/>
    </row>
    <row r="1336" spans="1:1">
      <c r="A1336" s="339"/>
    </row>
    <row r="1337" spans="1:1">
      <c r="A1337" s="339"/>
    </row>
    <row r="1338" spans="1:1">
      <c r="A1338" s="339"/>
    </row>
    <row r="1339" spans="1:1">
      <c r="A1339" s="339"/>
    </row>
    <row r="1340" spans="1:1">
      <c r="A1340" s="339"/>
    </row>
    <row r="1341" spans="1:1">
      <c r="A1341" s="339"/>
    </row>
    <row r="1342" spans="1:1">
      <c r="A1342" s="339"/>
    </row>
    <row r="1343" spans="1:1">
      <c r="A1343" s="339"/>
    </row>
    <row r="1344" spans="1:1">
      <c r="A1344" s="339"/>
    </row>
    <row r="1345" spans="1:1">
      <c r="A1345" s="339"/>
    </row>
    <row r="1346" spans="1:1">
      <c r="A1346" s="339"/>
    </row>
    <row r="1347" spans="1:1">
      <c r="A1347" s="339"/>
    </row>
    <row r="1348" spans="1:1">
      <c r="A1348" s="339"/>
    </row>
    <row r="1349" spans="1:1">
      <c r="A1349" s="339"/>
    </row>
    <row r="1350" spans="1:1">
      <c r="A1350" s="339"/>
    </row>
    <row r="1351" spans="1:1">
      <c r="A1351" s="339"/>
    </row>
    <row r="1352" spans="1:1">
      <c r="A1352" s="339"/>
    </row>
    <row r="1353" spans="1:1">
      <c r="A1353" s="339"/>
    </row>
    <row r="1354" spans="1:1">
      <c r="A1354" s="339"/>
    </row>
    <row r="1355" spans="1:1">
      <c r="A1355" s="339"/>
    </row>
    <row r="1356" spans="1:1">
      <c r="A1356" s="339"/>
    </row>
    <row r="1357" spans="1:1">
      <c r="A1357" s="339"/>
    </row>
    <row r="1358" spans="1:1">
      <c r="A1358" s="339"/>
    </row>
    <row r="1359" spans="1:1">
      <c r="A1359" s="339"/>
    </row>
    <row r="1360" spans="1:1">
      <c r="A1360" s="339"/>
    </row>
    <row r="1361" spans="1:1">
      <c r="A1361" s="339"/>
    </row>
    <row r="1362" spans="1:1">
      <c r="A1362" s="339"/>
    </row>
    <row r="1363" spans="1:1">
      <c r="A1363" s="339"/>
    </row>
    <row r="1364" spans="1:1">
      <c r="A1364" s="339"/>
    </row>
    <row r="1365" spans="1:1">
      <c r="A1365" s="339"/>
    </row>
    <row r="1366" spans="1:1">
      <c r="A1366" s="339"/>
    </row>
    <row r="1367" spans="1:1">
      <c r="A1367" s="339"/>
    </row>
    <row r="1368" spans="1:1">
      <c r="A1368" s="339"/>
    </row>
    <row r="1369" spans="1:1">
      <c r="A1369" s="339"/>
    </row>
    <row r="1370" spans="1:1">
      <c r="A1370" s="339"/>
    </row>
    <row r="1371" spans="1:1">
      <c r="A1371" s="339"/>
    </row>
    <row r="1372" spans="1:1">
      <c r="A1372" s="339"/>
    </row>
    <row r="1373" spans="1:1">
      <c r="A1373" s="339"/>
    </row>
    <row r="1374" spans="1:1">
      <c r="A1374" s="339"/>
    </row>
    <row r="1375" spans="1:1">
      <c r="A1375" s="339"/>
    </row>
    <row r="1376" spans="1:1">
      <c r="A1376" s="339"/>
    </row>
    <row r="1377" spans="1:1">
      <c r="A1377" s="339"/>
    </row>
    <row r="1378" spans="1:1">
      <c r="A1378" s="339"/>
    </row>
    <row r="1379" spans="1:1">
      <c r="A1379" s="339"/>
    </row>
    <row r="1380" spans="1:1">
      <c r="A1380" s="339"/>
    </row>
    <row r="1381" spans="1:1">
      <c r="A1381" s="339"/>
    </row>
    <row r="1382" spans="1:1">
      <c r="A1382" s="339"/>
    </row>
    <row r="1383" spans="1:1">
      <c r="A1383" s="339"/>
    </row>
    <row r="1384" spans="1:1">
      <c r="A1384" s="339"/>
    </row>
    <row r="1385" spans="1:1">
      <c r="A1385" s="339"/>
    </row>
    <row r="1386" spans="1:1">
      <c r="A1386" s="339"/>
    </row>
    <row r="1387" spans="1:1">
      <c r="A1387" s="339"/>
    </row>
    <row r="1388" spans="1:1">
      <c r="A1388" s="339"/>
    </row>
    <row r="1389" spans="1:1">
      <c r="A1389" s="339"/>
    </row>
    <row r="1390" spans="1:1">
      <c r="A1390" s="339"/>
    </row>
    <row r="1391" spans="1:1">
      <c r="A1391" s="339"/>
    </row>
    <row r="1392" spans="1:1">
      <c r="A1392" s="339"/>
    </row>
    <row r="1393" spans="1:1">
      <c r="A1393" s="339"/>
    </row>
    <row r="1394" spans="1:1">
      <c r="A1394" s="339"/>
    </row>
    <row r="1395" spans="1:1">
      <c r="A1395" s="339"/>
    </row>
    <row r="1396" spans="1:1">
      <c r="A1396" s="339"/>
    </row>
    <row r="1397" spans="1:1">
      <c r="A1397" s="339"/>
    </row>
    <row r="1398" spans="1:1">
      <c r="A1398" s="339"/>
    </row>
    <row r="1399" spans="1:1">
      <c r="A1399" s="339"/>
    </row>
    <row r="1400" spans="1:1">
      <c r="A1400" s="339"/>
    </row>
    <row r="1401" spans="1:1">
      <c r="A1401" s="339"/>
    </row>
    <row r="1402" spans="1:1">
      <c r="A1402" s="339"/>
    </row>
    <row r="1403" spans="1:1">
      <c r="A1403" s="339"/>
    </row>
    <row r="1404" spans="1:1">
      <c r="A1404" s="339"/>
    </row>
    <row r="1405" spans="1:1">
      <c r="A1405" s="339"/>
    </row>
    <row r="1406" spans="1:1">
      <c r="A1406" s="339"/>
    </row>
    <row r="1407" spans="1:1">
      <c r="A1407" s="339"/>
    </row>
    <row r="1408" spans="1:1">
      <c r="A1408" s="339"/>
    </row>
    <row r="1409" spans="1:1">
      <c r="A1409" s="339"/>
    </row>
    <row r="1410" spans="1:1">
      <c r="A1410" s="339"/>
    </row>
    <row r="1411" spans="1:1">
      <c r="A1411" s="339"/>
    </row>
    <row r="1412" spans="1:1">
      <c r="A1412" s="339"/>
    </row>
    <row r="1413" spans="1:1">
      <c r="A1413" s="339"/>
    </row>
    <row r="1414" spans="1:1">
      <c r="A1414" s="339"/>
    </row>
    <row r="1415" spans="1:1">
      <c r="A1415" s="339"/>
    </row>
    <row r="1416" spans="1:1">
      <c r="A1416" s="339"/>
    </row>
    <row r="1417" spans="1:1">
      <c r="A1417" s="339"/>
    </row>
    <row r="1418" spans="1:1">
      <c r="A1418" s="339"/>
    </row>
    <row r="1419" spans="1:1">
      <c r="A1419" s="339"/>
    </row>
    <row r="1420" spans="1:1">
      <c r="A1420" s="339"/>
    </row>
    <row r="1421" spans="1:1">
      <c r="A1421" s="339"/>
    </row>
    <row r="1422" spans="1:1">
      <c r="A1422" s="339"/>
    </row>
    <row r="1423" spans="1:1">
      <c r="A1423" s="339"/>
    </row>
    <row r="1424" spans="1:1">
      <c r="A1424" s="339"/>
    </row>
    <row r="1425" spans="1:1">
      <c r="A1425" s="339"/>
    </row>
    <row r="1426" spans="1:1">
      <c r="A1426" s="339"/>
    </row>
    <row r="1427" spans="1:1">
      <c r="A1427" s="339"/>
    </row>
    <row r="1428" spans="1:1">
      <c r="A1428" s="339"/>
    </row>
    <row r="1429" spans="1:1">
      <c r="A1429" s="339"/>
    </row>
    <row r="1430" spans="1:1">
      <c r="A1430" s="339"/>
    </row>
    <row r="1431" spans="1:1">
      <c r="A1431" s="339"/>
    </row>
    <row r="1432" spans="1:1">
      <c r="A1432" s="339"/>
    </row>
    <row r="1433" spans="1:1">
      <c r="A1433" s="339"/>
    </row>
    <row r="1434" spans="1:1">
      <c r="A1434" s="339"/>
    </row>
    <row r="1435" spans="1:1">
      <c r="A1435" s="339"/>
    </row>
    <row r="1436" spans="1:1">
      <c r="A1436" s="339"/>
    </row>
    <row r="1437" spans="1:1">
      <c r="A1437" s="339"/>
    </row>
    <row r="1438" spans="1:1">
      <c r="A1438" s="339"/>
    </row>
    <row r="1439" spans="1:1">
      <c r="A1439" s="339"/>
    </row>
    <row r="1440" spans="1:1">
      <c r="A1440" s="339"/>
    </row>
    <row r="1441" spans="1:1">
      <c r="A1441" s="339"/>
    </row>
    <row r="1442" spans="1:1">
      <c r="A1442" s="339"/>
    </row>
    <row r="1443" spans="1:1">
      <c r="A1443" s="339"/>
    </row>
    <row r="1444" spans="1:1">
      <c r="A1444" s="339"/>
    </row>
    <row r="1445" spans="1:1">
      <c r="A1445" s="339"/>
    </row>
    <row r="1446" spans="1:1">
      <c r="A1446" s="339"/>
    </row>
    <row r="1447" spans="1:1">
      <c r="A1447" s="339"/>
    </row>
    <row r="1448" spans="1:1">
      <c r="A1448" s="339"/>
    </row>
    <row r="1449" spans="1:1">
      <c r="A1449" s="339"/>
    </row>
    <row r="1450" spans="1:1">
      <c r="A1450" s="339"/>
    </row>
    <row r="1451" spans="1:1">
      <c r="A1451" s="339"/>
    </row>
    <row r="1452" spans="1:1">
      <c r="A1452" s="339"/>
    </row>
    <row r="1453" spans="1:1">
      <c r="A1453" s="339"/>
    </row>
    <row r="1454" spans="1:1">
      <c r="A1454" s="339"/>
    </row>
    <row r="1455" spans="1:1">
      <c r="A1455" s="339"/>
    </row>
    <row r="1456" spans="1:1">
      <c r="A1456" s="339"/>
    </row>
    <row r="1457" spans="1:1">
      <c r="A1457" s="339"/>
    </row>
    <row r="1458" spans="1:1">
      <c r="A1458" s="339"/>
    </row>
    <row r="1459" spans="1:1">
      <c r="A1459" s="339"/>
    </row>
    <row r="1460" spans="1:1">
      <c r="A1460" s="339"/>
    </row>
    <row r="1461" spans="1:1">
      <c r="A1461" s="339"/>
    </row>
    <row r="1462" spans="1:1">
      <c r="A1462" s="339"/>
    </row>
    <row r="1463" spans="1:1">
      <c r="A1463" s="339"/>
    </row>
    <row r="1464" spans="1:1">
      <c r="A1464" s="339"/>
    </row>
    <row r="1465" spans="1:1">
      <c r="A1465" s="339"/>
    </row>
    <row r="1466" spans="1:1">
      <c r="A1466" s="339"/>
    </row>
    <row r="1467" spans="1:1">
      <c r="A1467" s="339"/>
    </row>
    <row r="1468" spans="1:1">
      <c r="A1468" s="339"/>
    </row>
    <row r="1469" spans="1:1">
      <c r="A1469" s="339"/>
    </row>
    <row r="1470" spans="1:1">
      <c r="A1470" s="339"/>
    </row>
    <row r="1471" spans="1:1">
      <c r="A1471" s="339"/>
    </row>
    <row r="1472" spans="1:1">
      <c r="A1472" s="339"/>
    </row>
    <row r="1473" spans="1:1">
      <c r="A1473" s="339"/>
    </row>
    <row r="1474" spans="1:1">
      <c r="A1474" s="339"/>
    </row>
    <row r="1475" spans="1:1">
      <c r="A1475" s="339"/>
    </row>
    <row r="1476" spans="1:1">
      <c r="A1476" s="339"/>
    </row>
    <row r="1477" spans="1:1">
      <c r="A1477" s="339"/>
    </row>
    <row r="1478" spans="1:1">
      <c r="A1478" s="339"/>
    </row>
    <row r="1479" spans="1:1">
      <c r="A1479" s="339"/>
    </row>
    <row r="1480" spans="1:1">
      <c r="A1480" s="339"/>
    </row>
    <row r="1481" spans="1:1">
      <c r="A1481" s="339"/>
    </row>
    <row r="1482" spans="1:1">
      <c r="A1482" s="339"/>
    </row>
    <row r="1483" spans="1:1">
      <c r="A1483" s="339"/>
    </row>
    <row r="1484" spans="1:1">
      <c r="A1484" s="339"/>
    </row>
    <row r="1485" spans="1:1">
      <c r="A1485" s="339"/>
    </row>
    <row r="1486" spans="1:1">
      <c r="A1486" s="339"/>
    </row>
    <row r="1487" spans="1:1">
      <c r="A1487" s="339"/>
    </row>
    <row r="1488" spans="1:1">
      <c r="A1488" s="339"/>
    </row>
    <row r="1489" spans="1:1">
      <c r="A1489" s="339"/>
    </row>
    <row r="1490" spans="1:1">
      <c r="A1490" s="339"/>
    </row>
    <row r="1491" spans="1:1">
      <c r="A1491" s="339"/>
    </row>
    <row r="1492" spans="1:1">
      <c r="A1492" s="339"/>
    </row>
    <row r="1493" spans="1:1">
      <c r="A1493" s="339"/>
    </row>
    <row r="1494" spans="1:1">
      <c r="A1494" s="339"/>
    </row>
    <row r="1495" spans="1:1">
      <c r="A1495" s="339"/>
    </row>
    <row r="1496" spans="1:1">
      <c r="A1496" s="339"/>
    </row>
    <row r="1497" spans="1:1">
      <c r="A1497" s="339"/>
    </row>
    <row r="1498" spans="1:1">
      <c r="A1498" s="339"/>
    </row>
    <row r="1499" spans="1:1">
      <c r="A1499" s="339"/>
    </row>
    <row r="1500" spans="1:1">
      <c r="A1500" s="339"/>
    </row>
    <row r="1501" spans="1:1">
      <c r="A1501" s="339"/>
    </row>
    <row r="1502" spans="1:1">
      <c r="A1502" s="339"/>
    </row>
    <row r="1503" spans="1:1">
      <c r="A1503" s="339"/>
    </row>
    <row r="1504" spans="1:1">
      <c r="A1504" s="339"/>
    </row>
    <row r="1505" spans="1:1">
      <c r="A1505" s="339"/>
    </row>
    <row r="1506" spans="1:1">
      <c r="A1506" s="339"/>
    </row>
    <row r="1507" spans="1:1">
      <c r="A1507" s="339"/>
    </row>
    <row r="1508" spans="1:1">
      <c r="A1508" s="339"/>
    </row>
    <row r="1509" spans="1:1">
      <c r="A1509" s="339"/>
    </row>
    <row r="1510" spans="1:1">
      <c r="A1510" s="339"/>
    </row>
    <row r="1511" spans="1:1">
      <c r="A1511" s="339"/>
    </row>
    <row r="1512" spans="1:1">
      <c r="A1512" s="339"/>
    </row>
    <row r="1513" spans="1:1">
      <c r="A1513" s="339"/>
    </row>
    <row r="1514" spans="1:1">
      <c r="A1514" s="339"/>
    </row>
    <row r="1515" spans="1:1">
      <c r="A1515" s="339"/>
    </row>
    <row r="1516" spans="1:1">
      <c r="A1516" s="339"/>
    </row>
    <row r="1517" spans="1:1">
      <c r="A1517" s="339"/>
    </row>
    <row r="1518" spans="1:1">
      <c r="A1518" s="339"/>
    </row>
    <row r="1519" spans="1:1">
      <c r="A1519" s="339"/>
    </row>
    <row r="1520" spans="1:1">
      <c r="A1520" s="339"/>
    </row>
    <row r="1521" spans="1:1">
      <c r="A1521" s="339"/>
    </row>
    <row r="1522" spans="1:1">
      <c r="A1522" s="339"/>
    </row>
    <row r="1523" spans="1:1">
      <c r="A1523" s="339"/>
    </row>
    <row r="1524" spans="1:1">
      <c r="A1524" s="339"/>
    </row>
    <row r="1525" spans="1:1">
      <c r="A1525" s="339"/>
    </row>
    <row r="1526" spans="1:1">
      <c r="A1526" s="339"/>
    </row>
    <row r="1527" spans="1:1">
      <c r="A1527" s="339"/>
    </row>
    <row r="1528" spans="1:1">
      <c r="A1528" s="339"/>
    </row>
    <row r="1529" spans="1:1">
      <c r="A1529" s="339"/>
    </row>
    <row r="1530" spans="1:1">
      <c r="A1530" s="339"/>
    </row>
    <row r="1531" spans="1:1">
      <c r="A1531" s="339"/>
    </row>
    <row r="1532" spans="1:1">
      <c r="A1532" s="339"/>
    </row>
    <row r="1533" spans="1:1">
      <c r="A1533" s="339"/>
    </row>
    <row r="1534" spans="1:1">
      <c r="A1534" s="339"/>
    </row>
    <row r="1535" spans="1:1">
      <c r="A1535" s="339"/>
    </row>
    <row r="1536" spans="1:1">
      <c r="A1536" s="339"/>
    </row>
    <row r="1537" spans="1:1">
      <c r="A1537" s="339"/>
    </row>
    <row r="1538" spans="1:1">
      <c r="A1538" s="339"/>
    </row>
    <row r="1539" spans="1:1">
      <c r="A1539" s="339"/>
    </row>
    <row r="1540" spans="1:1">
      <c r="A1540" s="339"/>
    </row>
    <row r="1541" spans="1:1">
      <c r="A1541" s="339"/>
    </row>
    <row r="1542" spans="1:1">
      <c r="A1542" s="339"/>
    </row>
    <row r="1543" spans="1:1">
      <c r="A1543" s="339"/>
    </row>
    <row r="1544" spans="1:1">
      <c r="A1544" s="339"/>
    </row>
    <row r="1545" spans="1:1">
      <c r="A1545" s="339"/>
    </row>
    <row r="1546" spans="1:1">
      <c r="A1546" s="339"/>
    </row>
    <row r="1547" spans="1:1">
      <c r="A1547" s="339"/>
    </row>
    <row r="1548" spans="1:1">
      <c r="A1548" s="339"/>
    </row>
    <row r="1549" spans="1:1">
      <c r="A1549" s="339"/>
    </row>
    <row r="1550" spans="1:1">
      <c r="A1550" s="339"/>
    </row>
    <row r="1551" spans="1:1">
      <c r="A1551" s="339"/>
    </row>
    <row r="1552" spans="1:1">
      <c r="A1552" s="339"/>
    </row>
    <row r="1553" spans="1:1">
      <c r="A1553" s="339"/>
    </row>
    <row r="1554" spans="1:1">
      <c r="A1554" s="339"/>
    </row>
    <row r="1555" spans="1:1">
      <c r="A1555" s="339"/>
    </row>
    <row r="1556" spans="1:1">
      <c r="A1556" s="339"/>
    </row>
    <row r="1557" spans="1:1">
      <c r="A1557" s="339"/>
    </row>
    <row r="1558" spans="1:1">
      <c r="A1558" s="339"/>
    </row>
    <row r="1559" spans="1:1">
      <c r="A1559" s="339"/>
    </row>
    <row r="1560" spans="1:1">
      <c r="A1560" s="339"/>
    </row>
    <row r="1561" spans="1:1">
      <c r="A1561" s="339"/>
    </row>
    <row r="1562" spans="1:1">
      <c r="A1562" s="339"/>
    </row>
    <row r="1563" spans="1:1">
      <c r="A1563" s="339"/>
    </row>
    <row r="1564" spans="1:1">
      <c r="A1564" s="339"/>
    </row>
    <row r="1565" spans="1:1">
      <c r="A1565" s="339"/>
    </row>
    <row r="1566" spans="1:1">
      <c r="A1566" s="339"/>
    </row>
    <row r="1567" spans="1:1">
      <c r="A1567" s="339"/>
    </row>
    <row r="1568" spans="1:1">
      <c r="A1568" s="339"/>
    </row>
    <row r="1569" spans="1:1">
      <c r="A1569" s="339"/>
    </row>
    <row r="1570" spans="1:1">
      <c r="A1570" s="339"/>
    </row>
    <row r="1571" spans="1:1">
      <c r="A1571" s="339"/>
    </row>
    <row r="1572" spans="1:1">
      <c r="A1572" s="339"/>
    </row>
    <row r="1573" spans="1:1">
      <c r="A1573" s="339"/>
    </row>
    <row r="1574" spans="1:1">
      <c r="A1574" s="339"/>
    </row>
    <row r="1575" spans="1:1">
      <c r="A1575" s="339"/>
    </row>
    <row r="1576" spans="1:1">
      <c r="A1576" s="339"/>
    </row>
    <row r="1577" spans="1:1">
      <c r="A1577" s="339"/>
    </row>
    <row r="1578" spans="1:1">
      <c r="A1578" s="339"/>
    </row>
    <row r="1579" spans="1:1">
      <c r="A1579" s="339"/>
    </row>
    <row r="1580" spans="1:1">
      <c r="A1580" s="339"/>
    </row>
    <row r="1581" spans="1:1">
      <c r="A1581" s="339"/>
    </row>
    <row r="1582" spans="1:1">
      <c r="A1582" s="339"/>
    </row>
    <row r="1583" spans="1:1">
      <c r="A1583" s="339"/>
    </row>
    <row r="1584" spans="1:1">
      <c r="A1584" s="339"/>
    </row>
    <row r="1585" spans="1:1">
      <c r="A1585" s="339"/>
    </row>
    <row r="1586" spans="1:1">
      <c r="A1586" s="339"/>
    </row>
    <row r="1587" spans="1:1">
      <c r="A1587" s="339"/>
    </row>
    <row r="1588" spans="1:1">
      <c r="A1588" s="339"/>
    </row>
    <row r="1589" spans="1:1">
      <c r="A1589" s="339"/>
    </row>
    <row r="1590" spans="1:1">
      <c r="A1590" s="339"/>
    </row>
    <row r="1591" spans="1:1">
      <c r="A1591" s="339"/>
    </row>
    <row r="1592" spans="1:1">
      <c r="A1592" s="339"/>
    </row>
    <row r="1593" spans="1:1">
      <c r="A1593" s="339"/>
    </row>
    <row r="1594" spans="1:1">
      <c r="A1594" s="339"/>
    </row>
    <row r="1595" spans="1:1">
      <c r="A1595" s="339"/>
    </row>
    <row r="1596" spans="1:1">
      <c r="A1596" s="339"/>
    </row>
    <row r="1597" spans="1:1">
      <c r="A1597" s="339"/>
    </row>
    <row r="1598" spans="1:1">
      <c r="A1598" s="339"/>
    </row>
    <row r="1599" spans="1:1">
      <c r="A1599" s="339"/>
    </row>
    <row r="1600" spans="1:1">
      <c r="A1600" s="339"/>
    </row>
    <row r="1601" spans="1:1">
      <c r="A1601" s="339"/>
    </row>
    <row r="1602" spans="1:1">
      <c r="A1602" s="339"/>
    </row>
    <row r="1603" spans="1:1">
      <c r="A1603" s="339"/>
    </row>
    <row r="1604" spans="1:1">
      <c r="A1604" s="339"/>
    </row>
    <row r="1605" spans="1:1">
      <c r="A1605" s="339"/>
    </row>
    <row r="1606" spans="1:1">
      <c r="A1606" s="339"/>
    </row>
    <row r="1607" spans="1:1">
      <c r="A1607" s="339"/>
    </row>
    <row r="1608" spans="1:1">
      <c r="A1608" s="339"/>
    </row>
    <row r="1609" spans="1:1">
      <c r="A1609" s="339"/>
    </row>
    <row r="1610" spans="1:1">
      <c r="A1610" s="339"/>
    </row>
    <row r="1611" spans="1:1">
      <c r="A1611" s="339"/>
    </row>
    <row r="1612" spans="1:1">
      <c r="A1612" s="339"/>
    </row>
    <row r="1613" spans="1:1">
      <c r="A1613" s="339"/>
    </row>
    <row r="1614" spans="1:1">
      <c r="A1614" s="339"/>
    </row>
    <row r="1615" spans="1:1">
      <c r="A1615" s="339"/>
    </row>
    <row r="1616" spans="1:1">
      <c r="A1616" s="339"/>
    </row>
    <row r="1617" spans="1:1">
      <c r="A1617" s="339"/>
    </row>
    <row r="1618" spans="1:1">
      <c r="A1618" s="339"/>
    </row>
    <row r="1619" spans="1:1">
      <c r="A1619" s="339"/>
    </row>
    <row r="1620" spans="1:1">
      <c r="A1620" s="339"/>
    </row>
    <row r="1621" spans="1:1">
      <c r="A1621" s="339"/>
    </row>
    <row r="1622" spans="1:1">
      <c r="A1622" s="339"/>
    </row>
    <row r="1623" spans="1:1">
      <c r="A1623" s="339"/>
    </row>
    <row r="1624" spans="1:1">
      <c r="A1624" s="339"/>
    </row>
    <row r="1625" spans="1:1">
      <c r="A1625" s="339"/>
    </row>
    <row r="1626" spans="1:1">
      <c r="A1626" s="339"/>
    </row>
    <row r="1627" spans="1:1">
      <c r="A1627" s="339"/>
    </row>
    <row r="1628" spans="1:1">
      <c r="A1628" s="339"/>
    </row>
    <row r="1629" spans="1:1">
      <c r="A1629" s="339"/>
    </row>
    <row r="1630" spans="1:1">
      <c r="A1630" s="339"/>
    </row>
    <row r="1631" spans="1:1">
      <c r="A1631" s="339"/>
    </row>
    <row r="1632" spans="1:1">
      <c r="A1632" s="339"/>
    </row>
    <row r="1633" spans="1:1">
      <c r="A1633" s="339"/>
    </row>
    <row r="1634" spans="1:1">
      <c r="A1634" s="339"/>
    </row>
    <row r="1635" spans="1:1">
      <c r="A1635" s="339"/>
    </row>
    <row r="1636" spans="1:1">
      <c r="A1636" s="339"/>
    </row>
    <row r="1637" spans="1:1">
      <c r="A1637" s="339"/>
    </row>
    <row r="1638" spans="1:1">
      <c r="A1638" s="339"/>
    </row>
    <row r="1639" spans="1:1">
      <c r="A1639" s="339"/>
    </row>
    <row r="1640" spans="1:1">
      <c r="A1640" s="339"/>
    </row>
    <row r="1641" spans="1:1">
      <c r="A1641" s="339"/>
    </row>
    <row r="1642" spans="1:1">
      <c r="A1642" s="339"/>
    </row>
    <row r="1643" spans="1:1">
      <c r="A1643" s="339"/>
    </row>
    <row r="1644" spans="1:1">
      <c r="A1644" s="339"/>
    </row>
    <row r="1645" spans="1:1">
      <c r="A1645" s="339"/>
    </row>
    <row r="1646" spans="1:1">
      <c r="A1646" s="339"/>
    </row>
    <row r="1647" spans="1:1">
      <c r="A1647" s="339"/>
    </row>
    <row r="1648" spans="1:1">
      <c r="A1648" s="339"/>
    </row>
    <row r="1649" spans="1:1">
      <c r="A1649" s="339"/>
    </row>
    <row r="1650" spans="1:1">
      <c r="A1650" s="339"/>
    </row>
    <row r="1651" spans="1:1">
      <c r="A1651" s="339"/>
    </row>
    <row r="1652" spans="1:1">
      <c r="A1652" s="339"/>
    </row>
    <row r="1653" spans="1:1">
      <c r="A1653" s="339"/>
    </row>
    <row r="1654" spans="1:1">
      <c r="A1654" s="339"/>
    </row>
    <row r="1655" spans="1:1">
      <c r="A1655" s="339"/>
    </row>
    <row r="1656" spans="1:1">
      <c r="A1656" s="339"/>
    </row>
    <row r="1657" spans="1:1">
      <c r="A1657" s="339"/>
    </row>
    <row r="1658" spans="1:1">
      <c r="A1658" s="339"/>
    </row>
    <row r="1659" spans="1:1">
      <c r="A1659" s="339"/>
    </row>
    <row r="1660" spans="1:1">
      <c r="A1660" s="339"/>
    </row>
    <row r="1661" spans="1:1">
      <c r="A1661" s="339"/>
    </row>
    <row r="1662" spans="1:1">
      <c r="A1662" s="339"/>
    </row>
    <row r="1663" spans="1:1">
      <c r="A1663" s="339"/>
    </row>
    <row r="1664" spans="1:1">
      <c r="A1664" s="339"/>
    </row>
    <row r="1665" spans="1:1">
      <c r="A1665" s="339"/>
    </row>
    <row r="1666" spans="1:1">
      <c r="A1666" s="339"/>
    </row>
    <row r="1667" spans="1:1">
      <c r="A1667" s="339"/>
    </row>
    <row r="1668" spans="1:1">
      <c r="A1668" s="339"/>
    </row>
    <row r="1669" spans="1:1">
      <c r="A1669" s="339"/>
    </row>
    <row r="1670" spans="1:1">
      <c r="A1670" s="339"/>
    </row>
    <row r="1671" spans="1:1">
      <c r="A1671" s="339"/>
    </row>
    <row r="1672" spans="1:1">
      <c r="A1672" s="339"/>
    </row>
    <row r="1673" spans="1:1">
      <c r="A1673" s="339"/>
    </row>
    <row r="1674" spans="1:1">
      <c r="A1674" s="339"/>
    </row>
    <row r="1675" spans="1:1">
      <c r="A1675" s="339"/>
    </row>
    <row r="1676" spans="1:1">
      <c r="A1676" s="339"/>
    </row>
    <row r="1677" spans="1:1">
      <c r="A1677" s="339"/>
    </row>
    <row r="1678" spans="1:1">
      <c r="A1678" s="339"/>
    </row>
    <row r="1679" spans="1:1">
      <c r="A1679" s="339"/>
    </row>
    <row r="1680" spans="1:1">
      <c r="A1680" s="339"/>
    </row>
    <row r="1681" spans="1:1">
      <c r="A1681" s="339"/>
    </row>
    <row r="1682" spans="1:1">
      <c r="A1682" s="339"/>
    </row>
    <row r="1683" spans="1:1">
      <c r="A1683" s="339"/>
    </row>
    <row r="1684" spans="1:1">
      <c r="A1684" s="339"/>
    </row>
    <row r="1685" spans="1:1">
      <c r="A1685" s="339"/>
    </row>
    <row r="1686" spans="1:1">
      <c r="A1686" s="339"/>
    </row>
    <row r="1687" spans="1:1">
      <c r="A1687" s="339"/>
    </row>
    <row r="1688" spans="1:1">
      <c r="A1688" s="339"/>
    </row>
    <row r="1689" spans="1:1">
      <c r="A1689" s="339"/>
    </row>
    <row r="1690" spans="1:1">
      <c r="A1690" s="339"/>
    </row>
    <row r="1691" spans="1:1">
      <c r="A1691" s="339"/>
    </row>
    <row r="1692" spans="1:1">
      <c r="A1692" s="339"/>
    </row>
    <row r="1693" spans="1:1">
      <c r="A1693" s="339"/>
    </row>
    <row r="1694" spans="1:1">
      <c r="A1694" s="339"/>
    </row>
    <row r="1695" spans="1:1">
      <c r="A1695" s="339"/>
    </row>
    <row r="1696" spans="1:1">
      <c r="A1696" s="339"/>
    </row>
    <row r="1697" spans="1:1">
      <c r="A1697" s="339"/>
    </row>
    <row r="1698" spans="1:1">
      <c r="A1698" s="339"/>
    </row>
    <row r="1699" spans="1:1">
      <c r="A1699" s="339"/>
    </row>
    <row r="1700" spans="1:1">
      <c r="A1700" s="339"/>
    </row>
    <row r="1701" spans="1:1">
      <c r="A1701" s="339"/>
    </row>
    <row r="1702" spans="1:1">
      <c r="A1702" s="339"/>
    </row>
    <row r="1703" spans="1:1">
      <c r="A1703" s="339"/>
    </row>
    <row r="1704" spans="1:1">
      <c r="A1704" s="339"/>
    </row>
    <row r="1705" spans="1:1">
      <c r="A1705" s="339"/>
    </row>
    <row r="1706" spans="1:1">
      <c r="A1706" s="339"/>
    </row>
    <row r="1707" spans="1:1">
      <c r="A1707" s="339"/>
    </row>
    <row r="1708" spans="1:1">
      <c r="A1708" s="339"/>
    </row>
    <row r="1709" spans="1:1">
      <c r="A1709" s="339"/>
    </row>
    <row r="1710" spans="1:1">
      <c r="A1710" s="339"/>
    </row>
    <row r="1711" spans="1:1">
      <c r="A1711" s="339"/>
    </row>
    <row r="1712" spans="1:1">
      <c r="A1712" s="339"/>
    </row>
    <row r="1713" spans="1:1">
      <c r="A1713" s="339"/>
    </row>
    <row r="1714" spans="1:1">
      <c r="A1714" s="339"/>
    </row>
    <row r="1715" spans="1:1">
      <c r="A1715" s="339"/>
    </row>
    <row r="1716" spans="1:1">
      <c r="A1716" s="339"/>
    </row>
    <row r="1717" spans="1:1">
      <c r="A1717" s="339"/>
    </row>
    <row r="1718" spans="1:1">
      <c r="A1718" s="339"/>
    </row>
    <row r="1719" spans="1:1">
      <c r="A1719" s="339"/>
    </row>
    <row r="1720" spans="1:1">
      <c r="A1720" s="339"/>
    </row>
    <row r="1721" spans="1:1">
      <c r="A1721" s="339"/>
    </row>
    <row r="1722" spans="1:1">
      <c r="A1722" s="339"/>
    </row>
    <row r="1723" spans="1:1">
      <c r="A1723" s="339"/>
    </row>
    <row r="1724" spans="1:1">
      <c r="A1724" s="339"/>
    </row>
    <row r="1725" spans="1:1">
      <c r="A1725" s="339"/>
    </row>
    <row r="1726" spans="1:1">
      <c r="A1726" s="339"/>
    </row>
    <row r="1727" spans="1:1">
      <c r="A1727" s="339"/>
    </row>
    <row r="1728" spans="1:1">
      <c r="A1728" s="339"/>
    </row>
    <row r="1729" spans="1:1">
      <c r="A1729" s="339"/>
    </row>
    <row r="1730" spans="1:1">
      <c r="A1730" s="339"/>
    </row>
    <row r="1731" spans="1:1">
      <c r="A1731" s="339"/>
    </row>
    <row r="1732" spans="1:1">
      <c r="A1732" s="339"/>
    </row>
    <row r="1733" spans="1:1">
      <c r="A1733" s="339"/>
    </row>
    <row r="1734" spans="1:1">
      <c r="A1734" s="339"/>
    </row>
    <row r="1735" spans="1:1">
      <c r="A1735" s="339"/>
    </row>
    <row r="1736" spans="1:1">
      <c r="A1736" s="339"/>
    </row>
    <row r="1737" spans="1:1">
      <c r="A1737" s="339"/>
    </row>
    <row r="1738" spans="1:1">
      <c r="A1738" s="339"/>
    </row>
    <row r="1739" spans="1:1">
      <c r="A1739" s="339"/>
    </row>
    <row r="1740" spans="1:1">
      <c r="A1740" s="339"/>
    </row>
    <row r="1741" spans="1:1">
      <c r="A1741" s="339"/>
    </row>
    <row r="1742" spans="1:1">
      <c r="A1742" s="339"/>
    </row>
    <row r="1743" spans="1:1">
      <c r="A1743" s="339"/>
    </row>
    <row r="1744" spans="1:1">
      <c r="A1744" s="339"/>
    </row>
    <row r="1745" spans="1:1">
      <c r="A1745" s="339"/>
    </row>
    <row r="1746" spans="1:1">
      <c r="A1746" s="339"/>
    </row>
    <row r="1747" spans="1:1">
      <c r="A1747" s="339"/>
    </row>
    <row r="1748" spans="1:1">
      <c r="A1748" s="339"/>
    </row>
    <row r="1749" spans="1:1">
      <c r="A1749" s="339"/>
    </row>
    <row r="1750" spans="1:1">
      <c r="A1750" s="339"/>
    </row>
    <row r="1751" spans="1:1">
      <c r="A1751" s="339"/>
    </row>
    <row r="1752" spans="1:1">
      <c r="A1752" s="339"/>
    </row>
    <row r="1753" spans="1:1">
      <c r="A1753" s="339"/>
    </row>
    <row r="1754" spans="1:1">
      <c r="A1754" s="339"/>
    </row>
    <row r="1755" spans="1:1">
      <c r="A1755" s="339"/>
    </row>
    <row r="1756" spans="1:1">
      <c r="A1756" s="339"/>
    </row>
    <row r="1757" spans="1:1">
      <c r="A1757" s="339"/>
    </row>
    <row r="1758" spans="1:1">
      <c r="A1758" s="339"/>
    </row>
    <row r="1759" spans="1:1">
      <c r="A1759" s="339"/>
    </row>
    <row r="1760" spans="1:1">
      <c r="A1760" s="339"/>
    </row>
    <row r="1761" spans="1:1">
      <c r="A1761" s="339"/>
    </row>
    <row r="1762" spans="1:1">
      <c r="A1762" s="339"/>
    </row>
    <row r="1763" spans="1:1">
      <c r="A1763" s="339"/>
    </row>
    <row r="1764" spans="1:1">
      <c r="A1764" s="339"/>
    </row>
    <row r="1765" spans="1:1">
      <c r="A1765" s="339"/>
    </row>
    <row r="1766" spans="1:1">
      <c r="A1766" s="339"/>
    </row>
    <row r="1767" spans="1:1">
      <c r="A1767" s="339"/>
    </row>
    <row r="1768" spans="1:1">
      <c r="A1768" s="339"/>
    </row>
    <row r="1769" spans="1:1">
      <c r="A1769" s="339"/>
    </row>
    <row r="1770" spans="1:1">
      <c r="A1770" s="339"/>
    </row>
    <row r="1771" spans="1:1">
      <c r="A1771" s="339"/>
    </row>
    <row r="1772" spans="1:1">
      <c r="A1772" s="339"/>
    </row>
    <row r="1773" spans="1:1">
      <c r="A1773" s="339"/>
    </row>
    <row r="1774" spans="1:1">
      <c r="A1774" s="339"/>
    </row>
    <row r="1775" spans="1:1">
      <c r="A1775" s="339"/>
    </row>
    <row r="1776" spans="1:1">
      <c r="A1776" s="339"/>
    </row>
    <row r="1777" spans="1:1">
      <c r="A1777" s="339"/>
    </row>
    <row r="1778" spans="1:1">
      <c r="A1778" s="339"/>
    </row>
    <row r="1779" spans="1:1">
      <c r="A1779" s="339"/>
    </row>
    <row r="1780" spans="1:1">
      <c r="A1780" s="339"/>
    </row>
    <row r="1781" spans="1:1">
      <c r="A1781" s="339"/>
    </row>
    <row r="1782" spans="1:1">
      <c r="A1782" s="339"/>
    </row>
    <row r="1783" spans="1:1">
      <c r="A1783" s="339"/>
    </row>
    <row r="1784" spans="1:1">
      <c r="A1784" s="339"/>
    </row>
    <row r="1785" spans="1:1">
      <c r="A1785" s="339"/>
    </row>
    <row r="1786" spans="1:1">
      <c r="A1786" s="339"/>
    </row>
    <row r="1787" spans="1:1">
      <c r="A1787" s="339"/>
    </row>
    <row r="1788" spans="1:1">
      <c r="A1788" s="339"/>
    </row>
    <row r="1789" spans="1:1">
      <c r="A1789" s="339"/>
    </row>
    <row r="1790" spans="1:1">
      <c r="A1790" s="339"/>
    </row>
    <row r="1791" spans="1:1">
      <c r="A1791" s="339"/>
    </row>
    <row r="1792" spans="1:1">
      <c r="A1792" s="339"/>
    </row>
    <row r="1793" spans="1:1">
      <c r="A1793" s="339"/>
    </row>
    <row r="1794" spans="1:1">
      <c r="A1794" s="339"/>
    </row>
    <row r="1795" spans="1:1">
      <c r="A1795" s="339"/>
    </row>
    <row r="1796" spans="1:1">
      <c r="A1796" s="339"/>
    </row>
    <row r="1797" spans="1:1">
      <c r="A1797" s="339"/>
    </row>
    <row r="1798" spans="1:1">
      <c r="A1798" s="339"/>
    </row>
    <row r="1799" spans="1:1">
      <c r="A1799" s="339"/>
    </row>
    <row r="1800" spans="1:1">
      <c r="A1800" s="339"/>
    </row>
    <row r="1801" spans="1:1">
      <c r="A1801" s="339"/>
    </row>
    <row r="1802" spans="1:1">
      <c r="A1802" s="339"/>
    </row>
    <row r="1803" spans="1:1">
      <c r="A1803" s="339"/>
    </row>
    <row r="1804" spans="1:1">
      <c r="A1804" s="339"/>
    </row>
    <row r="1805" spans="1:1">
      <c r="A1805" s="339"/>
    </row>
    <row r="1806" spans="1:1">
      <c r="A1806" s="339"/>
    </row>
    <row r="1807" spans="1:1">
      <c r="A1807" s="339"/>
    </row>
    <row r="1808" spans="1:1">
      <c r="A1808" s="339"/>
    </row>
    <row r="1809" spans="1:1">
      <c r="A1809" s="339"/>
    </row>
    <row r="1810" spans="1:1">
      <c r="A1810" s="339"/>
    </row>
    <row r="1811" spans="1:1">
      <c r="A1811" s="339"/>
    </row>
    <row r="1812" spans="1:1">
      <c r="A1812" s="339"/>
    </row>
    <row r="1813" spans="1:1">
      <c r="A1813" s="339"/>
    </row>
    <row r="1814" spans="1:1">
      <c r="A1814" s="339"/>
    </row>
    <row r="1815" spans="1:1">
      <c r="A1815" s="339"/>
    </row>
    <row r="1816" spans="1:1">
      <c r="A1816" s="339"/>
    </row>
    <row r="1817" spans="1:1">
      <c r="A1817" s="339"/>
    </row>
    <row r="1818" spans="1:1">
      <c r="A1818" s="339"/>
    </row>
    <row r="1819" spans="1:1">
      <c r="A1819" s="339"/>
    </row>
    <row r="1820" spans="1:1">
      <c r="A1820" s="339"/>
    </row>
    <row r="1821" spans="1:1">
      <c r="A1821" s="339"/>
    </row>
    <row r="1822" spans="1:1">
      <c r="A1822" s="339"/>
    </row>
    <row r="1823" spans="1:1">
      <c r="A1823" s="339"/>
    </row>
    <row r="1824" spans="1:1">
      <c r="A1824" s="339"/>
    </row>
    <row r="1825" spans="1:1">
      <c r="A1825" s="339"/>
    </row>
    <row r="1826" spans="1:1">
      <c r="A1826" s="339"/>
    </row>
    <row r="1827" spans="1:1">
      <c r="A1827" s="339"/>
    </row>
    <row r="1828" spans="1:1">
      <c r="A1828" s="339"/>
    </row>
    <row r="1829" spans="1:1">
      <c r="A1829" s="339"/>
    </row>
    <row r="1830" spans="1:1">
      <c r="A1830" s="339"/>
    </row>
    <row r="1831" spans="1:1">
      <c r="A1831" s="339"/>
    </row>
    <row r="1832" spans="1:1">
      <c r="A1832" s="339"/>
    </row>
    <row r="1833" spans="1:1">
      <c r="A1833" s="339"/>
    </row>
    <row r="1834" spans="1:1">
      <c r="A1834" s="339"/>
    </row>
    <row r="1835" spans="1:1">
      <c r="A1835" s="339"/>
    </row>
    <row r="1836" spans="1:1">
      <c r="A1836" s="339"/>
    </row>
    <row r="1837" spans="1:1">
      <c r="A1837" s="339"/>
    </row>
    <row r="1838" spans="1:1">
      <c r="A1838" s="339"/>
    </row>
    <row r="1839" spans="1:1">
      <c r="A1839" s="339"/>
    </row>
    <row r="1840" spans="1:1">
      <c r="A1840" s="339"/>
    </row>
    <row r="1841" spans="1:1">
      <c r="A1841" s="339"/>
    </row>
    <row r="1842" spans="1:1">
      <c r="A1842" s="339"/>
    </row>
    <row r="1843" spans="1:1">
      <c r="A1843" s="339"/>
    </row>
    <row r="1844" spans="1:1">
      <c r="A1844" s="339"/>
    </row>
    <row r="1845" spans="1:1">
      <c r="A1845" s="339"/>
    </row>
    <row r="1846" spans="1:1">
      <c r="A1846" s="339"/>
    </row>
    <row r="1847" spans="1:1">
      <c r="A1847" s="339"/>
    </row>
    <row r="1848" spans="1:1">
      <c r="A1848" s="339"/>
    </row>
    <row r="1849" spans="1:1">
      <c r="A1849" s="339"/>
    </row>
    <row r="1850" spans="1:1">
      <c r="A1850" s="339"/>
    </row>
    <row r="1851" spans="1:1">
      <c r="A1851" s="339"/>
    </row>
    <row r="1852" spans="1:1">
      <c r="A1852" s="339"/>
    </row>
    <row r="1853" spans="1:1">
      <c r="A1853" s="339"/>
    </row>
    <row r="1854" spans="1:1">
      <c r="A1854" s="339"/>
    </row>
    <row r="1855" spans="1:1">
      <c r="A1855" s="339"/>
    </row>
    <row r="1856" spans="1:1">
      <c r="A1856" s="339"/>
    </row>
    <row r="1857" spans="1:1">
      <c r="A1857" s="339"/>
    </row>
    <row r="1858" spans="1:1">
      <c r="A1858" s="339"/>
    </row>
    <row r="1859" spans="1:1">
      <c r="A1859" s="339"/>
    </row>
    <row r="1860" spans="1:1">
      <c r="A1860" s="339"/>
    </row>
    <row r="1861" spans="1:1">
      <c r="A1861" s="339"/>
    </row>
    <row r="1862" spans="1:1">
      <c r="A1862" s="339"/>
    </row>
    <row r="1863" spans="1:1">
      <c r="A1863" s="339"/>
    </row>
    <row r="1864" spans="1:1">
      <c r="A1864" s="339"/>
    </row>
    <row r="1865" spans="1:1">
      <c r="A1865" s="339"/>
    </row>
    <row r="1866" spans="1:1">
      <c r="A1866" s="339"/>
    </row>
    <row r="1867" spans="1:1">
      <c r="A1867" s="339"/>
    </row>
    <row r="1868" spans="1:1">
      <c r="A1868" s="339"/>
    </row>
    <row r="1869" spans="1:1">
      <c r="A1869" s="339"/>
    </row>
    <row r="1870" spans="1:1">
      <c r="A1870" s="339"/>
    </row>
    <row r="1871" spans="1:1">
      <c r="A1871" s="339"/>
    </row>
    <row r="1872" spans="1:1">
      <c r="A1872" s="339"/>
    </row>
    <row r="1873" spans="1:1">
      <c r="A1873" s="339"/>
    </row>
    <row r="1874" spans="1:1">
      <c r="A1874" s="339"/>
    </row>
    <row r="1875" spans="1:1">
      <c r="A1875" s="339"/>
    </row>
    <row r="1876" spans="1:1">
      <c r="A1876" s="339"/>
    </row>
    <row r="1877" spans="1:1">
      <c r="A1877" s="339"/>
    </row>
    <row r="1878" spans="1:1">
      <c r="A1878" s="339"/>
    </row>
    <row r="1879" spans="1:1">
      <c r="A1879" s="339"/>
    </row>
    <row r="1880" spans="1:1">
      <c r="A1880" s="339"/>
    </row>
    <row r="1881" spans="1:1">
      <c r="A1881" s="339"/>
    </row>
    <row r="1882" spans="1:1">
      <c r="A1882" s="339"/>
    </row>
    <row r="1883" spans="1:1">
      <c r="A1883" s="339"/>
    </row>
    <row r="1884" spans="1:1">
      <c r="A1884" s="339"/>
    </row>
    <row r="1885" spans="1:1">
      <c r="A1885" s="339"/>
    </row>
    <row r="1886" spans="1:1">
      <c r="A1886" s="339"/>
    </row>
    <row r="1887" spans="1:1">
      <c r="A1887" s="339"/>
    </row>
    <row r="1888" spans="1:1">
      <c r="A1888" s="339"/>
    </row>
    <row r="1889" spans="1:1">
      <c r="A1889" s="339"/>
    </row>
    <row r="1890" spans="1:1">
      <c r="A1890" s="339"/>
    </row>
    <row r="1891" spans="1:1">
      <c r="A1891" s="339"/>
    </row>
    <row r="1892" spans="1:1">
      <c r="A1892" s="339"/>
    </row>
    <row r="1893" spans="1:1">
      <c r="A1893" s="339"/>
    </row>
    <row r="1894" spans="1:1">
      <c r="A1894" s="339"/>
    </row>
    <row r="1895" spans="1:1">
      <c r="A1895" s="339"/>
    </row>
    <row r="1896" spans="1:1">
      <c r="A1896" s="339"/>
    </row>
    <row r="1897" spans="1:1">
      <c r="A1897" s="339"/>
    </row>
    <row r="1898" spans="1:1">
      <c r="A1898" s="339"/>
    </row>
    <row r="1899" spans="1:1">
      <c r="A1899" s="339"/>
    </row>
    <row r="1900" spans="1:1">
      <c r="A1900" s="339"/>
    </row>
    <row r="1901" spans="1:1">
      <c r="A1901" s="339"/>
    </row>
    <row r="1902" spans="1:1">
      <c r="A1902" s="339"/>
    </row>
    <row r="1903" spans="1:1">
      <c r="A1903" s="339"/>
    </row>
    <row r="1904" spans="1:1">
      <c r="A1904" s="339"/>
    </row>
    <row r="1905" spans="1:1">
      <c r="A1905" s="339"/>
    </row>
    <row r="1906" spans="1:1">
      <c r="A1906" s="339"/>
    </row>
    <row r="1907" spans="1:1">
      <c r="A1907" s="339"/>
    </row>
    <row r="1908" spans="1:1">
      <c r="A1908" s="339"/>
    </row>
    <row r="1909" spans="1:1">
      <c r="A1909" s="339"/>
    </row>
    <row r="1910" spans="1:1">
      <c r="A1910" s="339"/>
    </row>
    <row r="1911" spans="1:1">
      <c r="A1911" s="339"/>
    </row>
    <row r="1912" spans="1:1">
      <c r="A1912" s="339"/>
    </row>
    <row r="1913" spans="1:1">
      <c r="A1913" s="339"/>
    </row>
    <row r="1914" spans="1:1">
      <c r="A1914" s="339"/>
    </row>
    <row r="1915" spans="1:1">
      <c r="A1915" s="339"/>
    </row>
    <row r="1916" spans="1:1">
      <c r="A1916" s="339"/>
    </row>
    <row r="1917" spans="1:1">
      <c r="A1917" s="339"/>
    </row>
    <row r="1918" spans="1:1">
      <c r="A1918" s="339"/>
    </row>
    <row r="1919" spans="1:1">
      <c r="A1919" s="339"/>
    </row>
    <row r="1920" spans="1:1">
      <c r="A1920" s="339"/>
    </row>
    <row r="1921" spans="1:1">
      <c r="A1921" s="339"/>
    </row>
    <row r="1922" spans="1:1">
      <c r="A1922" s="339"/>
    </row>
    <row r="1923" spans="1:1">
      <c r="A1923" s="339"/>
    </row>
    <row r="1924" spans="1:1">
      <c r="A1924" s="339"/>
    </row>
    <row r="1925" spans="1:1">
      <c r="A1925" s="339"/>
    </row>
    <row r="1926" spans="1:1">
      <c r="A1926" s="339"/>
    </row>
    <row r="1927" spans="1:1">
      <c r="A1927" s="339"/>
    </row>
    <row r="1928" spans="1:1">
      <c r="A1928" s="339"/>
    </row>
    <row r="1929" spans="1:1">
      <c r="A1929" s="339"/>
    </row>
    <row r="1930" spans="1:1">
      <c r="A1930" s="339"/>
    </row>
    <row r="1931" spans="1:1">
      <c r="A1931" s="339"/>
    </row>
    <row r="1932" spans="1:1">
      <c r="A1932" s="339"/>
    </row>
    <row r="1933" spans="1:1">
      <c r="A1933" s="339"/>
    </row>
    <row r="1934" spans="1:1">
      <c r="A1934" s="339"/>
    </row>
    <row r="1935" spans="1:1">
      <c r="A1935" s="339"/>
    </row>
    <row r="1936" spans="1:1">
      <c r="A1936" s="339"/>
    </row>
    <row r="1937" spans="1:1">
      <c r="A1937" s="339"/>
    </row>
    <row r="1938" spans="1:1">
      <c r="A1938" s="339"/>
    </row>
    <row r="1939" spans="1:1">
      <c r="A1939" s="339"/>
    </row>
    <row r="1940" spans="1:1">
      <c r="A1940" s="339"/>
    </row>
    <row r="1941" spans="1:1">
      <c r="A1941" s="339"/>
    </row>
    <row r="1942" spans="1:1">
      <c r="A1942" s="339"/>
    </row>
    <row r="1943" spans="1:1">
      <c r="A1943" s="339"/>
    </row>
    <row r="1944" spans="1:1">
      <c r="A1944" s="339"/>
    </row>
    <row r="1945" spans="1:1">
      <c r="A1945" s="339"/>
    </row>
    <row r="1946" spans="1:1">
      <c r="A1946" s="339"/>
    </row>
    <row r="1947" spans="1:1">
      <c r="A1947" s="339"/>
    </row>
    <row r="1948" spans="1:1">
      <c r="A1948" s="339"/>
    </row>
    <row r="1949" spans="1:1">
      <c r="A1949" s="339"/>
    </row>
    <row r="1950" spans="1:1">
      <c r="A1950" s="339"/>
    </row>
    <row r="1951" spans="1:1">
      <c r="A1951" s="339"/>
    </row>
    <row r="1952" spans="1:1">
      <c r="A1952" s="339"/>
    </row>
    <row r="1953" spans="1:1">
      <c r="A1953" s="339"/>
    </row>
    <row r="1954" spans="1:1">
      <c r="A1954" s="339"/>
    </row>
    <row r="1955" spans="1:1">
      <c r="A1955" s="339"/>
    </row>
    <row r="1956" spans="1:1">
      <c r="A1956" s="339"/>
    </row>
    <row r="1957" spans="1:1">
      <c r="A1957" s="339"/>
    </row>
    <row r="1958" spans="1:1">
      <c r="A1958" s="339"/>
    </row>
    <row r="1959" spans="1:1">
      <c r="A1959" s="339"/>
    </row>
    <row r="1960" spans="1:1">
      <c r="A1960" s="339"/>
    </row>
    <row r="1961" spans="1:1">
      <c r="A1961" s="339"/>
    </row>
    <row r="1962" spans="1:1">
      <c r="A1962" s="339"/>
    </row>
    <row r="1963" spans="1:1">
      <c r="A1963" s="339"/>
    </row>
    <row r="1964" spans="1:1">
      <c r="A1964" s="339"/>
    </row>
    <row r="1965" spans="1:1">
      <c r="A1965" s="339"/>
    </row>
    <row r="1966" spans="1:1">
      <c r="A1966" s="339"/>
    </row>
    <row r="1967" spans="1:1">
      <c r="A1967" s="339"/>
    </row>
    <row r="1968" spans="1:1">
      <c r="A1968" s="339"/>
    </row>
    <row r="1969" spans="1:1">
      <c r="A1969" s="339"/>
    </row>
    <row r="1970" spans="1:1">
      <c r="A1970" s="339"/>
    </row>
    <row r="1971" spans="1:1">
      <c r="A1971" s="339"/>
    </row>
    <row r="1972" spans="1:1">
      <c r="A1972" s="339"/>
    </row>
    <row r="1973" spans="1:1">
      <c r="A1973" s="339"/>
    </row>
    <row r="1974" spans="1:1">
      <c r="A1974" s="339"/>
    </row>
    <row r="1975" spans="1:1">
      <c r="A1975" s="339"/>
    </row>
    <row r="1976" spans="1:1">
      <c r="A1976" s="339"/>
    </row>
    <row r="1977" spans="1:1">
      <c r="A1977" s="339"/>
    </row>
    <row r="1978" spans="1:1">
      <c r="A1978" s="339"/>
    </row>
    <row r="1979" spans="1:1">
      <c r="A1979" s="339"/>
    </row>
    <row r="1980" spans="1:1">
      <c r="A1980" s="339"/>
    </row>
    <row r="1981" spans="1:1">
      <c r="A1981" s="339"/>
    </row>
    <row r="1982" spans="1:1">
      <c r="A1982" s="339"/>
    </row>
    <row r="1983" spans="1:1">
      <c r="A1983" s="339"/>
    </row>
    <row r="1984" spans="1:1">
      <c r="A1984" s="339"/>
    </row>
    <row r="1985" spans="1:1">
      <c r="A1985" s="339"/>
    </row>
    <row r="1986" spans="1:1">
      <c r="A1986" s="339"/>
    </row>
    <row r="1987" spans="1:1">
      <c r="A1987" s="339"/>
    </row>
    <row r="1988" spans="1:1">
      <c r="A1988" s="339"/>
    </row>
    <row r="1989" spans="1:1">
      <c r="A1989" s="339"/>
    </row>
    <row r="1990" spans="1:1">
      <c r="A1990" s="339"/>
    </row>
    <row r="1991" spans="1:1">
      <c r="A1991" s="339"/>
    </row>
    <row r="1992" spans="1:1">
      <c r="A1992" s="339"/>
    </row>
    <row r="1993" spans="1:1">
      <c r="A1993" s="339"/>
    </row>
    <row r="1994" spans="1:1">
      <c r="A1994" s="339"/>
    </row>
    <row r="1995" spans="1:1">
      <c r="A1995" s="339"/>
    </row>
    <row r="1996" spans="1:1">
      <c r="A1996" s="339"/>
    </row>
    <row r="1997" spans="1:1">
      <c r="A1997" s="339"/>
    </row>
    <row r="1998" spans="1:1">
      <c r="A1998" s="339"/>
    </row>
    <row r="1999" spans="1:1">
      <c r="A1999" s="339"/>
    </row>
    <row r="2000" spans="1:1">
      <c r="A2000" s="339"/>
    </row>
    <row r="2001" spans="1:1">
      <c r="A2001" s="339"/>
    </row>
    <row r="2002" spans="1:1">
      <c r="A2002" s="339"/>
    </row>
    <row r="2003" spans="1:1">
      <c r="A2003" s="339"/>
    </row>
    <row r="2004" spans="1:1">
      <c r="A2004" s="339"/>
    </row>
    <row r="2005" spans="1:1">
      <c r="A2005" s="339"/>
    </row>
    <row r="2006" spans="1:1">
      <c r="A2006" s="339"/>
    </row>
    <row r="2007" spans="1:1">
      <c r="A2007" s="339"/>
    </row>
    <row r="2008" spans="1:1">
      <c r="A2008" s="339"/>
    </row>
    <row r="2009" spans="1:1">
      <c r="A2009" s="339"/>
    </row>
    <row r="2010" spans="1:1">
      <c r="A2010" s="339"/>
    </row>
    <row r="2011" spans="1:1">
      <c r="A2011" s="339"/>
    </row>
    <row r="2012" spans="1:1">
      <c r="A2012" s="339"/>
    </row>
    <row r="2013" spans="1:1">
      <c r="A2013" s="339"/>
    </row>
    <row r="2014" spans="1:1">
      <c r="A2014" s="339"/>
    </row>
    <row r="2015" spans="1:1">
      <c r="A2015" s="339"/>
    </row>
    <row r="2016" spans="1:1">
      <c r="A2016" s="339"/>
    </row>
    <row r="2017" spans="1:1">
      <c r="A2017" s="339"/>
    </row>
    <row r="2018" spans="1:1">
      <c r="A2018" s="339"/>
    </row>
    <row r="2019" spans="1:1">
      <c r="A2019" s="339"/>
    </row>
    <row r="2020" spans="1:1">
      <c r="A2020" s="339"/>
    </row>
    <row r="2021" spans="1:1">
      <c r="A2021" s="339"/>
    </row>
    <row r="2022" spans="1:1">
      <c r="A2022" s="339"/>
    </row>
    <row r="2023" spans="1:1">
      <c r="A2023" s="339"/>
    </row>
    <row r="2024" spans="1:1">
      <c r="A2024" s="339"/>
    </row>
    <row r="2025" spans="1:1">
      <c r="A2025" s="339"/>
    </row>
    <row r="2026" spans="1:1">
      <c r="A2026" s="339"/>
    </row>
    <row r="2027" spans="1:1">
      <c r="A2027" s="339"/>
    </row>
    <row r="2028" spans="1:1">
      <c r="A2028" s="339"/>
    </row>
    <row r="2029" spans="1:1">
      <c r="A2029" s="339"/>
    </row>
    <row r="2030" spans="1:1">
      <c r="A2030" s="339"/>
    </row>
    <row r="2031" spans="1:1">
      <c r="A2031" s="339"/>
    </row>
    <row r="2032" spans="1:1">
      <c r="A2032" s="339"/>
    </row>
    <row r="2033" spans="1:1">
      <c r="A2033" s="339"/>
    </row>
    <row r="2034" spans="1:1">
      <c r="A2034" s="339"/>
    </row>
    <row r="2035" spans="1:1">
      <c r="A2035" s="339"/>
    </row>
    <row r="2036" spans="1:1">
      <c r="A2036" s="339"/>
    </row>
    <row r="2037" spans="1:1">
      <c r="A2037" s="339"/>
    </row>
    <row r="2038" spans="1:1">
      <c r="A2038" s="339"/>
    </row>
    <row r="2039" spans="1:1">
      <c r="A2039" s="339"/>
    </row>
    <row r="2040" spans="1:1">
      <c r="A2040" s="339"/>
    </row>
    <row r="2041" spans="1:1">
      <c r="A2041" s="339"/>
    </row>
    <row r="2042" spans="1:1">
      <c r="A2042" s="339"/>
    </row>
    <row r="2043" spans="1:1">
      <c r="A2043" s="339"/>
    </row>
    <row r="2044" spans="1:1">
      <c r="A2044" s="339"/>
    </row>
    <row r="2045" spans="1:1">
      <c r="A2045" s="339"/>
    </row>
    <row r="2046" spans="1:1">
      <c r="A2046" s="339"/>
    </row>
    <row r="2047" spans="1:1">
      <c r="A2047" s="339"/>
    </row>
    <row r="2048" spans="1:1">
      <c r="A2048" s="339"/>
    </row>
    <row r="2049" spans="1:1">
      <c r="A2049" s="339"/>
    </row>
    <row r="2050" spans="1:1">
      <c r="A2050" s="339"/>
    </row>
    <row r="2051" spans="1:1">
      <c r="A2051" s="339"/>
    </row>
    <row r="2052" spans="1:1">
      <c r="A2052" s="339"/>
    </row>
    <row r="2053" spans="1:1">
      <c r="A2053" s="339"/>
    </row>
    <row r="2054" spans="1:1">
      <c r="A2054" s="339"/>
    </row>
    <row r="2055" spans="1:1">
      <c r="A2055" s="339"/>
    </row>
    <row r="2056" spans="1:1">
      <c r="A2056" s="339"/>
    </row>
    <row r="2057" spans="1:1">
      <c r="A2057" s="339"/>
    </row>
    <row r="2058" spans="1:1">
      <c r="A2058" s="339"/>
    </row>
    <row r="2059" spans="1:1">
      <c r="A2059" s="339"/>
    </row>
    <row r="2060" spans="1:1">
      <c r="A2060" s="339"/>
    </row>
    <row r="2061" spans="1:1">
      <c r="A2061" s="339"/>
    </row>
    <row r="2062" spans="1:1">
      <c r="A2062" s="339"/>
    </row>
    <row r="2063" spans="1:1">
      <c r="A2063" s="339"/>
    </row>
    <row r="2064" spans="1:1">
      <c r="A2064" s="339"/>
    </row>
    <row r="2065" spans="1:1">
      <c r="A2065" s="339"/>
    </row>
    <row r="2066" spans="1:1">
      <c r="A2066" s="339"/>
    </row>
    <row r="2067" spans="1:1">
      <c r="A2067" s="339"/>
    </row>
    <row r="2068" spans="1:1">
      <c r="A2068" s="339"/>
    </row>
    <row r="2069" spans="1:1">
      <c r="A2069" s="339"/>
    </row>
    <row r="2070" spans="1:1">
      <c r="A2070" s="339"/>
    </row>
    <row r="2071" spans="1:1">
      <c r="A2071" s="339"/>
    </row>
    <row r="2072" spans="1:1">
      <c r="A2072" s="339"/>
    </row>
    <row r="2073" spans="1:1">
      <c r="A2073" s="339"/>
    </row>
    <row r="2074" spans="1:1">
      <c r="A2074" s="339"/>
    </row>
    <row r="2075" spans="1:1">
      <c r="A2075" s="339"/>
    </row>
    <row r="2076" spans="1:1">
      <c r="A2076" s="339"/>
    </row>
    <row r="2077" spans="1:1">
      <c r="A2077" s="339"/>
    </row>
    <row r="2078" spans="1:1">
      <c r="A2078" s="339"/>
    </row>
    <row r="2079" spans="1:1">
      <c r="A2079" s="339"/>
    </row>
    <row r="2080" spans="1:1">
      <c r="A2080" s="339"/>
    </row>
    <row r="2081" spans="1:1">
      <c r="A2081" s="339"/>
    </row>
    <row r="2082" spans="1:1">
      <c r="A2082" s="339"/>
    </row>
    <row r="2083" spans="1:1">
      <c r="A2083" s="339"/>
    </row>
    <row r="2084" spans="1:1">
      <c r="A2084" s="339"/>
    </row>
    <row r="2085" spans="1:1">
      <c r="A2085" s="339"/>
    </row>
    <row r="2086" spans="1:1">
      <c r="A2086" s="339"/>
    </row>
    <row r="2087" spans="1:1">
      <c r="A2087" s="339"/>
    </row>
    <row r="2088" spans="1:1">
      <c r="A2088" s="339"/>
    </row>
    <row r="2089" spans="1:1">
      <c r="A2089" s="339"/>
    </row>
    <row r="2090" spans="1:1">
      <c r="A2090" s="339"/>
    </row>
    <row r="2091" spans="1:1">
      <c r="A2091" s="339"/>
    </row>
    <row r="2092" spans="1:1">
      <c r="A2092" s="339"/>
    </row>
    <row r="2093" spans="1:1">
      <c r="A2093" s="339"/>
    </row>
    <row r="2094" spans="1:1">
      <c r="A2094" s="339"/>
    </row>
    <row r="2095" spans="1:1">
      <c r="A2095" s="339"/>
    </row>
    <row r="2096" spans="1:1">
      <c r="A2096" s="339"/>
    </row>
    <row r="2097" spans="1:1">
      <c r="A2097" s="339"/>
    </row>
    <row r="2098" spans="1:1">
      <c r="A2098" s="339"/>
    </row>
    <row r="2099" spans="1:1">
      <c r="A2099" s="339"/>
    </row>
    <row r="2100" spans="1:1">
      <c r="A2100" s="339"/>
    </row>
    <row r="2101" spans="1:1">
      <c r="A2101" s="339"/>
    </row>
    <row r="2102" spans="1:1">
      <c r="A2102" s="339"/>
    </row>
    <row r="2103" spans="1:1">
      <c r="A2103" s="339"/>
    </row>
    <row r="2104" spans="1:1">
      <c r="A2104" s="339"/>
    </row>
    <row r="2105" spans="1:1">
      <c r="A2105" s="339"/>
    </row>
    <row r="2106" spans="1:1">
      <c r="A2106" s="339"/>
    </row>
    <row r="2107" spans="1:1">
      <c r="A2107" s="339"/>
    </row>
    <row r="2108" spans="1:1">
      <c r="A2108" s="339"/>
    </row>
    <row r="2109" spans="1:1">
      <c r="A2109" s="339"/>
    </row>
    <row r="2110" spans="1:1">
      <c r="A2110" s="339"/>
    </row>
    <row r="2111" spans="1:1">
      <c r="A2111" s="339"/>
    </row>
    <row r="2112" spans="1:1">
      <c r="A2112" s="339"/>
    </row>
    <row r="2113" spans="1:1">
      <c r="A2113" s="339"/>
    </row>
    <row r="2114" spans="1:1">
      <c r="A2114" s="339"/>
    </row>
    <row r="2115" spans="1:1">
      <c r="A2115" s="339"/>
    </row>
    <row r="2116" spans="1:1">
      <c r="A2116" s="339"/>
    </row>
    <row r="2117" spans="1:1">
      <c r="A2117" s="339"/>
    </row>
    <row r="2118" spans="1:1">
      <c r="A2118" s="339"/>
    </row>
    <row r="2119" spans="1:1">
      <c r="A2119" s="339"/>
    </row>
    <row r="2120" spans="1:1">
      <c r="A2120" s="339"/>
    </row>
    <row r="2121" spans="1:1">
      <c r="A2121" s="339"/>
    </row>
    <row r="2122" spans="1:1">
      <c r="A2122" s="339"/>
    </row>
    <row r="2123" spans="1:1">
      <c r="A2123" s="339"/>
    </row>
    <row r="2124" spans="1:1">
      <c r="A2124" s="339"/>
    </row>
    <row r="2125" spans="1:1">
      <c r="A2125" s="339"/>
    </row>
    <row r="2126" spans="1:1">
      <c r="A2126" s="339"/>
    </row>
    <row r="2127" spans="1:1">
      <c r="A2127" s="339"/>
    </row>
    <row r="2128" spans="1:1">
      <c r="A2128" s="339"/>
    </row>
    <row r="2129" spans="1:1">
      <c r="A2129" s="339"/>
    </row>
    <row r="2130" spans="1:1">
      <c r="A2130" s="339"/>
    </row>
    <row r="2131" spans="1:1">
      <c r="A2131" s="339"/>
    </row>
    <row r="2132" spans="1:1">
      <c r="A2132" s="339"/>
    </row>
    <row r="2133" spans="1:1">
      <c r="A2133" s="339"/>
    </row>
    <row r="2134" spans="1:1">
      <c r="A2134" s="339"/>
    </row>
    <row r="2135" spans="1:1">
      <c r="A2135" s="339"/>
    </row>
    <row r="2136" spans="1:1">
      <c r="A2136" s="339"/>
    </row>
    <row r="2137" spans="1:1">
      <c r="A2137" s="339"/>
    </row>
    <row r="2138" spans="1:1">
      <c r="A2138" s="339"/>
    </row>
    <row r="2139" spans="1:1">
      <c r="A2139" s="339"/>
    </row>
    <row r="2140" spans="1:1">
      <c r="A2140" s="339"/>
    </row>
    <row r="2141" spans="1:1">
      <c r="A2141" s="339"/>
    </row>
    <row r="2142" spans="1:1">
      <c r="A2142" s="339"/>
    </row>
    <row r="2143" spans="1:1">
      <c r="A2143" s="339"/>
    </row>
    <row r="2144" spans="1:1">
      <c r="A2144" s="339"/>
    </row>
    <row r="2145" spans="1:1">
      <c r="A2145" s="339"/>
    </row>
    <row r="2146" spans="1:1">
      <c r="A2146" s="339"/>
    </row>
    <row r="2147" spans="1:1">
      <c r="A2147" s="339"/>
    </row>
    <row r="2148" spans="1:1">
      <c r="A2148" s="339"/>
    </row>
    <row r="2149" spans="1:1">
      <c r="A2149" s="339"/>
    </row>
    <row r="2150" spans="1:1">
      <c r="A2150" s="339"/>
    </row>
    <row r="2151" spans="1:1">
      <c r="A2151" s="339"/>
    </row>
    <row r="2152" spans="1:1">
      <c r="A2152" s="339"/>
    </row>
    <row r="2153" spans="1:1">
      <c r="A2153" s="339"/>
    </row>
    <row r="2154" spans="1:1">
      <c r="A2154" s="339"/>
    </row>
    <row r="2155" spans="1:1">
      <c r="A2155" s="339"/>
    </row>
    <row r="2156" spans="1:1">
      <c r="A2156" s="339"/>
    </row>
    <row r="2157" spans="1:1">
      <c r="A2157" s="339"/>
    </row>
    <row r="2158" spans="1:1">
      <c r="A2158" s="339"/>
    </row>
    <row r="2159" spans="1:1">
      <c r="A2159" s="339"/>
    </row>
    <row r="2160" spans="1:1">
      <c r="A2160" s="339"/>
    </row>
    <row r="2161" spans="1:1">
      <c r="A2161" s="339"/>
    </row>
    <row r="2162" spans="1:1">
      <c r="A2162" s="339"/>
    </row>
    <row r="2163" spans="1:1">
      <c r="A2163" s="339"/>
    </row>
    <row r="2164" spans="1:1">
      <c r="A2164" s="339"/>
    </row>
    <row r="2165" spans="1:1">
      <c r="A2165" s="339"/>
    </row>
    <row r="2166" spans="1:1">
      <c r="A2166" s="339"/>
    </row>
    <row r="2167" spans="1:1">
      <c r="A2167" s="339"/>
    </row>
    <row r="2168" spans="1:1">
      <c r="A2168" s="339"/>
    </row>
    <row r="2169" spans="1:1">
      <c r="A2169" s="339"/>
    </row>
    <row r="2170" spans="1:1">
      <c r="A2170" s="339"/>
    </row>
    <row r="2171" spans="1:1">
      <c r="A2171" s="339"/>
    </row>
    <row r="2172" spans="1:1">
      <c r="A2172" s="339"/>
    </row>
    <row r="2173" spans="1:1">
      <c r="A2173" s="339"/>
    </row>
    <row r="2174" spans="1:1">
      <c r="A2174" s="339"/>
    </row>
    <row r="2175" spans="1:1">
      <c r="A2175" s="339"/>
    </row>
    <row r="2176" spans="1:1">
      <c r="A2176" s="339"/>
    </row>
    <row r="2177" spans="1:1">
      <c r="A2177" s="339"/>
    </row>
    <row r="2178" spans="1:1">
      <c r="A2178" s="339"/>
    </row>
    <row r="2179" spans="1:1">
      <c r="A2179" s="339"/>
    </row>
    <row r="2180" spans="1:1">
      <c r="A2180" s="339"/>
    </row>
    <row r="2181" spans="1:1">
      <c r="A2181" s="339"/>
    </row>
    <row r="2182" spans="1:1">
      <c r="A2182" s="339"/>
    </row>
    <row r="2183" spans="1:1">
      <c r="A2183" s="339"/>
    </row>
    <row r="2184" spans="1:1">
      <c r="A2184" s="339"/>
    </row>
    <row r="2185" spans="1:1">
      <c r="A2185" s="339"/>
    </row>
    <row r="2186" spans="1:1">
      <c r="A2186" s="339"/>
    </row>
    <row r="2187" spans="1:1">
      <c r="A2187" s="339"/>
    </row>
    <row r="2188" spans="1:1">
      <c r="A2188" s="339"/>
    </row>
    <row r="2189" spans="1:1">
      <c r="A2189" s="339"/>
    </row>
    <row r="2190" spans="1:1">
      <c r="A2190" s="339"/>
    </row>
    <row r="2191" spans="1:1">
      <c r="A2191" s="339"/>
    </row>
    <row r="2192" spans="1:1">
      <c r="A2192" s="339"/>
    </row>
    <row r="2193" spans="1:1">
      <c r="A2193" s="339"/>
    </row>
    <row r="2194" spans="1:1">
      <c r="A2194" s="339"/>
    </row>
    <row r="2195" spans="1:1">
      <c r="A2195" s="339"/>
    </row>
    <row r="2196" spans="1:1">
      <c r="A2196" s="339"/>
    </row>
    <row r="2197" spans="1:1">
      <c r="A2197" s="339"/>
    </row>
    <row r="2198" spans="1:1">
      <c r="A2198" s="339"/>
    </row>
    <row r="2199" spans="1:1">
      <c r="A2199" s="339"/>
    </row>
    <row r="2200" spans="1:1">
      <c r="A2200" s="339"/>
    </row>
    <row r="2201" spans="1:1">
      <c r="A2201" s="339"/>
    </row>
    <row r="2202" spans="1:1">
      <c r="A2202" s="339"/>
    </row>
    <row r="2203" spans="1:1">
      <c r="A2203" s="339"/>
    </row>
    <row r="2204" spans="1:1">
      <c r="A2204" s="339"/>
    </row>
    <row r="2205" spans="1:1">
      <c r="A2205" s="339"/>
    </row>
    <row r="2206" spans="1:1">
      <c r="A2206" s="339"/>
    </row>
    <row r="2207" spans="1:1">
      <c r="A2207" s="339"/>
    </row>
    <row r="2208" spans="1:1">
      <c r="A2208" s="339"/>
    </row>
    <row r="2209" spans="1:1">
      <c r="A2209" s="339"/>
    </row>
    <row r="2210" spans="1:1">
      <c r="A2210" s="339"/>
    </row>
    <row r="2211" spans="1:1">
      <c r="A2211" s="339"/>
    </row>
    <row r="2212" spans="1:1">
      <c r="A2212" s="339"/>
    </row>
    <row r="2213" spans="1:1">
      <c r="A2213" s="339"/>
    </row>
    <row r="2214" spans="1:1">
      <c r="A2214" s="339"/>
    </row>
    <row r="2215" spans="1:1">
      <c r="A2215" s="339"/>
    </row>
    <row r="2216" spans="1:1">
      <c r="A2216" s="339"/>
    </row>
    <row r="2217" spans="1:1">
      <c r="A2217" s="339"/>
    </row>
    <row r="2218" spans="1:1">
      <c r="A2218" s="339"/>
    </row>
    <row r="2219" spans="1:1">
      <c r="A2219" s="339"/>
    </row>
    <row r="2220" spans="1:1">
      <c r="A2220" s="339"/>
    </row>
    <row r="2221" spans="1:1">
      <c r="A2221" s="339"/>
    </row>
    <row r="2222" spans="1:1">
      <c r="A2222" s="339"/>
    </row>
    <row r="2223" spans="1:1">
      <c r="A2223" s="339"/>
    </row>
    <row r="2224" spans="1:1">
      <c r="A2224" s="339"/>
    </row>
    <row r="2225" spans="1:1">
      <c r="A2225" s="339"/>
    </row>
    <row r="2226" spans="1:1">
      <c r="A2226" s="339"/>
    </row>
    <row r="2227" spans="1:1">
      <c r="A2227" s="339"/>
    </row>
    <row r="2228" spans="1:1">
      <c r="A2228" s="339"/>
    </row>
    <row r="2229" spans="1:1">
      <c r="A2229" s="339"/>
    </row>
    <row r="2230" spans="1:1">
      <c r="A2230" s="339"/>
    </row>
    <row r="2231" spans="1:1">
      <c r="A2231" s="339"/>
    </row>
    <row r="2232" spans="1:1">
      <c r="A2232" s="339"/>
    </row>
    <row r="2233" spans="1:1">
      <c r="A2233" s="339"/>
    </row>
    <row r="2234" spans="1:1">
      <c r="A2234" s="339"/>
    </row>
    <row r="2235" spans="1:1">
      <c r="A2235" s="339"/>
    </row>
    <row r="2236" spans="1:1">
      <c r="A2236" s="339"/>
    </row>
    <row r="2237" spans="1:1">
      <c r="A2237" s="339"/>
    </row>
    <row r="2238" spans="1:1">
      <c r="A2238" s="339"/>
    </row>
    <row r="2239" spans="1:1">
      <c r="A2239" s="339"/>
    </row>
    <row r="2240" spans="1:1">
      <c r="A2240" s="339"/>
    </row>
    <row r="2241" spans="1:1">
      <c r="A2241" s="339"/>
    </row>
    <row r="2242" spans="1:1">
      <c r="A2242" s="339"/>
    </row>
    <row r="2243" spans="1:1">
      <c r="A2243" s="339"/>
    </row>
    <row r="2244" spans="1:1">
      <c r="A2244" s="339"/>
    </row>
    <row r="2245" spans="1:1">
      <c r="A2245" s="339"/>
    </row>
    <row r="2246" spans="1:1">
      <c r="A2246" s="339"/>
    </row>
    <row r="2247" spans="1:1">
      <c r="A2247" s="339"/>
    </row>
    <row r="2248" spans="1:1">
      <c r="A2248" s="339"/>
    </row>
    <row r="2249" spans="1:1">
      <c r="A2249" s="339"/>
    </row>
    <row r="2250" spans="1:1">
      <c r="A2250" s="339"/>
    </row>
    <row r="2251" spans="1:1">
      <c r="A2251" s="339"/>
    </row>
    <row r="2252" spans="1:1">
      <c r="A2252" s="339"/>
    </row>
    <row r="2253" spans="1:1">
      <c r="A2253" s="339"/>
    </row>
    <row r="2254" spans="1:1">
      <c r="A2254" s="339"/>
    </row>
    <row r="2255" spans="1:1">
      <c r="A2255" s="339"/>
    </row>
    <row r="2256" spans="1:1">
      <c r="A2256" s="339"/>
    </row>
    <row r="2257" spans="1:1">
      <c r="A2257" s="339"/>
    </row>
    <row r="2258" spans="1:1">
      <c r="A2258" s="339"/>
    </row>
    <row r="2259" spans="1:1">
      <c r="A2259" s="339"/>
    </row>
    <row r="2260" spans="1:1">
      <c r="A2260" s="339"/>
    </row>
    <row r="2261" spans="1:1">
      <c r="A2261" s="339"/>
    </row>
    <row r="2262" spans="1:1">
      <c r="A2262" s="339"/>
    </row>
    <row r="2263" spans="1:1">
      <c r="A2263" s="339"/>
    </row>
    <row r="2264" spans="1:1">
      <c r="A2264" s="339"/>
    </row>
    <row r="2265" spans="1:1">
      <c r="A2265" s="339"/>
    </row>
    <row r="2266" spans="1:1">
      <c r="A2266" s="339"/>
    </row>
    <row r="2267" spans="1:1">
      <c r="A2267" s="339"/>
    </row>
    <row r="2268" spans="1:1">
      <c r="A2268" s="339"/>
    </row>
    <row r="2269" spans="1:1">
      <c r="A2269" s="339"/>
    </row>
    <row r="2270" spans="1:1">
      <c r="A2270" s="339"/>
    </row>
    <row r="2271" spans="1:1">
      <c r="A2271" s="339"/>
    </row>
    <row r="2272" spans="1:1">
      <c r="A2272" s="339"/>
    </row>
    <row r="2273" spans="1:1">
      <c r="A2273" s="339"/>
    </row>
    <row r="2274" spans="1:1">
      <c r="A2274" s="339"/>
    </row>
    <row r="2275" spans="1:1">
      <c r="A2275" s="339"/>
    </row>
    <row r="2276" spans="1:1">
      <c r="A2276" s="339"/>
    </row>
    <row r="2277" spans="1:1">
      <c r="A2277" s="339"/>
    </row>
    <row r="2278" spans="1:1">
      <c r="A2278" s="339"/>
    </row>
    <row r="2279" spans="1:1">
      <c r="A2279" s="339"/>
    </row>
    <row r="2280" spans="1:1">
      <c r="A2280" s="339"/>
    </row>
    <row r="2281" spans="1:1">
      <c r="A2281" s="339"/>
    </row>
    <row r="2282" spans="1:1">
      <c r="A2282" s="339"/>
    </row>
    <row r="2283" spans="1:1">
      <c r="A2283" s="339"/>
    </row>
    <row r="2284" spans="1:1">
      <c r="A2284" s="339"/>
    </row>
    <row r="2285" spans="1:1">
      <c r="A2285" s="339"/>
    </row>
    <row r="2286" spans="1:1">
      <c r="A2286" s="339"/>
    </row>
    <row r="2287" spans="1:1">
      <c r="A2287" s="339"/>
    </row>
    <row r="2288" spans="1:1">
      <c r="A2288" s="339"/>
    </row>
    <row r="2289" spans="1:1">
      <c r="A2289" s="339"/>
    </row>
    <row r="2290" spans="1:1">
      <c r="A2290" s="339"/>
    </row>
    <row r="2291" spans="1:1">
      <c r="A2291" s="339"/>
    </row>
    <row r="2292" spans="1:1">
      <c r="A2292" s="339"/>
    </row>
    <row r="2293" spans="1:1">
      <c r="A2293" s="339"/>
    </row>
    <row r="2294" spans="1:1">
      <c r="A2294" s="339"/>
    </row>
    <row r="2295" spans="1:1">
      <c r="A2295" s="339"/>
    </row>
    <row r="2296" spans="1:1">
      <c r="A2296" s="339"/>
    </row>
    <row r="2297" spans="1:1">
      <c r="A2297" s="339"/>
    </row>
    <row r="2298" spans="1:1">
      <c r="A2298" s="339"/>
    </row>
    <row r="2299" spans="1:1">
      <c r="A2299" s="339"/>
    </row>
    <row r="2300" spans="1:1">
      <c r="A2300" s="339"/>
    </row>
    <row r="2301" spans="1:1">
      <c r="A2301" s="339"/>
    </row>
    <row r="2302" spans="1:1">
      <c r="A2302" s="339"/>
    </row>
    <row r="2303" spans="1:1">
      <c r="A2303" s="339"/>
    </row>
    <row r="2304" spans="1:1">
      <c r="A2304" s="339"/>
    </row>
    <row r="2305" spans="1:1">
      <c r="A2305" s="339"/>
    </row>
    <row r="2306" spans="1:1">
      <c r="A2306" s="339"/>
    </row>
    <row r="2307" spans="1:1">
      <c r="A2307" s="339"/>
    </row>
    <row r="2308" spans="1:1">
      <c r="A2308" s="339"/>
    </row>
    <row r="2309" spans="1:1">
      <c r="A2309" s="339"/>
    </row>
    <row r="2310" spans="1:1">
      <c r="A2310" s="339"/>
    </row>
    <row r="2311" spans="1:1">
      <c r="A2311" s="339"/>
    </row>
    <row r="2312" spans="1:1">
      <c r="A2312" s="339"/>
    </row>
    <row r="2313" spans="1:1">
      <c r="A2313" s="339"/>
    </row>
    <row r="2314" spans="1:1">
      <c r="A2314" s="339"/>
    </row>
    <row r="2315" spans="1:1">
      <c r="A2315" s="339"/>
    </row>
    <row r="2316" spans="1:1">
      <c r="A2316" s="339"/>
    </row>
    <row r="2317" spans="1:1">
      <c r="A2317" s="339"/>
    </row>
    <row r="2318" spans="1:1">
      <c r="A2318" s="339"/>
    </row>
    <row r="2319" spans="1:1">
      <c r="A2319" s="339"/>
    </row>
    <row r="2320" spans="1:1">
      <c r="A2320" s="339"/>
    </row>
    <row r="2321" spans="1:1">
      <c r="A2321" s="339"/>
    </row>
    <row r="2322" spans="1:1">
      <c r="A2322" s="339"/>
    </row>
    <row r="2323" spans="1:1">
      <c r="A2323" s="339"/>
    </row>
    <row r="2324" spans="1:1">
      <c r="A2324" s="339"/>
    </row>
    <row r="2325" spans="1:1">
      <c r="A2325" s="339"/>
    </row>
    <row r="2326" spans="1:1">
      <c r="A2326" s="339"/>
    </row>
    <row r="2327" spans="1:1">
      <c r="A2327" s="339"/>
    </row>
    <row r="2328" spans="1:1">
      <c r="A2328" s="339"/>
    </row>
    <row r="2329" spans="1:1">
      <c r="A2329" s="339"/>
    </row>
    <row r="2330" spans="1:1">
      <c r="A2330" s="339"/>
    </row>
    <row r="2331" spans="1:1">
      <c r="A2331" s="339"/>
    </row>
    <row r="2332" spans="1:1">
      <c r="A2332" s="339"/>
    </row>
    <row r="2333" spans="1:1">
      <c r="A2333" s="339"/>
    </row>
    <row r="2334" spans="1:1">
      <c r="A2334" s="339"/>
    </row>
    <row r="2335" spans="1:1">
      <c r="A2335" s="339"/>
    </row>
    <row r="2336" spans="1:1">
      <c r="A2336" s="339"/>
    </row>
    <row r="2337" spans="1:1">
      <c r="A2337" s="339"/>
    </row>
    <row r="2338" spans="1:1">
      <c r="A2338" s="339"/>
    </row>
    <row r="2339" spans="1:1">
      <c r="A2339" s="339"/>
    </row>
    <row r="2340" spans="1:1">
      <c r="A2340" s="339"/>
    </row>
    <row r="2341" spans="1:1">
      <c r="A2341" s="339"/>
    </row>
    <row r="2342" spans="1:1">
      <c r="A2342" s="339"/>
    </row>
    <row r="2343" spans="1:1">
      <c r="A2343" s="339"/>
    </row>
    <row r="2344" spans="1:1">
      <c r="A2344" s="339"/>
    </row>
    <row r="2345" spans="1:1">
      <c r="A2345" s="339"/>
    </row>
    <row r="2346" spans="1:1">
      <c r="A2346" s="339"/>
    </row>
    <row r="2347" spans="1:1">
      <c r="A2347" s="339"/>
    </row>
    <row r="2348" spans="1:1">
      <c r="A2348" s="339"/>
    </row>
    <row r="2349" spans="1:1">
      <c r="A2349" s="339"/>
    </row>
    <row r="2350" spans="1:1">
      <c r="A2350" s="339"/>
    </row>
    <row r="2351" spans="1:1">
      <c r="A2351" s="339"/>
    </row>
    <row r="2352" spans="1:1">
      <c r="A2352" s="339"/>
    </row>
    <row r="2353" spans="1:1">
      <c r="A2353" s="339"/>
    </row>
    <row r="2354" spans="1:1">
      <c r="A2354" s="339"/>
    </row>
    <row r="2355" spans="1:1">
      <c r="A2355" s="339"/>
    </row>
    <row r="2356" spans="1:1">
      <c r="A2356" s="339"/>
    </row>
    <row r="2357" spans="1:1">
      <c r="A2357" s="339"/>
    </row>
    <row r="2358" spans="1:1">
      <c r="A2358" s="339"/>
    </row>
    <row r="2359" spans="1:1">
      <c r="A2359" s="339"/>
    </row>
    <row r="2360" spans="1:1">
      <c r="A2360" s="339"/>
    </row>
    <row r="2361" spans="1:1">
      <c r="A2361" s="339"/>
    </row>
    <row r="2362" spans="1:1">
      <c r="A2362" s="339"/>
    </row>
    <row r="2363" spans="1:1">
      <c r="A2363" s="339"/>
    </row>
    <row r="2364" spans="1:1">
      <c r="A2364" s="339"/>
    </row>
    <row r="2365" spans="1:1">
      <c r="A2365" s="339"/>
    </row>
    <row r="2366" spans="1:1">
      <c r="A2366" s="339"/>
    </row>
    <row r="2367" spans="1:1">
      <c r="A2367" s="339"/>
    </row>
    <row r="2368" spans="1:1">
      <c r="A2368" s="339"/>
    </row>
    <row r="2369" spans="1:1">
      <c r="A2369" s="339"/>
    </row>
    <row r="2370" spans="1:1">
      <c r="A2370" s="339"/>
    </row>
    <row r="2371" spans="1:1">
      <c r="A2371" s="339"/>
    </row>
    <row r="2372" spans="1:1">
      <c r="A2372" s="339"/>
    </row>
    <row r="2373" spans="1:1">
      <c r="A2373" s="339"/>
    </row>
    <row r="2374" spans="1:1">
      <c r="A2374" s="339"/>
    </row>
    <row r="2375" spans="1:1">
      <c r="A2375" s="339"/>
    </row>
    <row r="2376" spans="1:1">
      <c r="A2376" s="339"/>
    </row>
    <row r="2377" spans="1:1">
      <c r="A2377" s="339"/>
    </row>
    <row r="2378" spans="1:1">
      <c r="A2378" s="339"/>
    </row>
    <row r="2379" spans="1:1">
      <c r="A2379" s="339"/>
    </row>
    <row r="2380" spans="1:1">
      <c r="A2380" s="339"/>
    </row>
    <row r="2381" spans="1:1">
      <c r="A2381" s="339"/>
    </row>
    <row r="2382" spans="1:1">
      <c r="A2382" s="339"/>
    </row>
    <row r="2383" spans="1:1">
      <c r="A2383" s="339"/>
    </row>
    <row r="2384" spans="1:1">
      <c r="A2384" s="339"/>
    </row>
    <row r="2385" spans="1:1">
      <c r="A2385" s="339"/>
    </row>
    <row r="2386" spans="1:1">
      <c r="A2386" s="339"/>
    </row>
    <row r="2387" spans="1:1">
      <c r="A2387" s="339"/>
    </row>
    <row r="2388" spans="1:1">
      <c r="A2388" s="339"/>
    </row>
    <row r="2389" spans="1:1">
      <c r="A2389" s="339"/>
    </row>
    <row r="2390" spans="1:1">
      <c r="A2390" s="339"/>
    </row>
    <row r="2391" spans="1:1">
      <c r="A2391" s="339"/>
    </row>
    <row r="2392" spans="1:1">
      <c r="A2392" s="339"/>
    </row>
    <row r="2393" spans="1:1">
      <c r="A2393" s="339"/>
    </row>
    <row r="2394" spans="1:1">
      <c r="A2394" s="339"/>
    </row>
    <row r="2395" spans="1:1">
      <c r="A2395" s="339"/>
    </row>
    <row r="2396" spans="1:1">
      <c r="A2396" s="339"/>
    </row>
    <row r="2397" spans="1:1">
      <c r="A2397" s="339"/>
    </row>
    <row r="2398" spans="1:1">
      <c r="A2398" s="339"/>
    </row>
    <row r="2399" spans="1:1">
      <c r="A2399" s="339"/>
    </row>
    <row r="2400" spans="1:1">
      <c r="A2400" s="339"/>
    </row>
    <row r="2401" spans="1:1">
      <c r="A2401" s="339"/>
    </row>
    <row r="2402" spans="1:1">
      <c r="A2402" s="339"/>
    </row>
    <row r="2403" spans="1:1">
      <c r="A2403" s="339"/>
    </row>
    <row r="2404" spans="1:1">
      <c r="A2404" s="339"/>
    </row>
    <row r="2405" spans="1:1">
      <c r="A2405" s="339"/>
    </row>
    <row r="2406" spans="1:1">
      <c r="A2406" s="339"/>
    </row>
    <row r="2407" spans="1:1">
      <c r="A2407" s="339"/>
    </row>
    <row r="2408" spans="1:1">
      <c r="A2408" s="339"/>
    </row>
    <row r="2409" spans="1:1">
      <c r="A2409" s="339"/>
    </row>
    <row r="2410" spans="1:1">
      <c r="A2410" s="339"/>
    </row>
    <row r="2411" spans="1:1">
      <c r="A2411" s="339"/>
    </row>
    <row r="2412" spans="1:1">
      <c r="A2412" s="339"/>
    </row>
    <row r="2413" spans="1:1">
      <c r="A2413" s="339"/>
    </row>
    <row r="2414" spans="1:1">
      <c r="A2414" s="339"/>
    </row>
    <row r="2415" spans="1:1">
      <c r="A2415" s="339"/>
    </row>
    <row r="2416" spans="1:1">
      <c r="A2416" s="339"/>
    </row>
    <row r="2417" spans="1:1">
      <c r="A2417" s="339"/>
    </row>
    <row r="2418" spans="1:1">
      <c r="A2418" s="339"/>
    </row>
    <row r="2419" spans="1:1">
      <c r="A2419" s="339"/>
    </row>
    <row r="2420" spans="1:1">
      <c r="A2420" s="339"/>
    </row>
    <row r="2421" spans="1:1">
      <c r="A2421" s="339"/>
    </row>
    <row r="2422" spans="1:1">
      <c r="A2422" s="339"/>
    </row>
    <row r="2423" spans="1:1">
      <c r="A2423" s="339"/>
    </row>
    <row r="2424" spans="1:1">
      <c r="A2424" s="339"/>
    </row>
    <row r="2425" spans="1:1">
      <c r="A2425" s="339"/>
    </row>
    <row r="2426" spans="1:1">
      <c r="A2426" s="339"/>
    </row>
    <row r="2427" spans="1:1">
      <c r="A2427" s="339"/>
    </row>
    <row r="2428" spans="1:1">
      <c r="A2428" s="339"/>
    </row>
    <row r="2429" spans="1:1">
      <c r="A2429" s="339"/>
    </row>
    <row r="2430" spans="1:1">
      <c r="A2430" s="339"/>
    </row>
    <row r="2431" spans="1:1">
      <c r="A2431" s="339"/>
    </row>
    <row r="2432" spans="1:1">
      <c r="A2432" s="339"/>
    </row>
    <row r="2433" spans="1:1">
      <c r="A2433" s="339"/>
    </row>
    <row r="2434" spans="1:1">
      <c r="A2434" s="339"/>
    </row>
    <row r="2435" spans="1:1">
      <c r="A2435" s="339"/>
    </row>
    <row r="2436" spans="1:1">
      <c r="A2436" s="339"/>
    </row>
    <row r="2437" spans="1:1">
      <c r="A2437" s="339"/>
    </row>
    <row r="2438" spans="1:1">
      <c r="A2438" s="339"/>
    </row>
    <row r="2439" spans="1:1">
      <c r="A2439" s="339"/>
    </row>
    <row r="2440" spans="1:1">
      <c r="A2440" s="339"/>
    </row>
    <row r="2441" spans="1:1">
      <c r="A2441" s="339"/>
    </row>
    <row r="2442" spans="1:1">
      <c r="A2442" s="339"/>
    </row>
    <row r="2443" spans="1:1">
      <c r="A2443" s="339"/>
    </row>
    <row r="2444" spans="1:1">
      <c r="A2444" s="339"/>
    </row>
    <row r="2445" spans="1:1">
      <c r="A2445" s="339"/>
    </row>
    <row r="2446" spans="1:1">
      <c r="A2446" s="339"/>
    </row>
    <row r="2447" spans="1:1">
      <c r="A2447" s="339"/>
    </row>
    <row r="2448" spans="1:1">
      <c r="A2448" s="339"/>
    </row>
    <row r="2449" spans="1:1">
      <c r="A2449" s="339"/>
    </row>
    <row r="2450" spans="1:1">
      <c r="A2450" s="339"/>
    </row>
    <row r="2451" spans="1:1">
      <c r="A2451" s="339"/>
    </row>
    <row r="2452" spans="1:1">
      <c r="A2452" s="339"/>
    </row>
    <row r="2453" spans="1:1">
      <c r="A2453" s="339"/>
    </row>
    <row r="2454" spans="1:1">
      <c r="A2454" s="339"/>
    </row>
    <row r="2455" spans="1:1">
      <c r="A2455" s="339"/>
    </row>
    <row r="2456" spans="1:1">
      <c r="A2456" s="339"/>
    </row>
    <row r="2457" spans="1:1">
      <c r="A2457" s="339"/>
    </row>
    <row r="2458" spans="1:1">
      <c r="A2458" s="339"/>
    </row>
    <row r="2459" spans="1:1">
      <c r="A2459" s="339"/>
    </row>
    <row r="2460" spans="1:1">
      <c r="A2460" s="339"/>
    </row>
    <row r="2461" spans="1:1">
      <c r="A2461" s="339"/>
    </row>
    <row r="2462" spans="1:1">
      <c r="A2462" s="339"/>
    </row>
    <row r="2463" spans="1:1">
      <c r="A2463" s="339"/>
    </row>
    <row r="2464" spans="1:1">
      <c r="A2464" s="339"/>
    </row>
    <row r="2465" spans="1:1">
      <c r="A2465" s="339"/>
    </row>
    <row r="2466" spans="1:1">
      <c r="A2466" s="339"/>
    </row>
    <row r="2467" spans="1:1">
      <c r="A2467" s="339"/>
    </row>
    <row r="2468" spans="1:1">
      <c r="A2468" s="339"/>
    </row>
    <row r="2469" spans="1:1">
      <c r="A2469" s="339"/>
    </row>
    <row r="2470" spans="1:1">
      <c r="A2470" s="339"/>
    </row>
    <row r="2471" spans="1:1">
      <c r="A2471" s="339"/>
    </row>
    <row r="2472" spans="1:1">
      <c r="A2472" s="339"/>
    </row>
    <row r="2473" spans="1:1">
      <c r="A2473" s="339"/>
    </row>
    <row r="2474" spans="1:1">
      <c r="A2474" s="339"/>
    </row>
    <row r="2475" spans="1:1">
      <c r="A2475" s="339"/>
    </row>
    <row r="2476" spans="1:1">
      <c r="A2476" s="339"/>
    </row>
    <row r="2477" spans="1:1">
      <c r="A2477" s="339"/>
    </row>
    <row r="2478" spans="1:1">
      <c r="A2478" s="339"/>
    </row>
    <row r="2479" spans="1:1">
      <c r="A2479" s="339"/>
    </row>
    <row r="2480" spans="1:1">
      <c r="A2480" s="339"/>
    </row>
    <row r="2481" spans="1:1">
      <c r="A2481" s="339"/>
    </row>
    <row r="2482" spans="1:1">
      <c r="A2482" s="339"/>
    </row>
    <row r="2483" spans="1:1">
      <c r="A2483" s="339"/>
    </row>
    <row r="2484" spans="1:1">
      <c r="A2484" s="339"/>
    </row>
    <row r="2485" spans="1:1">
      <c r="A2485" s="339"/>
    </row>
    <row r="2486" spans="1:1">
      <c r="A2486" s="339"/>
    </row>
    <row r="2487" spans="1:1">
      <c r="A2487" s="339"/>
    </row>
    <row r="2488" spans="1:1">
      <c r="A2488" s="339"/>
    </row>
    <row r="2489" spans="1:1">
      <c r="A2489" s="339"/>
    </row>
    <row r="2490" spans="1:1">
      <c r="A2490" s="339"/>
    </row>
    <row r="2491" spans="1:1">
      <c r="A2491" s="339"/>
    </row>
    <row r="2492" spans="1:1">
      <c r="A2492" s="339"/>
    </row>
    <row r="2493" spans="1:1">
      <c r="A2493" s="339"/>
    </row>
    <row r="2494" spans="1:1">
      <c r="A2494" s="339"/>
    </row>
    <row r="2495" spans="1:1">
      <c r="A2495" s="339"/>
    </row>
    <row r="2496" spans="1:1">
      <c r="A2496" s="339"/>
    </row>
    <row r="2497" spans="1:1">
      <c r="A2497" s="339"/>
    </row>
    <row r="2498" spans="1:1">
      <c r="A2498" s="339"/>
    </row>
    <row r="2499" spans="1:1">
      <c r="A2499" s="339"/>
    </row>
    <row r="2500" spans="1:1">
      <c r="A2500" s="339"/>
    </row>
    <row r="2501" spans="1:1">
      <c r="A2501" s="339"/>
    </row>
    <row r="2502" spans="1:1">
      <c r="A2502" s="339"/>
    </row>
    <row r="2503" spans="1:1">
      <c r="A2503" s="339"/>
    </row>
    <row r="2504" spans="1:1">
      <c r="A2504" s="339"/>
    </row>
    <row r="2505" spans="1:1">
      <c r="A2505" s="339"/>
    </row>
    <row r="2506" spans="1:1">
      <c r="A2506" s="339"/>
    </row>
    <row r="2507" spans="1:1">
      <c r="A2507" s="339"/>
    </row>
    <row r="2508" spans="1:1">
      <c r="A2508" s="339"/>
    </row>
    <row r="2509" spans="1:1">
      <c r="A2509" s="339"/>
    </row>
    <row r="2510" spans="1:1">
      <c r="A2510" s="339"/>
    </row>
    <row r="2511" spans="1:1">
      <c r="A2511" s="339"/>
    </row>
    <row r="2512" spans="1:1">
      <c r="A2512" s="339"/>
    </row>
    <row r="2513" spans="1:1">
      <c r="A2513" s="339"/>
    </row>
    <row r="2514" spans="1:1">
      <c r="A2514" s="339"/>
    </row>
    <row r="2515" spans="1:1">
      <c r="A2515" s="339"/>
    </row>
    <row r="2516" spans="1:1">
      <c r="A2516" s="339"/>
    </row>
    <row r="2517" spans="1:1">
      <c r="A2517" s="339"/>
    </row>
    <row r="2518" spans="1:1">
      <c r="A2518" s="339"/>
    </row>
    <row r="2519" spans="1:1">
      <c r="A2519" s="339"/>
    </row>
    <row r="2520" spans="1:1">
      <c r="A2520" s="339"/>
    </row>
    <row r="2521" spans="1:1">
      <c r="A2521" s="339"/>
    </row>
    <row r="2522" spans="1:1">
      <c r="A2522" s="339"/>
    </row>
    <row r="2523" spans="1:1">
      <c r="A2523" s="339"/>
    </row>
    <row r="2524" spans="1:1">
      <c r="A2524" s="339"/>
    </row>
    <row r="2525" spans="1:1">
      <c r="A2525" s="339"/>
    </row>
    <row r="2526" spans="1:1">
      <c r="A2526" s="339"/>
    </row>
    <row r="2527" spans="1:1">
      <c r="A2527" s="339"/>
    </row>
    <row r="2528" spans="1:1">
      <c r="A2528" s="339"/>
    </row>
    <row r="2529" spans="1:1">
      <c r="A2529" s="339"/>
    </row>
    <row r="2530" spans="1:1">
      <c r="A2530" s="339"/>
    </row>
    <row r="2531" spans="1:1">
      <c r="A2531" s="339"/>
    </row>
    <row r="2532" spans="1:1">
      <c r="A2532" s="339"/>
    </row>
    <row r="2533" spans="1:1">
      <c r="A2533" s="339"/>
    </row>
    <row r="2534" spans="1:1">
      <c r="A2534" s="339"/>
    </row>
    <row r="2535" spans="1:1">
      <c r="A2535" s="339"/>
    </row>
    <row r="2536" spans="1:1">
      <c r="A2536" s="339"/>
    </row>
    <row r="2537" spans="1:1">
      <c r="A2537" s="339"/>
    </row>
    <row r="2538" spans="1:1">
      <c r="A2538" s="339"/>
    </row>
    <row r="2539" spans="1:1">
      <c r="A2539" s="339"/>
    </row>
    <row r="2540" spans="1:1">
      <c r="A2540" s="339"/>
    </row>
    <row r="2541" spans="1:1">
      <c r="A2541" s="339"/>
    </row>
    <row r="2542" spans="1:1">
      <c r="A2542" s="339"/>
    </row>
    <row r="2543" spans="1:1">
      <c r="A2543" s="339"/>
    </row>
    <row r="2544" spans="1:1">
      <c r="A2544" s="339"/>
    </row>
    <row r="2545" spans="1:1">
      <c r="A2545" s="339"/>
    </row>
    <row r="2546" spans="1:1">
      <c r="A2546" s="339"/>
    </row>
    <row r="2547" spans="1:1">
      <c r="A2547" s="339"/>
    </row>
    <row r="2548" spans="1:1">
      <c r="A2548" s="339"/>
    </row>
    <row r="2549" spans="1:1">
      <c r="A2549" s="339"/>
    </row>
    <row r="2550" spans="1:1">
      <c r="A2550" s="339"/>
    </row>
    <row r="2551" spans="1:1">
      <c r="A2551" s="339"/>
    </row>
    <row r="2552" spans="1:1">
      <c r="A2552" s="339"/>
    </row>
    <row r="2553" spans="1:1">
      <c r="A2553" s="339"/>
    </row>
    <row r="2554" spans="1:1">
      <c r="A2554" s="339"/>
    </row>
    <row r="2555" spans="1:1">
      <c r="A2555" s="339"/>
    </row>
    <row r="2556" spans="1:1">
      <c r="A2556" s="339"/>
    </row>
    <row r="2557" spans="1:1">
      <c r="A2557" s="339"/>
    </row>
    <row r="2558" spans="1:1">
      <c r="A2558" s="339"/>
    </row>
    <row r="2559" spans="1:1">
      <c r="A2559" s="339"/>
    </row>
    <row r="2560" spans="1:1">
      <c r="A2560" s="339"/>
    </row>
    <row r="2561" spans="1:1">
      <c r="A2561" s="339"/>
    </row>
    <row r="2562" spans="1:1">
      <c r="A2562" s="339"/>
    </row>
    <row r="2563" spans="1:1">
      <c r="A2563" s="339"/>
    </row>
    <row r="2564" spans="1:1">
      <c r="A2564" s="339"/>
    </row>
    <row r="2565" spans="1:1">
      <c r="A2565" s="339"/>
    </row>
    <row r="2566" spans="1:1">
      <c r="A2566" s="339"/>
    </row>
    <row r="2567" spans="1:1">
      <c r="A2567" s="339"/>
    </row>
    <row r="2568" spans="1:1">
      <c r="A2568" s="339"/>
    </row>
    <row r="2569" spans="1:1">
      <c r="A2569" s="339"/>
    </row>
    <row r="2570" spans="1:1">
      <c r="A2570" s="339"/>
    </row>
    <row r="2571" spans="1:1">
      <c r="A2571" s="339"/>
    </row>
    <row r="2572" spans="1:1">
      <c r="A2572" s="339"/>
    </row>
    <row r="2573" spans="1:1">
      <c r="A2573" s="339"/>
    </row>
    <row r="2574" spans="1:1">
      <c r="A2574" s="339"/>
    </row>
    <row r="2575" spans="1:1">
      <c r="A2575" s="339"/>
    </row>
    <row r="2576" spans="1:1">
      <c r="A2576" s="339"/>
    </row>
    <row r="2577" spans="1:1">
      <c r="A2577" s="339"/>
    </row>
    <row r="2578" spans="1:1">
      <c r="A2578" s="339"/>
    </row>
    <row r="2579" spans="1:1">
      <c r="A2579" s="339"/>
    </row>
    <row r="2580" spans="1:1">
      <c r="A2580" s="339"/>
    </row>
    <row r="2581" spans="1:1">
      <c r="A2581" s="339"/>
    </row>
    <row r="2582" spans="1:1">
      <c r="A2582" s="339"/>
    </row>
    <row r="2583" spans="1:1">
      <c r="A2583" s="339"/>
    </row>
    <row r="2584" spans="1:1">
      <c r="A2584" s="339"/>
    </row>
    <row r="2585" spans="1:1">
      <c r="A2585" s="339"/>
    </row>
    <row r="2586" spans="1:1">
      <c r="A2586" s="339"/>
    </row>
    <row r="2587" spans="1:1">
      <c r="A2587" s="339"/>
    </row>
    <row r="2588" spans="1:1">
      <c r="A2588" s="339"/>
    </row>
    <row r="2589" spans="1:1">
      <c r="A2589" s="339"/>
    </row>
    <row r="2590" spans="1:1">
      <c r="A2590" s="339"/>
    </row>
    <row r="2591" spans="1:1">
      <c r="A2591" s="339"/>
    </row>
    <row r="2592" spans="1:1">
      <c r="A2592" s="339"/>
    </row>
    <row r="2593" spans="1:1">
      <c r="A2593" s="339"/>
    </row>
    <row r="2594" spans="1:1">
      <c r="A2594" s="339"/>
    </row>
    <row r="2595" spans="1:1">
      <c r="A2595" s="339"/>
    </row>
    <row r="2596" spans="1:1">
      <c r="A2596" s="339"/>
    </row>
    <row r="2597" spans="1:1">
      <c r="A2597" s="339"/>
    </row>
    <row r="2598" spans="1:1">
      <c r="A2598" s="339"/>
    </row>
    <row r="2599" spans="1:1">
      <c r="A2599" s="339"/>
    </row>
    <row r="2600" spans="1:1">
      <c r="A2600" s="339"/>
    </row>
    <row r="2601" spans="1:1">
      <c r="A2601" s="339"/>
    </row>
    <row r="2602" spans="1:1">
      <c r="A2602" s="339"/>
    </row>
    <row r="2603" spans="1:1">
      <c r="A2603" s="339"/>
    </row>
    <row r="2604" spans="1:1">
      <c r="A2604" s="339"/>
    </row>
    <row r="2605" spans="1:1">
      <c r="A2605" s="339"/>
    </row>
    <row r="2606" spans="1:1">
      <c r="A2606" s="339"/>
    </row>
    <row r="2607" spans="1:1">
      <c r="A2607" s="339"/>
    </row>
    <row r="2608" spans="1:1">
      <c r="A2608" s="339"/>
    </row>
    <row r="2609" spans="1:1">
      <c r="A2609" s="339"/>
    </row>
    <row r="2610" spans="1:1">
      <c r="A2610" s="339"/>
    </row>
    <row r="2611" spans="1:1">
      <c r="A2611" s="339"/>
    </row>
    <row r="2612" spans="1:1">
      <c r="A2612" s="339"/>
    </row>
    <row r="2613" spans="1:1">
      <c r="A2613" s="339"/>
    </row>
    <row r="2614" spans="1:1">
      <c r="A2614" s="339"/>
    </row>
    <row r="2615" spans="1:1">
      <c r="A2615" s="339"/>
    </row>
    <row r="2616" spans="1:1">
      <c r="A2616" s="339"/>
    </row>
    <row r="2617" spans="1:1">
      <c r="A2617" s="339"/>
    </row>
    <row r="2618" spans="1:1">
      <c r="A2618" s="339"/>
    </row>
    <row r="2619" spans="1:1">
      <c r="A2619" s="339"/>
    </row>
    <row r="2620" spans="1:1">
      <c r="A2620" s="339"/>
    </row>
    <row r="2621" spans="1:1">
      <c r="A2621" s="339"/>
    </row>
    <row r="2622" spans="1:1">
      <c r="A2622" s="339"/>
    </row>
    <row r="2623" spans="1:1">
      <c r="A2623" s="339"/>
    </row>
    <row r="2624" spans="1:1">
      <c r="A2624" s="339"/>
    </row>
    <row r="2625" spans="1:1">
      <c r="A2625" s="339"/>
    </row>
    <row r="2626" spans="1:1">
      <c r="A2626" s="339"/>
    </row>
    <row r="2627" spans="1:1">
      <c r="A2627" s="339"/>
    </row>
  </sheetData>
  <sheetProtection password="C468" sheet="1" objects="1" scenarios="1"/>
  <protectedRanges>
    <protectedRange sqref="E6:E20 E23:E38" name="Range2"/>
    <protectedRange sqref="G6:H20 G23:H38" name="Range1"/>
  </protectedRanges>
  <customSheetViews>
    <customSheetView guid="{A189EEDB-4C08-4033-8253-44851FC119BC}" scale="85">
      <selection activeCell="J28" sqref="J28"/>
      <pageMargins left="0.7" right="0.7" top="0.75" bottom="0.75" header="0.3" footer="0.3"/>
      <pageSetup paperSize="9" orientation="portrait" horizontalDpi="120" verticalDpi="72"/>
    </customSheetView>
  </customSheetViews>
  <mergeCells count="8">
    <mergeCell ref="X4:X5"/>
    <mergeCell ref="Z4:Z5"/>
    <mergeCell ref="A1:K1"/>
    <mergeCell ref="A2:K2"/>
    <mergeCell ref="E4:F4"/>
    <mergeCell ref="O4:R4"/>
    <mergeCell ref="T4:W4"/>
    <mergeCell ref="S4:S5"/>
  </mergeCells>
  <dataValidations count="3">
    <dataValidation type="whole" allowBlank="1" showInputMessage="1" showErrorMessage="1" sqref="R6:R20 R22:R38 V6:V20 V23:V38" xr:uid="{00000000-0002-0000-0300-000000000000}">
      <formula1>0</formula1>
      <formula2>1000000000</formula2>
    </dataValidation>
    <dataValidation type="whole" allowBlank="1" showInputMessage="1" showErrorMessage="1" sqref="G6:H20" xr:uid="{00000000-0002-0000-0300-000001000000}">
      <formula1>0</formula1>
      <formula2>100000</formula2>
    </dataValidation>
    <dataValidation type="whole" allowBlank="1" showInputMessage="1" showErrorMessage="1" sqref="G23:H38" xr:uid="{00000000-0002-0000-0300-000002000000}">
      <formula1>0</formula1>
      <formula2>1000000</formula2>
    </dataValidation>
  </dataValidations>
  <pageMargins left="0.7" right="0.7" top="0.75" bottom="0.75" header="0.3" footer="0.3"/>
  <pageSetup paperSize="9" orientation="portrait" horizontalDpi="120" verticalDpi="7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A2627"/>
  <sheetViews>
    <sheetView zoomScale="90" zoomScaleNormal="90" workbookViewId="0">
      <pane xSplit="1" ySplit="5" topLeftCell="B6" activePane="bottomRight" state="frozen"/>
      <selection pane="topRight"/>
      <selection pane="bottomLeft"/>
      <selection pane="bottomRight" activeCell="I23" sqref="I23"/>
    </sheetView>
  </sheetViews>
  <sheetFormatPr defaultColWidth="9.109375" defaultRowHeight="13.2"/>
  <cols>
    <col min="1" max="1" width="9.109375" style="307"/>
    <col min="2" max="2" width="19" style="309" customWidth="1"/>
    <col min="3" max="3" width="11.5546875" style="309" customWidth="1"/>
    <col min="4" max="5" width="16.5546875" style="309" customWidth="1"/>
    <col min="6" max="6" width="20.88671875" style="309" customWidth="1"/>
    <col min="7" max="7" width="13" style="309" customWidth="1"/>
    <col min="8" max="8" width="15.88671875" style="310" customWidth="1"/>
    <col min="9" max="9" width="16.88671875" style="311" customWidth="1"/>
    <col min="10" max="10" width="15.6640625" style="311" customWidth="1"/>
    <col min="11" max="11" width="30.88671875" style="307" customWidth="1"/>
    <col min="12" max="12" width="3.109375" style="307" customWidth="1"/>
    <col min="13" max="13" width="19.6640625" style="312" customWidth="1"/>
    <col min="14" max="14" width="15.6640625" style="312" customWidth="1"/>
    <col min="15" max="16" width="19.88671875" style="312" customWidth="1"/>
    <col min="17" max="17" width="17.109375" style="312" customWidth="1"/>
    <col min="18" max="18" width="17.44140625" style="312" customWidth="1"/>
    <col min="19" max="19" width="16.44140625" style="312" customWidth="1"/>
    <col min="20" max="20" width="15.44140625" style="312" customWidth="1"/>
    <col min="21" max="21" width="17.44140625" style="312" customWidth="1"/>
    <col min="22" max="22" width="18" style="312" customWidth="1"/>
    <col min="23" max="23" width="11.109375" style="312" customWidth="1"/>
    <col min="24" max="24" width="17.33203125" style="312" customWidth="1"/>
    <col min="25" max="25" width="17.44140625" style="313" customWidth="1"/>
    <col min="26" max="26" width="16.44140625" style="314" customWidth="1"/>
    <col min="27" max="27" width="9.109375" style="314"/>
    <col min="28" max="16384" width="9.109375" style="307"/>
  </cols>
  <sheetData>
    <row r="1" spans="1:27" ht="15.6">
      <c r="A1" s="904" t="s">
        <v>86</v>
      </c>
      <c r="B1" s="905"/>
      <c r="C1" s="905"/>
      <c r="D1" s="905"/>
      <c r="E1" s="905"/>
      <c r="F1" s="905"/>
      <c r="G1" s="905"/>
      <c r="H1" s="905"/>
      <c r="I1" s="905"/>
      <c r="J1" s="905"/>
      <c r="K1" s="906"/>
      <c r="L1" s="340"/>
    </row>
    <row r="2" spans="1:27">
      <c r="A2" s="907">
        <f>LS_RPRO!A2</f>
        <v>46296</v>
      </c>
      <c r="B2" s="908"/>
      <c r="C2" s="908"/>
      <c r="D2" s="908"/>
      <c r="E2" s="908"/>
      <c r="F2" s="908"/>
      <c r="G2" s="908"/>
      <c r="H2" s="908"/>
      <c r="I2" s="908"/>
      <c r="J2" s="908"/>
      <c r="K2" s="909"/>
      <c r="M2" s="341"/>
      <c r="N2" s="341"/>
      <c r="O2" s="341"/>
      <c r="P2" s="341"/>
      <c r="Q2" s="341"/>
      <c r="R2" s="341"/>
      <c r="S2" s="341"/>
      <c r="T2" s="341"/>
      <c r="U2" s="341"/>
      <c r="V2" s="341"/>
      <c r="W2" s="341"/>
      <c r="X2" s="341"/>
      <c r="Y2" s="307"/>
      <c r="Z2" s="366"/>
      <c r="AA2" s="366"/>
    </row>
    <row r="3" spans="1:27">
      <c r="A3" s="315"/>
      <c r="B3" s="316"/>
      <c r="C3" s="316"/>
      <c r="D3" s="316"/>
      <c r="E3" s="316"/>
      <c r="F3" s="316"/>
      <c r="G3" s="316"/>
      <c r="H3" s="317"/>
      <c r="I3" s="316"/>
      <c r="J3" s="316"/>
      <c r="K3" s="342"/>
      <c r="M3" s="316"/>
      <c r="N3" s="316"/>
      <c r="O3" s="316"/>
      <c r="P3" s="316"/>
      <c r="Q3" s="316"/>
      <c r="R3" s="341"/>
      <c r="S3" s="316"/>
      <c r="T3" s="316"/>
      <c r="U3" s="316"/>
      <c r="V3" s="341"/>
      <c r="W3" s="316"/>
      <c r="X3" s="316"/>
      <c r="Y3" s="316"/>
      <c r="Z3" s="316"/>
      <c r="AA3" s="307"/>
    </row>
    <row r="4" spans="1:27">
      <c r="A4" s="318"/>
      <c r="B4" s="319"/>
      <c r="C4" s="319"/>
      <c r="D4" s="319"/>
      <c r="E4" s="910" t="s">
        <v>1</v>
      </c>
      <c r="F4" s="911"/>
      <c r="G4" s="319"/>
      <c r="H4" s="320" t="s">
        <v>2</v>
      </c>
      <c r="I4" s="319"/>
      <c r="J4" s="319"/>
      <c r="K4" s="343"/>
      <c r="M4" s="344" t="s">
        <v>5</v>
      </c>
      <c r="N4" s="344" t="s">
        <v>6</v>
      </c>
      <c r="O4" s="912" t="s">
        <v>7</v>
      </c>
      <c r="P4" s="913"/>
      <c r="Q4" s="913"/>
      <c r="R4" s="914"/>
      <c r="S4" s="900" t="s">
        <v>8</v>
      </c>
      <c r="T4" s="915" t="s">
        <v>9</v>
      </c>
      <c r="U4" s="916"/>
      <c r="V4" s="916"/>
      <c r="W4" s="917"/>
      <c r="X4" s="900" t="s">
        <v>87</v>
      </c>
      <c r="Y4" s="367" t="s">
        <v>11</v>
      </c>
      <c r="Z4" s="902" t="s">
        <v>84</v>
      </c>
      <c r="AA4" s="308"/>
    </row>
    <row r="5" spans="1:27">
      <c r="A5" s="321"/>
      <c r="B5" s="322" t="s">
        <v>15</v>
      </c>
      <c r="C5" s="322" t="s">
        <v>16</v>
      </c>
      <c r="D5" s="322" t="s">
        <v>17</v>
      </c>
      <c r="E5" s="322" t="s">
        <v>18</v>
      </c>
      <c r="F5" s="322" t="s">
        <v>19</v>
      </c>
      <c r="G5" s="322" t="s">
        <v>20</v>
      </c>
      <c r="H5" s="320" t="s">
        <v>21</v>
      </c>
      <c r="I5" s="322" t="s">
        <v>22</v>
      </c>
      <c r="J5" s="322" t="s">
        <v>23</v>
      </c>
      <c r="K5" s="345" t="s">
        <v>85</v>
      </c>
      <c r="M5" s="346" t="s">
        <v>26</v>
      </c>
      <c r="N5" s="346" t="s">
        <v>27</v>
      </c>
      <c r="O5" s="346" t="s">
        <v>28</v>
      </c>
      <c r="P5" s="346" t="s">
        <v>29</v>
      </c>
      <c r="Q5" s="346" t="s">
        <v>30</v>
      </c>
      <c r="R5" s="346" t="s">
        <v>31</v>
      </c>
      <c r="S5" s="901"/>
      <c r="T5" s="346" t="s">
        <v>32</v>
      </c>
      <c r="U5" s="346" t="s">
        <v>33</v>
      </c>
      <c r="V5" s="362" t="s">
        <v>34</v>
      </c>
      <c r="W5" s="362" t="s">
        <v>35</v>
      </c>
      <c r="X5" s="901"/>
      <c r="Y5" s="368" t="s">
        <v>36</v>
      </c>
      <c r="Z5" s="903"/>
      <c r="AA5" s="308"/>
    </row>
    <row r="6" spans="1:27">
      <c r="A6" s="323">
        <f>A2+0</f>
        <v>46296</v>
      </c>
      <c r="B6" s="324">
        <f>(SUMIFS(msi[[#All],[SP]],msi[[#All],[DATE]],$A6,msi[[#All],[Manual /OutSale]],"OutSale"))-(SUMIFS(MRet[[#All],[SP]],MRet[[#All],[DATE]],$A6,MRet[[#All],[Manual/ OutSale]],"OutSale"))</f>
        <v>0</v>
      </c>
      <c r="C6" s="324">
        <f>(SUMIFS(msi[[#All],[DISC. AMOUNT]],msi[[#All],[DATE]],$A6,msi[[#All],[Manual /OutSale]],"OutSale"))-(SUMIFS(MRet[[#All],[DISC. AMOUNT]],MRet[[#All],[DATE]],$A6,MRet[[#All],[Manual/ OutSale]],"OutSale"))</f>
        <v>0</v>
      </c>
      <c r="D6" s="325">
        <f t="shared" ref="D6:D20" si="0">+B6-C6</f>
        <v>0</v>
      </c>
      <c r="E6" s="324"/>
      <c r="F6" s="325">
        <f t="shared" ref="F6:F20" si="1">+C6-E6</f>
        <v>0</v>
      </c>
      <c r="G6" s="324"/>
      <c r="H6" s="326"/>
      <c r="I6" s="347">
        <f>SUMIF(Z6,"&lt;.01")</f>
        <v>0</v>
      </c>
      <c r="J6" s="347">
        <f>SUMIF(Z6,"&gt;.01")</f>
        <v>0</v>
      </c>
      <c r="K6" s="348"/>
      <c r="M6" s="324">
        <f>(SUMIFS(msi[[#All],[CHARGE]],msi[[#All],[DATE]],$A6,msi[[#All],[Manual /OutSale]],"OutSale"))-(SUMIFS(MRet[[#All],[CHARGE]],MRet[[#All],[DATE]],$A6,MRet[[#All],[Manual/ OutSale]],"OutSale"))</f>
        <v>0</v>
      </c>
      <c r="N6" s="324">
        <f>(SUMIFS(msi[[#All],[GC/  OTHERS]],msi[[#All],[DATE]],$A6,msi[[#All],[Manual /OutSale]],"OutSale"))-(SUMIFS(MRet[[#All],[GC/  OTHERS]],MRet[[#All],[DATE]],$A6,MRet[[#All],[Manual/ OutSale]],"OutSale"))</f>
        <v>0</v>
      </c>
      <c r="O6" s="349"/>
      <c r="P6" s="349"/>
      <c r="Q6" s="349"/>
      <c r="R6" s="363"/>
      <c r="S6" s="324">
        <f>(SUMIFS(msi[[#All],[Check]],msi[[#All],[DATE]],$A6,msi[[#All],[Manual /OutSale]],"OutSale"))-(SUMIFS(MRet[[#All],[Check]],MRet[[#All],[DATE]],$A6,MRet[[#All],[Manual/ OutSale]],"OutSale"))</f>
        <v>0</v>
      </c>
      <c r="T6" s="324">
        <f>(SUMIFS(msi[[#All],[COD]],msi[[#All],[DATE]],$A6,msi[[#All],[Manual /OutSale]],"OutSale"))-(SUMIFS(MRet[[#All],[COD]],MRet[[#All],[DATE]],$A6,MRet[[#All],[Manual/ OutSale]],"OutSale"))</f>
        <v>0</v>
      </c>
      <c r="U6" s="349">
        <v>0</v>
      </c>
      <c r="V6" s="363"/>
      <c r="W6" s="324">
        <f>(SUMIFS(msi[[#All],[CWT]],msi[[#All],[DATE]],$A6,msi[[#All],[Manual /OutSale]],"OutSale"))-(SUMIFS(MRet[[#All],[CWT]],MRet[[#All],[DATE]],$A6,MRet[[#All],[Manual/ OutSale]],"OutSale"))</f>
        <v>0</v>
      </c>
      <c r="X6" s="324">
        <f>(SUMIFS(msi[[#All],[CASH]],msi[[#All],[DATE]],$A6,msi[[#All],[Manual /OutSale]],"OutSale"))-(SUMIFS(MRet[[#All],[CASH]],MRet[[#All],[DATE]],$A6,MRet[[#All],[Manual/ OutSale]],"OutSale"))</f>
        <v>0</v>
      </c>
      <c r="Y6" s="369">
        <f t="shared" ref="Y6:Y20" si="2">D6-M6-N6+O6+Q6+R6-S6-T6-U6-V6-W6</f>
        <v>0</v>
      </c>
      <c r="Z6" s="370">
        <f>X6-Y6</f>
        <v>0</v>
      </c>
      <c r="AA6" s="307"/>
    </row>
    <row r="7" spans="1:27">
      <c r="A7" s="323">
        <f>A6+1</f>
        <v>46297</v>
      </c>
      <c r="B7" s="324">
        <f>(SUMIFS(msi[[#All],[SP]],msi[[#All],[DATE]],$A7,msi[[#All],[Manual /OutSale]],"OutSale"))-(SUMIFS(MRet[[#All],[SP]],MRet[[#All],[DATE]],$A7,MRet[[#All],[Manual/ OutSale]],"OutSale"))</f>
        <v>0</v>
      </c>
      <c r="C7" s="324">
        <f>(SUMIFS(msi[[#All],[DISC. AMOUNT]],msi[[#All],[DATE]],$A7,msi[[#All],[Manual /OutSale]],"OutSale"))-(SUMIFS(MRet[[#All],[DISC. AMOUNT]],MRet[[#All],[DATE]],$A7,MRet[[#All],[Manual/ OutSale]],"OutSale"))</f>
        <v>0</v>
      </c>
      <c r="D7" s="325">
        <f t="shared" si="0"/>
        <v>0</v>
      </c>
      <c r="E7" s="324"/>
      <c r="F7" s="325">
        <f t="shared" si="1"/>
        <v>0</v>
      </c>
      <c r="G7" s="324"/>
      <c r="H7" s="326"/>
      <c r="I7" s="347">
        <f t="shared" ref="I7:I20" si="3">SUMIF(Z7,"&lt;.01")</f>
        <v>0</v>
      </c>
      <c r="J7" s="347">
        <f t="shared" ref="J7:J20" si="4">SUMIF(Z7,"&gt;.01")</f>
        <v>0</v>
      </c>
      <c r="K7" s="348"/>
      <c r="M7" s="324">
        <f>(SUMIFS(msi[[#All],[CHARGE]],msi[[#All],[DATE]],$A7,msi[[#All],[Manual /OutSale]],"OutSale"))-(SUMIFS(MRet[[#All],[CHARGE]],MRet[[#All],[DATE]],$A7,MRet[[#All],[Manual/ OutSale]],"OutSale"))</f>
        <v>0</v>
      </c>
      <c r="N7" s="324">
        <f>(SUMIFS(msi[[#All],[GC/  OTHERS]],msi[[#All],[DATE]],$A7,msi[[#All],[Manual /OutSale]],"OutSale"))-(SUMIFS(MRet[[#All],[GC/  OTHERS]],MRet[[#All],[DATE]],$A7,MRet[[#All],[Manual/ OutSale]],"OutSale"))</f>
        <v>0</v>
      </c>
      <c r="O7" s="349"/>
      <c r="P7" s="349"/>
      <c r="Q7" s="349"/>
      <c r="R7" s="363"/>
      <c r="S7" s="324">
        <f>(SUMIFS(msi[[#All],[Check]],msi[[#All],[DATE]],$A7,msi[[#All],[Manual /OutSale]],"OutSale"))-(SUMIFS(MRet[[#All],[Check]],MRet[[#All],[DATE]],$A7,MRet[[#All],[Manual/ OutSale]],"OutSale"))</f>
        <v>0</v>
      </c>
      <c r="T7" s="324">
        <f>(SUMIFS(msi[[#All],[COD]],msi[[#All],[DATE]],$A7,msi[[#All],[Manual /OutSale]],"OutSale"))-(SUMIFS(MRet[[#All],[COD]],MRet[[#All],[DATE]],$A7,MRet[[#All],[Manual/ OutSale]],"OutSale"))</f>
        <v>0</v>
      </c>
      <c r="U7" s="349">
        <v>0</v>
      </c>
      <c r="V7" s="363"/>
      <c r="W7" s="324">
        <f>(SUMIFS(msi[[#All],[CWT]],msi[[#All],[DATE]],$A7,msi[[#All],[Manual /OutSale]],"OutSale"))-(SUMIFS(MRet[[#All],[CWT]],MRet[[#All],[DATE]],$A7,MRet[[#All],[Manual/ OutSale]],"OutSale"))</f>
        <v>0</v>
      </c>
      <c r="X7" s="324">
        <f>(SUMIFS(msi[[#All],[CASH]],msi[[#All],[DATE]],$A7,msi[[#All],[Manual /OutSale]],"OutSale"))-(SUMIFS(MRet[[#All],[CASH]],MRet[[#All],[DATE]],$A7,MRet[[#All],[Manual/ OutSale]],"OutSale"))</f>
        <v>0</v>
      </c>
      <c r="Y7" s="369">
        <f t="shared" si="2"/>
        <v>0</v>
      </c>
      <c r="Z7" s="369">
        <f t="shared" ref="Z7:Z20" si="5">X7-Y7</f>
        <v>0</v>
      </c>
      <c r="AA7" s="307"/>
    </row>
    <row r="8" spans="1:27">
      <c r="A8" s="323">
        <f t="shared" ref="A8:A20" si="6">A7+1</f>
        <v>46298</v>
      </c>
      <c r="B8" s="324">
        <f>(SUMIFS(msi[[#All],[SP]],msi[[#All],[DATE]],$A8,msi[[#All],[Manual /OutSale]],"OutSale"))-(SUMIFS(MRet[[#All],[SP]],MRet[[#All],[DATE]],$A8,MRet[[#All],[Manual/ OutSale]],"OutSale"))</f>
        <v>0</v>
      </c>
      <c r="C8" s="324">
        <f>(SUMIFS(msi[[#All],[DISC. AMOUNT]],msi[[#All],[DATE]],$A8,msi[[#All],[Manual /OutSale]],"OutSale"))-(SUMIFS(MRet[[#All],[DISC. AMOUNT]],MRet[[#All],[DATE]],$A8,MRet[[#All],[Manual/ OutSale]],"OutSale"))</f>
        <v>0</v>
      </c>
      <c r="D8" s="325">
        <f t="shared" si="0"/>
        <v>0</v>
      </c>
      <c r="E8" s="324"/>
      <c r="F8" s="325">
        <f t="shared" si="1"/>
        <v>0</v>
      </c>
      <c r="G8" s="324"/>
      <c r="H8" s="326"/>
      <c r="I8" s="347">
        <f t="shared" si="3"/>
        <v>0</v>
      </c>
      <c r="J8" s="347">
        <f t="shared" si="4"/>
        <v>0</v>
      </c>
      <c r="K8" s="348"/>
      <c r="M8" s="324">
        <f>(SUMIFS(msi[[#All],[CHARGE]],msi[[#All],[DATE]],$A8,msi[[#All],[Manual /OutSale]],"OutSale"))-(SUMIFS(MRet[[#All],[CHARGE]],MRet[[#All],[DATE]],$A8,MRet[[#All],[Manual/ OutSale]],"OutSale"))</f>
        <v>0</v>
      </c>
      <c r="N8" s="324">
        <f>(SUMIFS(msi[[#All],[GC/  OTHERS]],msi[[#All],[DATE]],$A8,msi[[#All],[Manual /OutSale]],"OutSale"))-(SUMIFS(MRet[[#All],[GC/  OTHERS]],MRet[[#All],[DATE]],$A8,MRet[[#All],[Manual/ OutSale]],"OutSale"))</f>
        <v>0</v>
      </c>
      <c r="O8" s="349"/>
      <c r="P8" s="349"/>
      <c r="Q8" s="349"/>
      <c r="R8" s="363"/>
      <c r="S8" s="324">
        <f>(SUMIFS(msi[[#All],[Check]],msi[[#All],[DATE]],$A8,msi[[#All],[Manual /OutSale]],"OutSale"))-(SUMIFS(MRet[[#All],[Check]],MRet[[#All],[DATE]],$A8,MRet[[#All],[Manual/ OutSale]],"OutSale"))</f>
        <v>0</v>
      </c>
      <c r="T8" s="324">
        <f>(SUMIFS(msi[[#All],[COD]],msi[[#All],[DATE]],$A8,msi[[#All],[Manual /OutSale]],"OutSale"))-(SUMIFS(MRet[[#All],[COD]],MRet[[#All],[DATE]],$A8,MRet[[#All],[Manual/ OutSale]],"OutSale"))</f>
        <v>0</v>
      </c>
      <c r="U8" s="349">
        <v>0</v>
      </c>
      <c r="V8" s="363"/>
      <c r="W8" s="324">
        <f>(SUMIFS(msi[[#All],[CWT]],msi[[#All],[DATE]],$A8,msi[[#All],[Manual /OutSale]],"OutSale"))-(SUMIFS(MRet[[#All],[CWT]],MRet[[#All],[DATE]],$A8,MRet[[#All],[Manual/ OutSale]],"OutSale"))</f>
        <v>0</v>
      </c>
      <c r="X8" s="324">
        <f>(SUMIFS(msi[[#All],[CASH]],msi[[#All],[DATE]],$A8,msi[[#All],[Manual /OutSale]],"OutSale"))-(SUMIFS(MRet[[#All],[CASH]],MRet[[#All],[DATE]],$A8,MRet[[#All],[Manual/ OutSale]],"OutSale"))</f>
        <v>0</v>
      </c>
      <c r="Y8" s="369">
        <f t="shared" si="2"/>
        <v>0</v>
      </c>
      <c r="Z8" s="369">
        <f t="shared" si="5"/>
        <v>0</v>
      </c>
      <c r="AA8" s="307"/>
    </row>
    <row r="9" spans="1:27">
      <c r="A9" s="323">
        <f t="shared" si="6"/>
        <v>46299</v>
      </c>
      <c r="B9" s="324">
        <f>(SUMIFS(msi[[#All],[SP]],msi[[#All],[DATE]],$A9,msi[[#All],[Manual /OutSale]],"OutSale"))-(SUMIFS(MRet[[#All],[SP]],MRet[[#All],[DATE]],$A9,MRet[[#All],[Manual/ OutSale]],"OutSale"))</f>
        <v>0</v>
      </c>
      <c r="C9" s="324">
        <f>(SUMIFS(msi[[#All],[DISC. AMOUNT]],msi[[#All],[DATE]],$A9,msi[[#All],[Manual /OutSale]],"OutSale"))-(SUMIFS(MRet[[#All],[DISC. AMOUNT]],MRet[[#All],[DATE]],$A9,MRet[[#All],[Manual/ OutSale]],"OutSale"))</f>
        <v>0</v>
      </c>
      <c r="D9" s="325">
        <f t="shared" si="0"/>
        <v>0</v>
      </c>
      <c r="E9" s="324"/>
      <c r="F9" s="325">
        <f t="shared" si="1"/>
        <v>0</v>
      </c>
      <c r="G9" s="324"/>
      <c r="H9" s="326"/>
      <c r="I9" s="347">
        <f t="shared" si="3"/>
        <v>0</v>
      </c>
      <c r="J9" s="347">
        <f t="shared" si="4"/>
        <v>0</v>
      </c>
      <c r="K9" s="348"/>
      <c r="M9" s="324">
        <f>(SUMIFS(msi[[#All],[CHARGE]],msi[[#All],[DATE]],$A9,msi[[#All],[Manual /OutSale]],"OutSale"))-(SUMIFS(MRet[[#All],[CHARGE]],MRet[[#All],[DATE]],$A9,MRet[[#All],[Manual/ OutSale]],"OutSale"))</f>
        <v>0</v>
      </c>
      <c r="N9" s="324">
        <f>(SUMIFS(msi[[#All],[GC/  OTHERS]],msi[[#All],[DATE]],$A9,msi[[#All],[Manual /OutSale]],"OutSale"))-(SUMIFS(MRet[[#All],[GC/  OTHERS]],MRet[[#All],[DATE]],$A9,MRet[[#All],[Manual/ OutSale]],"OutSale"))</f>
        <v>0</v>
      </c>
      <c r="O9" s="349"/>
      <c r="P9" s="349"/>
      <c r="Q9" s="349"/>
      <c r="R9" s="363"/>
      <c r="S9" s="324">
        <f>(SUMIFS(msi[[#All],[Check]],msi[[#All],[DATE]],$A9,msi[[#All],[Manual /OutSale]],"OutSale"))-(SUMIFS(MRet[[#All],[Check]],MRet[[#All],[DATE]],$A9,MRet[[#All],[Manual/ OutSale]],"OutSale"))</f>
        <v>0</v>
      </c>
      <c r="T9" s="324">
        <f>(SUMIFS(msi[[#All],[COD]],msi[[#All],[DATE]],$A9,msi[[#All],[Manual /OutSale]],"OutSale"))-(SUMIFS(MRet[[#All],[COD]],MRet[[#All],[DATE]],$A9,MRet[[#All],[Manual/ OutSale]],"OutSale"))</f>
        <v>0</v>
      </c>
      <c r="U9" s="349">
        <v>0</v>
      </c>
      <c r="V9" s="363"/>
      <c r="W9" s="324">
        <f>(SUMIFS(msi[[#All],[CWT]],msi[[#All],[DATE]],$A9,msi[[#All],[Manual /OutSale]],"OutSale"))-(SUMIFS(MRet[[#All],[CWT]],MRet[[#All],[DATE]],$A9,MRet[[#All],[Manual/ OutSale]],"OutSale"))</f>
        <v>0</v>
      </c>
      <c r="X9" s="324">
        <f>(SUMIFS(msi[[#All],[CASH]],msi[[#All],[DATE]],$A9,msi[[#All],[Manual /OutSale]],"OutSale"))-(SUMIFS(MRet[[#All],[CASH]],MRet[[#All],[DATE]],$A9,MRet[[#All],[Manual/ OutSale]],"OutSale"))</f>
        <v>0</v>
      </c>
      <c r="Y9" s="369">
        <f t="shared" si="2"/>
        <v>0</v>
      </c>
      <c r="Z9" s="369">
        <f t="shared" si="5"/>
        <v>0</v>
      </c>
      <c r="AA9" s="307"/>
    </row>
    <row r="10" spans="1:27">
      <c r="A10" s="323">
        <f t="shared" si="6"/>
        <v>46300</v>
      </c>
      <c r="B10" s="324">
        <f>(SUMIFS(msi[[#All],[SP]],msi[[#All],[DATE]],$A10,msi[[#All],[Manual /OutSale]],"OutSale"))-(SUMIFS(MRet[[#All],[SP]],MRet[[#All],[DATE]],$A10,MRet[[#All],[Manual/ OutSale]],"OutSale"))</f>
        <v>0</v>
      </c>
      <c r="C10" s="324">
        <f>(SUMIFS(msi[[#All],[DISC. AMOUNT]],msi[[#All],[DATE]],$A10,msi[[#All],[Manual /OutSale]],"OutSale"))-(SUMIFS(MRet[[#All],[DISC. AMOUNT]],MRet[[#All],[DATE]],$A10,MRet[[#All],[Manual/ OutSale]],"OutSale"))</f>
        <v>0</v>
      </c>
      <c r="D10" s="325">
        <f t="shared" si="0"/>
        <v>0</v>
      </c>
      <c r="E10" s="324"/>
      <c r="F10" s="325">
        <f t="shared" si="1"/>
        <v>0</v>
      </c>
      <c r="G10" s="324"/>
      <c r="H10" s="326"/>
      <c r="I10" s="347">
        <f t="shared" si="3"/>
        <v>0</v>
      </c>
      <c r="J10" s="347">
        <f t="shared" si="4"/>
        <v>0</v>
      </c>
      <c r="K10" s="348"/>
      <c r="M10" s="324">
        <f>(SUMIFS(msi[[#All],[CHARGE]],msi[[#All],[DATE]],$A10,msi[[#All],[Manual /OutSale]],"OutSale"))-(SUMIFS(MRet[[#All],[CHARGE]],MRet[[#All],[DATE]],$A10,MRet[[#All],[Manual/ OutSale]],"OutSale"))</f>
        <v>0</v>
      </c>
      <c r="N10" s="324">
        <f>(SUMIFS(msi[[#All],[GC/  OTHERS]],msi[[#All],[DATE]],$A10,msi[[#All],[Manual /OutSale]],"OutSale"))-(SUMIFS(MRet[[#All],[GC/  OTHERS]],MRet[[#All],[DATE]],$A10,MRet[[#All],[Manual/ OutSale]],"OutSale"))</f>
        <v>0</v>
      </c>
      <c r="O10" s="349"/>
      <c r="P10" s="349"/>
      <c r="Q10" s="349"/>
      <c r="R10" s="363"/>
      <c r="S10" s="324">
        <f>(SUMIFS(msi[[#All],[Check]],msi[[#All],[DATE]],$A10,msi[[#All],[Manual /OutSale]],"OutSale"))-(SUMIFS(MRet[[#All],[Check]],MRet[[#All],[DATE]],$A10,MRet[[#All],[Manual/ OutSale]],"OutSale"))</f>
        <v>0</v>
      </c>
      <c r="T10" s="324">
        <f>(SUMIFS(msi[[#All],[COD]],msi[[#All],[DATE]],$A10,msi[[#All],[Manual /OutSale]],"OutSale"))-(SUMIFS(MRet[[#All],[COD]],MRet[[#All],[DATE]],$A10,MRet[[#All],[Manual/ OutSale]],"OutSale"))</f>
        <v>0</v>
      </c>
      <c r="U10" s="349">
        <v>0</v>
      </c>
      <c r="V10" s="363"/>
      <c r="W10" s="324">
        <f>(SUMIFS(msi[[#All],[CWT]],msi[[#All],[DATE]],$A10,msi[[#All],[Manual /OutSale]],"OutSale"))-(SUMIFS(MRet[[#All],[CWT]],MRet[[#All],[DATE]],$A10,MRet[[#All],[Manual/ OutSale]],"OutSale"))</f>
        <v>0</v>
      </c>
      <c r="X10" s="324">
        <f>(SUMIFS(msi[[#All],[CASH]],msi[[#All],[DATE]],$A10,msi[[#All],[Manual /OutSale]],"OutSale"))-(SUMIFS(MRet[[#All],[CASH]],MRet[[#All],[DATE]],$A10,MRet[[#All],[Manual/ OutSale]],"OutSale"))</f>
        <v>0</v>
      </c>
      <c r="Y10" s="369">
        <f t="shared" si="2"/>
        <v>0</v>
      </c>
      <c r="Z10" s="369">
        <f t="shared" si="5"/>
        <v>0</v>
      </c>
      <c r="AA10" s="307"/>
    </row>
    <row r="11" spans="1:27">
      <c r="A11" s="323">
        <f t="shared" si="6"/>
        <v>46301</v>
      </c>
      <c r="B11" s="324">
        <f>(SUMIFS(msi[[#All],[SP]],msi[[#All],[DATE]],$A11,msi[[#All],[Manual /OutSale]],"OutSale"))-(SUMIFS(MRet[[#All],[SP]],MRet[[#All],[DATE]],$A11,MRet[[#All],[Manual/ OutSale]],"OutSale"))</f>
        <v>0</v>
      </c>
      <c r="C11" s="324">
        <f>(SUMIFS(msi[[#All],[DISC. AMOUNT]],msi[[#All],[DATE]],$A11,msi[[#All],[Manual /OutSale]],"OutSale"))-(SUMIFS(MRet[[#All],[DISC. AMOUNT]],MRet[[#All],[DATE]],$A11,MRet[[#All],[Manual/ OutSale]],"OutSale"))</f>
        <v>0</v>
      </c>
      <c r="D11" s="325">
        <f t="shared" si="0"/>
        <v>0</v>
      </c>
      <c r="E11" s="324"/>
      <c r="F11" s="325">
        <f t="shared" si="1"/>
        <v>0</v>
      </c>
      <c r="G11" s="324"/>
      <c r="H11" s="326"/>
      <c r="I11" s="347">
        <f t="shared" si="3"/>
        <v>0</v>
      </c>
      <c r="J11" s="347">
        <f t="shared" si="4"/>
        <v>0</v>
      </c>
      <c r="K11" s="348"/>
      <c r="M11" s="324">
        <f>(SUMIFS(msi[[#All],[CHARGE]],msi[[#All],[DATE]],$A11,msi[[#All],[Manual /OutSale]],"OutSale"))-(SUMIFS(MRet[[#All],[CHARGE]],MRet[[#All],[DATE]],$A11,MRet[[#All],[Manual/ OutSale]],"OutSale"))</f>
        <v>0</v>
      </c>
      <c r="N11" s="324">
        <f>(SUMIFS(msi[[#All],[GC/  OTHERS]],msi[[#All],[DATE]],$A11,msi[[#All],[Manual /OutSale]],"OutSale"))-(SUMIFS(MRet[[#All],[GC/  OTHERS]],MRet[[#All],[DATE]],$A11,MRet[[#All],[Manual/ OutSale]],"OutSale"))</f>
        <v>0</v>
      </c>
      <c r="O11" s="349"/>
      <c r="P11" s="349"/>
      <c r="Q11" s="349"/>
      <c r="R11" s="363"/>
      <c r="S11" s="324">
        <f>(SUMIFS(msi[[#All],[Check]],msi[[#All],[DATE]],$A11,msi[[#All],[Manual /OutSale]],"OutSale"))-(SUMIFS(MRet[[#All],[Check]],MRet[[#All],[DATE]],$A11,MRet[[#All],[Manual/ OutSale]],"OutSale"))</f>
        <v>0</v>
      </c>
      <c r="T11" s="324">
        <f>(SUMIFS(msi[[#All],[COD]],msi[[#All],[DATE]],$A11,msi[[#All],[Manual /OutSale]],"OutSale"))-(SUMIFS(MRet[[#All],[COD]],MRet[[#All],[DATE]],$A11,MRet[[#All],[Manual/ OutSale]],"OutSale"))</f>
        <v>0</v>
      </c>
      <c r="U11" s="349">
        <v>0</v>
      </c>
      <c r="V11" s="363"/>
      <c r="W11" s="324">
        <f>(SUMIFS(msi[[#All],[CWT]],msi[[#All],[DATE]],$A11,msi[[#All],[Manual /OutSale]],"OutSale"))-(SUMIFS(MRet[[#All],[CWT]],MRet[[#All],[DATE]],$A11,MRet[[#All],[Manual/ OutSale]],"OutSale"))</f>
        <v>0</v>
      </c>
      <c r="X11" s="324">
        <f>(SUMIFS(msi[[#All],[CASH]],msi[[#All],[DATE]],$A11,msi[[#All],[Manual /OutSale]],"OutSale"))-(SUMIFS(MRet[[#All],[CASH]],MRet[[#All],[DATE]],$A11,MRet[[#All],[Manual/ OutSale]],"OutSale"))</f>
        <v>0</v>
      </c>
      <c r="Y11" s="369">
        <f t="shared" si="2"/>
        <v>0</v>
      </c>
      <c r="Z11" s="369">
        <f t="shared" si="5"/>
        <v>0</v>
      </c>
      <c r="AA11" s="307"/>
    </row>
    <row r="12" spans="1:27">
      <c r="A12" s="323">
        <f t="shared" si="6"/>
        <v>46302</v>
      </c>
      <c r="B12" s="324">
        <f>(SUMIFS(msi[[#All],[SP]],msi[[#All],[DATE]],$A12,msi[[#All],[Manual /OutSale]],"OutSale"))-(SUMIFS(MRet[[#All],[SP]],MRet[[#All],[DATE]],$A12,MRet[[#All],[Manual/ OutSale]],"OutSale"))</f>
        <v>0</v>
      </c>
      <c r="C12" s="324">
        <f>(SUMIFS(msi[[#All],[DISC. AMOUNT]],msi[[#All],[DATE]],$A12,msi[[#All],[Manual /OutSale]],"OutSale"))-(SUMIFS(MRet[[#All],[DISC. AMOUNT]],MRet[[#All],[DATE]],$A12,MRet[[#All],[Manual/ OutSale]],"OutSale"))</f>
        <v>0</v>
      </c>
      <c r="D12" s="325">
        <f t="shared" si="0"/>
        <v>0</v>
      </c>
      <c r="E12" s="324"/>
      <c r="F12" s="325">
        <f t="shared" si="1"/>
        <v>0</v>
      </c>
      <c r="G12" s="324"/>
      <c r="H12" s="326"/>
      <c r="I12" s="347">
        <f t="shared" si="3"/>
        <v>0</v>
      </c>
      <c r="J12" s="347">
        <f t="shared" si="4"/>
        <v>0</v>
      </c>
      <c r="K12" s="348"/>
      <c r="M12" s="324">
        <f>(SUMIFS(msi[[#All],[CHARGE]],msi[[#All],[DATE]],$A12,msi[[#All],[Manual /OutSale]],"OutSale"))-(SUMIFS(MRet[[#All],[CHARGE]],MRet[[#All],[DATE]],$A12,MRet[[#All],[Manual/ OutSale]],"OutSale"))</f>
        <v>0</v>
      </c>
      <c r="N12" s="324">
        <f>(SUMIFS(msi[[#All],[GC/  OTHERS]],msi[[#All],[DATE]],$A12,msi[[#All],[Manual /OutSale]],"OutSale"))-(SUMIFS(MRet[[#All],[GC/  OTHERS]],MRet[[#All],[DATE]],$A12,MRet[[#All],[Manual/ OutSale]],"OutSale"))</f>
        <v>0</v>
      </c>
      <c r="O12" s="349"/>
      <c r="P12" s="349"/>
      <c r="Q12" s="349"/>
      <c r="R12" s="363"/>
      <c r="S12" s="324">
        <f>(SUMIFS(msi[[#All],[Check]],msi[[#All],[DATE]],$A12,msi[[#All],[Manual /OutSale]],"OutSale"))-(SUMIFS(MRet[[#All],[Check]],MRet[[#All],[DATE]],$A12,MRet[[#All],[Manual/ OutSale]],"OutSale"))</f>
        <v>0</v>
      </c>
      <c r="T12" s="324">
        <f>(SUMIFS(msi[[#All],[COD]],msi[[#All],[DATE]],$A12,msi[[#All],[Manual /OutSale]],"OutSale"))-(SUMIFS(MRet[[#All],[COD]],MRet[[#All],[DATE]],$A12,MRet[[#All],[Manual/ OutSale]],"OutSale"))</f>
        <v>0</v>
      </c>
      <c r="U12" s="349">
        <v>0</v>
      </c>
      <c r="V12" s="363"/>
      <c r="W12" s="324">
        <f>(SUMIFS(msi[[#All],[CWT]],msi[[#All],[DATE]],$A12,msi[[#All],[Manual /OutSale]],"OutSale"))-(SUMIFS(MRet[[#All],[CWT]],MRet[[#All],[DATE]],$A12,MRet[[#All],[Manual/ OutSale]],"OutSale"))</f>
        <v>0</v>
      </c>
      <c r="X12" s="324">
        <f>(SUMIFS(msi[[#All],[CASH]],msi[[#All],[DATE]],$A12,msi[[#All],[Manual /OutSale]],"OutSale"))-(SUMIFS(MRet[[#All],[CASH]],MRet[[#All],[DATE]],$A12,MRet[[#All],[Manual/ OutSale]],"OutSale"))</f>
        <v>0</v>
      </c>
      <c r="Y12" s="369">
        <f t="shared" si="2"/>
        <v>0</v>
      </c>
      <c r="Z12" s="369">
        <f t="shared" si="5"/>
        <v>0</v>
      </c>
      <c r="AA12" s="307"/>
    </row>
    <row r="13" spans="1:27">
      <c r="A13" s="323">
        <f t="shared" si="6"/>
        <v>46303</v>
      </c>
      <c r="B13" s="324">
        <f>(SUMIFS(msi[[#All],[SP]],msi[[#All],[DATE]],$A13,msi[[#All],[Manual /OutSale]],"OutSale"))-(SUMIFS(MRet[[#All],[SP]],MRet[[#All],[DATE]],$A13,MRet[[#All],[Manual/ OutSale]],"OutSale"))</f>
        <v>0</v>
      </c>
      <c r="C13" s="324">
        <f>(SUMIFS(msi[[#All],[DISC. AMOUNT]],msi[[#All],[DATE]],$A13,msi[[#All],[Manual /OutSale]],"OutSale"))-(SUMIFS(MRet[[#All],[DISC. AMOUNT]],MRet[[#All],[DATE]],$A13,MRet[[#All],[Manual/ OutSale]],"OutSale"))</f>
        <v>0</v>
      </c>
      <c r="D13" s="325">
        <f t="shared" si="0"/>
        <v>0</v>
      </c>
      <c r="E13" s="324"/>
      <c r="F13" s="325">
        <f t="shared" si="1"/>
        <v>0</v>
      </c>
      <c r="G13" s="324"/>
      <c r="H13" s="326"/>
      <c r="I13" s="347">
        <f t="shared" si="3"/>
        <v>0</v>
      </c>
      <c r="J13" s="347">
        <f t="shared" si="4"/>
        <v>0</v>
      </c>
      <c r="K13" s="348"/>
      <c r="M13" s="324">
        <f>(SUMIFS(msi[[#All],[CHARGE]],msi[[#All],[DATE]],$A13,msi[[#All],[Manual /OutSale]],"OutSale"))-(SUMIFS(MRet[[#All],[CHARGE]],MRet[[#All],[DATE]],$A13,MRet[[#All],[Manual/ OutSale]],"OutSale"))</f>
        <v>0</v>
      </c>
      <c r="N13" s="324">
        <f>(SUMIFS(msi[[#All],[GC/  OTHERS]],msi[[#All],[DATE]],$A13,msi[[#All],[Manual /OutSale]],"OutSale"))-(SUMIFS(MRet[[#All],[GC/  OTHERS]],MRet[[#All],[DATE]],$A13,MRet[[#All],[Manual/ OutSale]],"OutSale"))</f>
        <v>0</v>
      </c>
      <c r="O13" s="349"/>
      <c r="P13" s="349"/>
      <c r="Q13" s="349"/>
      <c r="R13" s="363"/>
      <c r="S13" s="324">
        <f>(SUMIFS(msi[[#All],[Check]],msi[[#All],[DATE]],$A13,msi[[#All],[Manual /OutSale]],"OutSale"))-(SUMIFS(MRet[[#All],[Check]],MRet[[#All],[DATE]],$A13,MRet[[#All],[Manual/ OutSale]],"OutSale"))</f>
        <v>0</v>
      </c>
      <c r="T13" s="324">
        <f>(SUMIFS(msi[[#All],[COD]],msi[[#All],[DATE]],$A13,msi[[#All],[Manual /OutSale]],"OutSale"))-(SUMIFS(MRet[[#All],[COD]],MRet[[#All],[DATE]],$A13,MRet[[#All],[Manual/ OutSale]],"OutSale"))</f>
        <v>0</v>
      </c>
      <c r="U13" s="349">
        <v>0</v>
      </c>
      <c r="V13" s="363"/>
      <c r="W13" s="324">
        <f>(SUMIFS(msi[[#All],[CWT]],msi[[#All],[DATE]],$A13,msi[[#All],[Manual /OutSale]],"OutSale"))-(SUMIFS(MRet[[#All],[CWT]],MRet[[#All],[DATE]],$A13,MRet[[#All],[Manual/ OutSale]],"OutSale"))</f>
        <v>0</v>
      </c>
      <c r="X13" s="324">
        <f>(SUMIFS(msi[[#All],[CASH]],msi[[#All],[DATE]],$A13,msi[[#All],[Manual /OutSale]],"OutSale"))-(SUMIFS(MRet[[#All],[CASH]],MRet[[#All],[DATE]],$A13,MRet[[#All],[Manual/ OutSale]],"OutSale"))</f>
        <v>0</v>
      </c>
      <c r="Y13" s="369">
        <f t="shared" si="2"/>
        <v>0</v>
      </c>
      <c r="Z13" s="369">
        <f t="shared" si="5"/>
        <v>0</v>
      </c>
      <c r="AA13" s="307"/>
    </row>
    <row r="14" spans="1:27">
      <c r="A14" s="323">
        <f t="shared" si="6"/>
        <v>46304</v>
      </c>
      <c r="B14" s="324">
        <f>(SUMIFS(msi[[#All],[SP]],msi[[#All],[DATE]],$A14,msi[[#All],[Manual /OutSale]],"OutSale"))-(SUMIFS(MRet[[#All],[SP]],MRet[[#All],[DATE]],$A14,MRet[[#All],[Manual/ OutSale]],"OutSale"))</f>
        <v>0</v>
      </c>
      <c r="C14" s="324">
        <f>(SUMIFS(msi[[#All],[DISC. AMOUNT]],msi[[#All],[DATE]],$A14,msi[[#All],[Manual /OutSale]],"OutSale"))-(SUMIFS(MRet[[#All],[DISC. AMOUNT]],MRet[[#All],[DATE]],$A14,MRet[[#All],[Manual/ OutSale]],"OutSale"))</f>
        <v>0</v>
      </c>
      <c r="D14" s="325">
        <f t="shared" si="0"/>
        <v>0</v>
      </c>
      <c r="E14" s="324"/>
      <c r="F14" s="325">
        <f t="shared" si="1"/>
        <v>0</v>
      </c>
      <c r="G14" s="324"/>
      <c r="H14" s="326"/>
      <c r="I14" s="347">
        <f t="shared" si="3"/>
        <v>0</v>
      </c>
      <c r="J14" s="347">
        <f t="shared" si="4"/>
        <v>0</v>
      </c>
      <c r="K14" s="348"/>
      <c r="M14" s="324">
        <f>(SUMIFS(msi[[#All],[CHARGE]],msi[[#All],[DATE]],$A14,msi[[#All],[Manual /OutSale]],"OutSale"))-(SUMIFS(MRet[[#All],[CHARGE]],MRet[[#All],[DATE]],$A14,MRet[[#All],[Manual/ OutSale]],"OutSale"))</f>
        <v>0</v>
      </c>
      <c r="N14" s="324">
        <f>(SUMIFS(msi[[#All],[GC/  OTHERS]],msi[[#All],[DATE]],$A14,msi[[#All],[Manual /OutSale]],"OutSale"))-(SUMIFS(MRet[[#All],[GC/  OTHERS]],MRet[[#All],[DATE]],$A14,MRet[[#All],[Manual/ OutSale]],"OutSale"))</f>
        <v>0</v>
      </c>
      <c r="O14" s="349"/>
      <c r="P14" s="349"/>
      <c r="Q14" s="349"/>
      <c r="R14" s="363"/>
      <c r="S14" s="324">
        <f>(SUMIFS(msi[[#All],[Check]],msi[[#All],[DATE]],$A14,msi[[#All],[Manual /OutSale]],"OutSale"))-(SUMIFS(MRet[[#All],[Check]],MRet[[#All],[DATE]],$A14,MRet[[#All],[Manual/ OutSale]],"OutSale"))</f>
        <v>0</v>
      </c>
      <c r="T14" s="324">
        <f>(SUMIFS(msi[[#All],[COD]],msi[[#All],[DATE]],$A14,msi[[#All],[Manual /OutSale]],"OutSale"))-(SUMIFS(MRet[[#All],[COD]],MRet[[#All],[DATE]],$A14,MRet[[#All],[Manual/ OutSale]],"OutSale"))</f>
        <v>0</v>
      </c>
      <c r="U14" s="349">
        <v>0</v>
      </c>
      <c r="V14" s="363"/>
      <c r="W14" s="324">
        <f>(SUMIFS(msi[[#All],[CWT]],msi[[#All],[DATE]],$A14,msi[[#All],[Manual /OutSale]],"OutSale"))-(SUMIFS(MRet[[#All],[CWT]],MRet[[#All],[DATE]],$A14,MRet[[#All],[Manual/ OutSale]],"OutSale"))</f>
        <v>0</v>
      </c>
      <c r="X14" s="324">
        <f>(SUMIFS(msi[[#All],[CASH]],msi[[#All],[DATE]],$A14,msi[[#All],[Manual /OutSale]],"OutSale"))-(SUMIFS(MRet[[#All],[CASH]],MRet[[#All],[DATE]],$A14,MRet[[#All],[Manual/ OutSale]],"OutSale"))</f>
        <v>0</v>
      </c>
      <c r="Y14" s="369">
        <f t="shared" si="2"/>
        <v>0</v>
      </c>
      <c r="Z14" s="369">
        <f t="shared" si="5"/>
        <v>0</v>
      </c>
      <c r="AA14" s="307"/>
    </row>
    <row r="15" spans="1:27">
      <c r="A15" s="323">
        <f t="shared" si="6"/>
        <v>46305</v>
      </c>
      <c r="B15" s="324">
        <f>(SUMIFS(msi[[#All],[SP]],msi[[#All],[DATE]],$A15,msi[[#All],[Manual /OutSale]],"OutSale"))-(SUMIFS(MRet[[#All],[SP]],MRet[[#All],[DATE]],$A15,MRet[[#All],[Manual/ OutSale]],"OutSale"))</f>
        <v>0</v>
      </c>
      <c r="C15" s="324">
        <f>(SUMIFS(msi[[#All],[DISC. AMOUNT]],msi[[#All],[DATE]],$A15,msi[[#All],[Manual /OutSale]],"OutSale"))-(SUMIFS(MRet[[#All],[DISC. AMOUNT]],MRet[[#All],[DATE]],$A15,MRet[[#All],[Manual/ OutSale]],"OutSale"))</f>
        <v>0</v>
      </c>
      <c r="D15" s="325">
        <f t="shared" si="0"/>
        <v>0</v>
      </c>
      <c r="E15" s="324"/>
      <c r="F15" s="325">
        <f t="shared" si="1"/>
        <v>0</v>
      </c>
      <c r="G15" s="324"/>
      <c r="H15" s="326"/>
      <c r="I15" s="347">
        <f t="shared" si="3"/>
        <v>0</v>
      </c>
      <c r="J15" s="347">
        <f t="shared" si="4"/>
        <v>0</v>
      </c>
      <c r="K15" s="348"/>
      <c r="M15" s="324">
        <f>(SUMIFS(msi[[#All],[CHARGE]],msi[[#All],[DATE]],$A15,msi[[#All],[Manual /OutSale]],"OutSale"))-(SUMIFS(MRet[[#All],[CHARGE]],MRet[[#All],[DATE]],$A15,MRet[[#All],[Manual/ OutSale]],"OutSale"))</f>
        <v>0</v>
      </c>
      <c r="N15" s="324">
        <f>(SUMIFS(msi[[#All],[GC/  OTHERS]],msi[[#All],[DATE]],$A15,msi[[#All],[Manual /OutSale]],"OutSale"))-(SUMIFS(MRet[[#All],[GC/  OTHERS]],MRet[[#All],[DATE]],$A15,MRet[[#All],[Manual/ OutSale]],"OutSale"))</f>
        <v>0</v>
      </c>
      <c r="O15" s="349"/>
      <c r="P15" s="349"/>
      <c r="Q15" s="349"/>
      <c r="R15" s="363"/>
      <c r="S15" s="324">
        <f>(SUMIFS(msi[[#All],[Check]],msi[[#All],[DATE]],$A15,msi[[#All],[Manual /OutSale]],"OutSale"))-(SUMIFS(MRet[[#All],[Check]],MRet[[#All],[DATE]],$A15,MRet[[#All],[Manual/ OutSale]],"OutSale"))</f>
        <v>0</v>
      </c>
      <c r="T15" s="324">
        <f>(SUMIFS(msi[[#All],[COD]],msi[[#All],[DATE]],$A15,msi[[#All],[Manual /OutSale]],"OutSale"))-(SUMIFS(MRet[[#All],[COD]],MRet[[#All],[DATE]],$A15,MRet[[#All],[Manual/ OutSale]],"OutSale"))</f>
        <v>0</v>
      </c>
      <c r="U15" s="349">
        <v>0</v>
      </c>
      <c r="V15" s="363"/>
      <c r="W15" s="324">
        <f>(SUMIFS(msi[[#All],[CWT]],msi[[#All],[DATE]],$A15,msi[[#All],[Manual /OutSale]],"OutSale"))-(SUMIFS(MRet[[#All],[CWT]],MRet[[#All],[DATE]],$A15,MRet[[#All],[Manual/ OutSale]],"OutSale"))</f>
        <v>0</v>
      </c>
      <c r="X15" s="324">
        <f>(SUMIFS(msi[[#All],[CASH]],msi[[#All],[DATE]],$A15,msi[[#All],[Manual /OutSale]],"OutSale"))-(SUMIFS(MRet[[#All],[CASH]],MRet[[#All],[DATE]],$A15,MRet[[#All],[Manual/ OutSale]],"OutSale"))</f>
        <v>0</v>
      </c>
      <c r="Y15" s="369">
        <f t="shared" si="2"/>
        <v>0</v>
      </c>
      <c r="Z15" s="369">
        <f t="shared" si="5"/>
        <v>0</v>
      </c>
      <c r="AA15" s="307"/>
    </row>
    <row r="16" spans="1:27">
      <c r="A16" s="323">
        <f t="shared" si="6"/>
        <v>46306</v>
      </c>
      <c r="B16" s="324">
        <f>(SUMIFS(msi[[#All],[SP]],msi[[#All],[DATE]],$A16,msi[[#All],[Manual /OutSale]],"OutSale"))-(SUMIFS(MRet[[#All],[SP]],MRet[[#All],[DATE]],$A16,MRet[[#All],[Manual/ OutSale]],"OutSale"))</f>
        <v>0</v>
      </c>
      <c r="C16" s="324">
        <f>(SUMIFS(msi[[#All],[DISC. AMOUNT]],msi[[#All],[DATE]],$A16,msi[[#All],[Manual /OutSale]],"OutSale"))-(SUMIFS(MRet[[#All],[DISC. AMOUNT]],MRet[[#All],[DATE]],$A16,MRet[[#All],[Manual/ OutSale]],"OutSale"))</f>
        <v>0</v>
      </c>
      <c r="D16" s="325">
        <f t="shared" si="0"/>
        <v>0</v>
      </c>
      <c r="E16" s="324"/>
      <c r="F16" s="325">
        <f t="shared" si="1"/>
        <v>0</v>
      </c>
      <c r="G16" s="324"/>
      <c r="H16" s="326"/>
      <c r="I16" s="347">
        <f t="shared" si="3"/>
        <v>0</v>
      </c>
      <c r="J16" s="347">
        <f t="shared" si="4"/>
        <v>0</v>
      </c>
      <c r="K16" s="348"/>
      <c r="M16" s="324">
        <f>(SUMIFS(msi[[#All],[CHARGE]],msi[[#All],[DATE]],$A16,msi[[#All],[Manual /OutSale]],"OutSale"))-(SUMIFS(MRet[[#All],[CHARGE]],MRet[[#All],[DATE]],$A16,MRet[[#All],[Manual/ OutSale]],"OutSale"))</f>
        <v>0</v>
      </c>
      <c r="N16" s="324">
        <f>(SUMIFS(msi[[#All],[GC/  OTHERS]],msi[[#All],[DATE]],$A16,msi[[#All],[Manual /OutSale]],"OutSale"))-(SUMIFS(MRet[[#All],[GC/  OTHERS]],MRet[[#All],[DATE]],$A16,MRet[[#All],[Manual/ OutSale]],"OutSale"))</f>
        <v>0</v>
      </c>
      <c r="O16" s="349"/>
      <c r="P16" s="349"/>
      <c r="Q16" s="349"/>
      <c r="R16" s="363"/>
      <c r="S16" s="324">
        <f>(SUMIFS(msi[[#All],[Check]],msi[[#All],[DATE]],$A16,msi[[#All],[Manual /OutSale]],"OutSale"))-(SUMIFS(MRet[[#All],[Check]],MRet[[#All],[DATE]],$A16,MRet[[#All],[Manual/ OutSale]],"OutSale"))</f>
        <v>0</v>
      </c>
      <c r="T16" s="324">
        <f>(SUMIFS(msi[[#All],[COD]],msi[[#All],[DATE]],$A16,msi[[#All],[Manual /OutSale]],"OutSale"))-(SUMIFS(MRet[[#All],[COD]],MRet[[#All],[DATE]],$A16,MRet[[#All],[Manual/ OutSale]],"OutSale"))</f>
        <v>0</v>
      </c>
      <c r="U16" s="349">
        <v>0</v>
      </c>
      <c r="V16" s="363"/>
      <c r="W16" s="324">
        <f>(SUMIFS(msi[[#All],[CWT]],msi[[#All],[DATE]],$A16,msi[[#All],[Manual /OutSale]],"OutSale"))-(SUMIFS(MRet[[#All],[CWT]],MRet[[#All],[DATE]],$A16,MRet[[#All],[Manual/ OutSale]],"OutSale"))</f>
        <v>0</v>
      </c>
      <c r="X16" s="324">
        <f>(SUMIFS(msi[[#All],[CASH]],msi[[#All],[DATE]],$A16,msi[[#All],[Manual /OutSale]],"OutSale"))-(SUMIFS(MRet[[#All],[CASH]],MRet[[#All],[DATE]],$A16,MRet[[#All],[Manual/ OutSale]],"OutSale"))</f>
        <v>0</v>
      </c>
      <c r="Y16" s="369">
        <f t="shared" si="2"/>
        <v>0</v>
      </c>
      <c r="Z16" s="369">
        <f t="shared" si="5"/>
        <v>0</v>
      </c>
      <c r="AA16" s="307"/>
    </row>
    <row r="17" spans="1:27">
      <c r="A17" s="323">
        <f t="shared" si="6"/>
        <v>46307</v>
      </c>
      <c r="B17" s="324">
        <f>(SUMIFS(msi[[#All],[SP]],msi[[#All],[DATE]],$A17,msi[[#All],[Manual /OutSale]],"OutSale"))-(SUMIFS(MRet[[#All],[SP]],MRet[[#All],[DATE]],$A17,MRet[[#All],[Manual/ OutSale]],"OutSale"))</f>
        <v>0</v>
      </c>
      <c r="C17" s="324">
        <f>(SUMIFS(msi[[#All],[DISC. AMOUNT]],msi[[#All],[DATE]],$A17,msi[[#All],[Manual /OutSale]],"OutSale"))-(SUMIFS(MRet[[#All],[DISC. AMOUNT]],MRet[[#All],[DATE]],$A17,MRet[[#All],[Manual/ OutSale]],"OutSale"))</f>
        <v>0</v>
      </c>
      <c r="D17" s="325">
        <f t="shared" si="0"/>
        <v>0</v>
      </c>
      <c r="E17" s="324"/>
      <c r="F17" s="325">
        <f t="shared" si="1"/>
        <v>0</v>
      </c>
      <c r="G17" s="324"/>
      <c r="H17" s="326"/>
      <c r="I17" s="347">
        <f t="shared" si="3"/>
        <v>0</v>
      </c>
      <c r="J17" s="347">
        <f t="shared" si="4"/>
        <v>0</v>
      </c>
      <c r="K17" s="348"/>
      <c r="M17" s="324">
        <f>(SUMIFS(msi[[#All],[CHARGE]],msi[[#All],[DATE]],$A17,msi[[#All],[Manual /OutSale]],"OutSale"))-(SUMIFS(MRet[[#All],[CHARGE]],MRet[[#All],[DATE]],$A17,MRet[[#All],[Manual/ OutSale]],"OutSale"))</f>
        <v>0</v>
      </c>
      <c r="N17" s="324">
        <f>(SUMIFS(msi[[#All],[GC/  OTHERS]],msi[[#All],[DATE]],$A17,msi[[#All],[Manual /OutSale]],"OutSale"))-(SUMIFS(MRet[[#All],[GC/  OTHERS]],MRet[[#All],[DATE]],$A17,MRet[[#All],[Manual/ OutSale]],"OutSale"))</f>
        <v>0</v>
      </c>
      <c r="O17" s="349"/>
      <c r="P17" s="349"/>
      <c r="Q17" s="349"/>
      <c r="R17" s="363"/>
      <c r="S17" s="324">
        <f>(SUMIFS(msi[[#All],[Check]],msi[[#All],[DATE]],$A17,msi[[#All],[Manual /OutSale]],"OutSale"))-(SUMIFS(MRet[[#All],[Check]],MRet[[#All],[DATE]],$A17,MRet[[#All],[Manual/ OutSale]],"OutSale"))</f>
        <v>0</v>
      </c>
      <c r="T17" s="324">
        <f>(SUMIFS(msi[[#All],[COD]],msi[[#All],[DATE]],$A17,msi[[#All],[Manual /OutSale]],"OutSale"))-(SUMIFS(MRet[[#All],[COD]],MRet[[#All],[DATE]],$A17,MRet[[#All],[Manual/ OutSale]],"OutSale"))</f>
        <v>0</v>
      </c>
      <c r="U17" s="349">
        <v>0</v>
      </c>
      <c r="V17" s="363"/>
      <c r="W17" s="324">
        <f>(SUMIFS(msi[[#All],[CWT]],msi[[#All],[DATE]],$A17,msi[[#All],[Manual /OutSale]],"OutSale"))-(SUMIFS(MRet[[#All],[CWT]],MRet[[#All],[DATE]],$A17,MRet[[#All],[Manual/ OutSale]],"OutSale"))</f>
        <v>0</v>
      </c>
      <c r="X17" s="324">
        <f>(SUMIFS(msi[[#All],[CASH]],msi[[#All],[DATE]],$A17,msi[[#All],[Manual /OutSale]],"OutSale"))-(SUMIFS(MRet[[#All],[CASH]],MRet[[#All],[DATE]],$A17,MRet[[#All],[Manual/ OutSale]],"OutSale"))</f>
        <v>0</v>
      </c>
      <c r="Y17" s="369">
        <f t="shared" si="2"/>
        <v>0</v>
      </c>
      <c r="Z17" s="369">
        <f t="shared" si="5"/>
        <v>0</v>
      </c>
      <c r="AA17" s="307"/>
    </row>
    <row r="18" spans="1:27">
      <c r="A18" s="323">
        <f t="shared" si="6"/>
        <v>46308</v>
      </c>
      <c r="B18" s="324">
        <f>(SUMIFS(msi[[#All],[SP]],msi[[#All],[DATE]],$A18,msi[[#All],[Manual /OutSale]],"OutSale"))-(SUMIFS(MRet[[#All],[SP]],MRet[[#All],[DATE]],$A18,MRet[[#All],[Manual/ OutSale]],"OutSale"))</f>
        <v>0</v>
      </c>
      <c r="C18" s="324">
        <f>(SUMIFS(msi[[#All],[DISC. AMOUNT]],msi[[#All],[DATE]],$A18,msi[[#All],[Manual /OutSale]],"OutSale"))-(SUMIFS(MRet[[#All],[DISC. AMOUNT]],MRet[[#All],[DATE]],$A18,MRet[[#All],[Manual/ OutSale]],"OutSale"))</f>
        <v>0</v>
      </c>
      <c r="D18" s="325">
        <f t="shared" si="0"/>
        <v>0</v>
      </c>
      <c r="E18" s="324"/>
      <c r="F18" s="325">
        <f t="shared" si="1"/>
        <v>0</v>
      </c>
      <c r="G18" s="324"/>
      <c r="H18" s="326"/>
      <c r="I18" s="347">
        <f t="shared" si="3"/>
        <v>0</v>
      </c>
      <c r="J18" s="347">
        <f t="shared" si="4"/>
        <v>0</v>
      </c>
      <c r="K18" s="348"/>
      <c r="M18" s="324">
        <f>(SUMIFS(msi[[#All],[CHARGE]],msi[[#All],[DATE]],$A18,msi[[#All],[Manual /OutSale]],"OutSale"))-(SUMIFS(MRet[[#All],[CHARGE]],MRet[[#All],[DATE]],$A18,MRet[[#All],[Manual/ OutSale]],"OutSale"))</f>
        <v>0</v>
      </c>
      <c r="N18" s="324">
        <f>(SUMIFS(msi[[#All],[GC/  OTHERS]],msi[[#All],[DATE]],$A18,msi[[#All],[Manual /OutSale]],"OutSale"))-(SUMIFS(MRet[[#All],[GC/  OTHERS]],MRet[[#All],[DATE]],$A18,MRet[[#All],[Manual/ OutSale]],"OutSale"))</f>
        <v>0</v>
      </c>
      <c r="O18" s="349"/>
      <c r="P18" s="349"/>
      <c r="Q18" s="349"/>
      <c r="R18" s="363"/>
      <c r="S18" s="324">
        <f>(SUMIFS(msi[[#All],[Check]],msi[[#All],[DATE]],$A18,msi[[#All],[Manual /OutSale]],"OutSale"))-(SUMIFS(MRet[[#All],[Check]],MRet[[#All],[DATE]],$A18,MRet[[#All],[Manual/ OutSale]],"OutSale"))</f>
        <v>0</v>
      </c>
      <c r="T18" s="324">
        <f>(SUMIFS(msi[[#All],[COD]],msi[[#All],[DATE]],$A18,msi[[#All],[Manual /OutSale]],"OutSale"))-(SUMIFS(MRet[[#All],[COD]],MRet[[#All],[DATE]],$A18,MRet[[#All],[Manual/ OutSale]],"OutSale"))</f>
        <v>0</v>
      </c>
      <c r="U18" s="349">
        <v>0</v>
      </c>
      <c r="V18" s="363"/>
      <c r="W18" s="324">
        <f>(SUMIFS(msi[[#All],[CWT]],msi[[#All],[DATE]],$A18,msi[[#All],[Manual /OutSale]],"OutSale"))-(SUMIFS(MRet[[#All],[CWT]],MRet[[#All],[DATE]],$A18,MRet[[#All],[Manual/ OutSale]],"OutSale"))</f>
        <v>0</v>
      </c>
      <c r="X18" s="324">
        <f>(SUMIFS(msi[[#All],[CASH]],msi[[#All],[DATE]],$A18,msi[[#All],[Manual /OutSale]],"OutSale"))-(SUMIFS(MRet[[#All],[CASH]],MRet[[#All],[DATE]],$A18,MRet[[#All],[Manual/ OutSale]],"OutSale"))</f>
        <v>0</v>
      </c>
      <c r="Y18" s="369">
        <f t="shared" si="2"/>
        <v>0</v>
      </c>
      <c r="Z18" s="369">
        <f t="shared" si="5"/>
        <v>0</v>
      </c>
      <c r="AA18" s="371"/>
    </row>
    <row r="19" spans="1:27">
      <c r="A19" s="323">
        <f t="shared" si="6"/>
        <v>46309</v>
      </c>
      <c r="B19" s="324">
        <f>(SUMIFS(msi[[#All],[SP]],msi[[#All],[DATE]],$A19,msi[[#All],[Manual /OutSale]],"OutSale"))-(SUMIFS(MRet[[#All],[SP]],MRet[[#All],[DATE]],$A19,MRet[[#All],[Manual/ OutSale]],"OutSale"))</f>
        <v>0</v>
      </c>
      <c r="C19" s="324">
        <f>(SUMIFS(msi[[#All],[DISC. AMOUNT]],msi[[#All],[DATE]],$A19,msi[[#All],[Manual /OutSale]],"OutSale"))-(SUMIFS(MRet[[#All],[DISC. AMOUNT]],MRet[[#All],[DATE]],$A19,MRet[[#All],[Manual/ OutSale]],"OutSale"))</f>
        <v>0</v>
      </c>
      <c r="D19" s="325">
        <f t="shared" si="0"/>
        <v>0</v>
      </c>
      <c r="E19" s="324"/>
      <c r="F19" s="325">
        <f t="shared" si="1"/>
        <v>0</v>
      </c>
      <c r="G19" s="324"/>
      <c r="H19" s="326"/>
      <c r="I19" s="347">
        <f t="shared" si="3"/>
        <v>0</v>
      </c>
      <c r="J19" s="347">
        <f t="shared" si="4"/>
        <v>0</v>
      </c>
      <c r="K19" s="348"/>
      <c r="M19" s="324">
        <f>(SUMIFS(msi[[#All],[CHARGE]],msi[[#All],[DATE]],$A19,msi[[#All],[Manual /OutSale]],"OutSale"))-(SUMIFS(MRet[[#All],[CHARGE]],MRet[[#All],[DATE]],$A19,MRet[[#All],[Manual/ OutSale]],"OutSale"))</f>
        <v>0</v>
      </c>
      <c r="N19" s="324">
        <f>(SUMIFS(msi[[#All],[GC/  OTHERS]],msi[[#All],[DATE]],$A19,msi[[#All],[Manual /OutSale]],"OutSale"))-(SUMIFS(MRet[[#All],[GC/  OTHERS]],MRet[[#All],[DATE]],$A19,MRet[[#All],[Manual/ OutSale]],"OutSale"))</f>
        <v>0</v>
      </c>
      <c r="O19" s="349"/>
      <c r="P19" s="349"/>
      <c r="Q19" s="349"/>
      <c r="R19" s="363"/>
      <c r="S19" s="324">
        <f>(SUMIFS(msi[[#All],[Check]],msi[[#All],[DATE]],$A19,msi[[#All],[Manual /OutSale]],"OutSale"))-(SUMIFS(MRet[[#All],[Check]],MRet[[#All],[DATE]],$A19,MRet[[#All],[Manual/ OutSale]],"OutSale"))</f>
        <v>0</v>
      </c>
      <c r="T19" s="324">
        <f>(SUMIFS(msi[[#All],[COD]],msi[[#All],[DATE]],$A19,msi[[#All],[Manual /OutSale]],"OutSale"))-(SUMIFS(MRet[[#All],[COD]],MRet[[#All],[DATE]],$A19,MRet[[#All],[Manual/ OutSale]],"OutSale"))</f>
        <v>0</v>
      </c>
      <c r="U19" s="349">
        <v>0</v>
      </c>
      <c r="V19" s="363"/>
      <c r="W19" s="324">
        <f>(SUMIFS(msi[[#All],[CWT]],msi[[#All],[DATE]],$A19,msi[[#All],[Manual /OutSale]],"OutSale"))-(SUMIFS(MRet[[#All],[CWT]],MRet[[#All],[DATE]],$A19,MRet[[#All],[Manual/ OutSale]],"OutSale"))</f>
        <v>0</v>
      </c>
      <c r="X19" s="324">
        <f>(SUMIFS(msi[[#All],[CASH]],msi[[#All],[DATE]],$A19,msi[[#All],[Manual /OutSale]],"OutSale"))-(SUMIFS(MRet[[#All],[CASH]],MRet[[#All],[DATE]],$A19,MRet[[#All],[Manual/ OutSale]],"OutSale"))</f>
        <v>0</v>
      </c>
      <c r="Y19" s="369">
        <f t="shared" si="2"/>
        <v>0</v>
      </c>
      <c r="Z19" s="369">
        <f t="shared" si="5"/>
        <v>0</v>
      </c>
      <c r="AA19" s="371"/>
    </row>
    <row r="20" spans="1:27">
      <c r="A20" s="323">
        <f t="shared" si="6"/>
        <v>46310</v>
      </c>
      <c r="B20" s="324">
        <f>(SUMIFS(msi[[#All],[SP]],msi[[#All],[DATE]],$A20,msi[[#All],[Manual /OutSale]],"OutSale"))-(SUMIFS(MRet[[#All],[SP]],MRet[[#All],[DATE]],$A20,MRet[[#All],[Manual/ OutSale]],"OutSale"))</f>
        <v>0</v>
      </c>
      <c r="C20" s="324">
        <f>(SUMIFS(msi[[#All],[DISC. AMOUNT]],msi[[#All],[DATE]],$A20,msi[[#All],[Manual /OutSale]],"OutSale"))-(SUMIFS(MRet[[#All],[DISC. AMOUNT]],MRet[[#All],[DATE]],$A20,MRet[[#All],[Manual/ OutSale]],"OutSale"))</f>
        <v>0</v>
      </c>
      <c r="D20" s="325">
        <f t="shared" si="0"/>
        <v>0</v>
      </c>
      <c r="E20" s="324"/>
      <c r="F20" s="325">
        <f t="shared" si="1"/>
        <v>0</v>
      </c>
      <c r="G20" s="324"/>
      <c r="H20" s="326"/>
      <c r="I20" s="347">
        <f t="shared" si="3"/>
        <v>0</v>
      </c>
      <c r="J20" s="347">
        <f t="shared" si="4"/>
        <v>0</v>
      </c>
      <c r="K20" s="348"/>
      <c r="M20" s="324">
        <f>(SUMIFS(msi[[#All],[CHARGE]],msi[[#All],[DATE]],$A20,msi[[#All],[Manual /OutSale]],"OutSale"))-(SUMIFS(MRet[[#All],[CHARGE]],MRet[[#All],[DATE]],$A20,MRet[[#All],[Manual/ OutSale]],"OutSale"))</f>
        <v>0</v>
      </c>
      <c r="N20" s="324">
        <f>(SUMIFS(msi[[#All],[GC/  OTHERS]],msi[[#All],[DATE]],$A20,msi[[#All],[Manual /OutSale]],"OutSale"))-(SUMIFS(MRet[[#All],[GC/  OTHERS]],MRet[[#All],[DATE]],$A20,MRet[[#All],[Manual/ OutSale]],"OutSale"))</f>
        <v>0</v>
      </c>
      <c r="O20" s="349"/>
      <c r="P20" s="349"/>
      <c r="Q20" s="349"/>
      <c r="R20" s="363"/>
      <c r="S20" s="324">
        <f>(SUMIFS(msi[[#All],[Check]],msi[[#All],[DATE]],$A20,msi[[#All],[Manual /OutSale]],"OutSale"))-(SUMIFS(MRet[[#All],[Check]],MRet[[#All],[DATE]],$A20,MRet[[#All],[Manual/ OutSale]],"OutSale"))</f>
        <v>0</v>
      </c>
      <c r="T20" s="324">
        <f>(SUMIFS(msi[[#All],[COD]],msi[[#All],[DATE]],$A20,msi[[#All],[Manual /OutSale]],"OutSale"))-(SUMIFS(MRet[[#All],[COD]],MRet[[#All],[DATE]],$A20,MRet[[#All],[Manual/ OutSale]],"OutSale"))</f>
        <v>0</v>
      </c>
      <c r="U20" s="349">
        <v>0</v>
      </c>
      <c r="V20" s="363"/>
      <c r="W20" s="324">
        <f>(SUMIFS(msi[[#All],[CWT]],msi[[#All],[DATE]],$A20,msi[[#All],[Manual /OutSale]],"OutSale"))-(SUMIFS(MRet[[#All],[CWT]],MRet[[#All],[DATE]],$A20,MRet[[#All],[Manual/ OutSale]],"OutSale"))</f>
        <v>0</v>
      </c>
      <c r="X20" s="324">
        <f>(SUMIFS(msi[[#All],[CASH]],msi[[#All],[DATE]],$A20,msi[[#All],[Manual /OutSale]],"OutSale"))-(SUMIFS(MRet[[#All],[CASH]],MRet[[#All],[DATE]],$A20,MRet[[#All],[Manual/ OutSale]],"OutSale"))</f>
        <v>0</v>
      </c>
      <c r="Y20" s="369">
        <f t="shared" si="2"/>
        <v>0</v>
      </c>
      <c r="Z20" s="369">
        <f t="shared" si="5"/>
        <v>0</v>
      </c>
      <c r="AA20" s="371"/>
    </row>
    <row r="21" spans="1:27">
      <c r="A21" s="327"/>
      <c r="B21" s="328">
        <f>SUM(B6:B20)</f>
        <v>0</v>
      </c>
      <c r="C21" s="328">
        <f t="shared" ref="C21:K21" si="7">SUM(C6:C20)</f>
        <v>0</v>
      </c>
      <c r="D21" s="328">
        <f t="shared" si="7"/>
        <v>0</v>
      </c>
      <c r="E21" s="328">
        <f t="shared" si="7"/>
        <v>0</v>
      </c>
      <c r="F21" s="328">
        <f t="shared" si="7"/>
        <v>0</v>
      </c>
      <c r="G21" s="328">
        <f t="shared" si="7"/>
        <v>0</v>
      </c>
      <c r="H21" s="329">
        <f t="shared" si="7"/>
        <v>0</v>
      </c>
      <c r="I21" s="328">
        <f t="shared" si="7"/>
        <v>0</v>
      </c>
      <c r="J21" s="328">
        <f t="shared" si="7"/>
        <v>0</v>
      </c>
      <c r="K21" s="350">
        <f t="shared" si="7"/>
        <v>0</v>
      </c>
      <c r="M21" s="351">
        <f t="shared" ref="M21:Z21" si="8">SUM(M6:M20)</f>
        <v>0</v>
      </c>
      <c r="N21" s="351">
        <f t="shared" si="8"/>
        <v>0</v>
      </c>
      <c r="O21" s="351">
        <f t="shared" si="8"/>
        <v>0</v>
      </c>
      <c r="P21" s="351">
        <f t="shared" si="8"/>
        <v>0</v>
      </c>
      <c r="Q21" s="351">
        <f t="shared" si="8"/>
        <v>0</v>
      </c>
      <c r="R21" s="351">
        <f t="shared" si="8"/>
        <v>0</v>
      </c>
      <c r="S21" s="351">
        <f t="shared" si="8"/>
        <v>0</v>
      </c>
      <c r="T21" s="351">
        <f t="shared" si="8"/>
        <v>0</v>
      </c>
      <c r="U21" s="351">
        <f t="shared" si="8"/>
        <v>0</v>
      </c>
      <c r="V21" s="351">
        <f t="shared" si="8"/>
        <v>0</v>
      </c>
      <c r="W21" s="351">
        <f t="shared" si="8"/>
        <v>0</v>
      </c>
      <c r="X21" s="364">
        <f t="shared" si="8"/>
        <v>0</v>
      </c>
      <c r="Y21" s="364">
        <f t="shared" si="8"/>
        <v>0</v>
      </c>
      <c r="Z21" s="364">
        <f t="shared" si="8"/>
        <v>0</v>
      </c>
      <c r="AA21" s="371"/>
    </row>
    <row r="22" spans="1:27">
      <c r="A22" s="330"/>
      <c r="B22" s="324"/>
      <c r="C22" s="324"/>
      <c r="D22" s="331"/>
      <c r="E22" s="324"/>
      <c r="F22" s="331"/>
      <c r="G22" s="324"/>
      <c r="H22" s="326"/>
      <c r="I22" s="352"/>
      <c r="J22" s="352"/>
      <c r="K22" s="353"/>
      <c r="M22" s="354"/>
      <c r="N22" s="354"/>
      <c r="O22" s="354"/>
      <c r="P22" s="354"/>
      <c r="Q22" s="354"/>
      <c r="R22" s="354"/>
      <c r="S22" s="354"/>
      <c r="T22" s="354"/>
      <c r="U22" s="354"/>
      <c r="V22" s="354"/>
      <c r="W22" s="354"/>
      <c r="X22" s="354"/>
      <c r="Y22" s="371"/>
      <c r="Z22" s="371"/>
      <c r="AA22" s="371"/>
    </row>
    <row r="23" spans="1:27">
      <c r="A23" s="323">
        <f>A20+1</f>
        <v>46311</v>
      </c>
      <c r="B23" s="324">
        <f>(SUMIFS(msi[[#All],[SP]],msi[[#All],[DATE]],$A23,msi[[#All],[Manual /OutSale]],"OutSale"))-(SUMIFS(MRet[[#All],[SP]],MRet[[#All],[DATE]],$A23,MRet[[#All],[Manual/ OutSale]],"OutSale"))</f>
        <v>0</v>
      </c>
      <c r="C23" s="324">
        <f>(SUMIFS(msi[[#All],[DISC. AMOUNT]],msi[[#All],[DATE]],$A23,msi[[#All],[Manual /OutSale]],"OutSale"))-(SUMIFS(MRet[[#All],[DISC. AMOUNT]],MRet[[#All],[DATE]],$A23,MRet[[#All],[Manual/ OutSale]],"OutSale"))</f>
        <v>0</v>
      </c>
      <c r="D23" s="325">
        <f t="shared" ref="D23:D38" si="9">+B23-C23</f>
        <v>0</v>
      </c>
      <c r="E23" s="324"/>
      <c r="F23" s="325">
        <f t="shared" ref="F23:F38" si="10">+C23-E23</f>
        <v>0</v>
      </c>
      <c r="G23" s="324"/>
      <c r="H23" s="326"/>
      <c r="I23" s="347">
        <f t="shared" ref="I23:I38" si="11">SUMIF(Z23,"&lt;.01")</f>
        <v>0</v>
      </c>
      <c r="J23" s="347">
        <f t="shared" ref="J23:J38" si="12">SUMIF(Z23,"&gt;.01")</f>
        <v>0</v>
      </c>
      <c r="K23" s="348"/>
      <c r="M23" s="324">
        <f>(SUMIFS(msi[[#All],[CHARGE]],msi[[#All],[DATE]],$A23,msi[[#All],[Manual /OutSale]],"OutSale"))-(SUMIFS(MRet[[#All],[CHARGE]],MRet[[#All],[DATE]],$A23,MRet[[#All],[Manual/ OutSale]],"OutSale"))</f>
        <v>0</v>
      </c>
      <c r="N23" s="324">
        <f>(SUMIFS(msi[[#All],[GC/  OTHERS]],msi[[#All],[DATE]],$A23,msi[[#All],[Manual /OutSale]],"OutSale"))-(SUMIFS(MRet[[#All],[GC/  OTHERS]],MRet[[#All],[DATE]],$A23,MRet[[#All],[Manual/ OutSale]],"OutSale"))</f>
        <v>0</v>
      </c>
      <c r="O23" s="349"/>
      <c r="P23" s="349"/>
      <c r="Q23" s="349"/>
      <c r="R23" s="363"/>
      <c r="S23" s="324">
        <f>(SUMIFS(msi[[#All],[Check]],msi[[#All],[DATE]],$A23,msi[[#All],[Manual /OutSale]],"OutSale"))-(SUMIFS(MRet[[#All],[Check]],MRet[[#All],[DATE]],$A23,MRet[[#All],[Manual/ OutSale]],"OutSale"))</f>
        <v>0</v>
      </c>
      <c r="T23" s="324">
        <f>(SUMIFS(msi[[#All],[COD]],msi[[#All],[DATE]],$A23,msi[[#All],[Manual /OutSale]],"OutSale"))-(SUMIFS(MRet[[#All],[COD]],MRet[[#All],[DATE]],$A23,MRet[[#All],[Manual/ OutSale]],"OutSale"))</f>
        <v>0</v>
      </c>
      <c r="U23" s="349">
        <v>0</v>
      </c>
      <c r="V23" s="363"/>
      <c r="W23" s="324">
        <f>(SUMIFS(msi[[#All],[CWT]],msi[[#All],[DATE]],$A23,msi[[#All],[Manual /OutSale]],"OutSale"))-(SUMIFS(MRet[[#All],[CWT]],MRet[[#All],[DATE]],$A23,MRet[[#All],[Manual/ OutSale]],"OutSale"))</f>
        <v>0</v>
      </c>
      <c r="X23" s="324">
        <f>(SUMIFS(msi[[#All],[CASH]],msi[[#All],[DATE]],$A23,msi[[#All],[Manual /OutSale]],"OutSale"))-(SUMIFS(MRet[[#All],[CASH]],MRet[[#All],[DATE]],$A23,MRet[[#All],[Manual/ OutSale]],"OutSale"))</f>
        <v>0</v>
      </c>
      <c r="Y23" s="369">
        <f t="shared" ref="Y23:Y38" si="13">D23-M23-N23+O23+Q23+R23-S23-T23-U23-V23-W23</f>
        <v>0</v>
      </c>
      <c r="Z23" s="369">
        <f t="shared" ref="Z23:Z38" si="14">X23-Y23</f>
        <v>0</v>
      </c>
      <c r="AA23" s="371"/>
    </row>
    <row r="24" spans="1:27">
      <c r="A24" s="323">
        <f>A23+1</f>
        <v>46312</v>
      </c>
      <c r="B24" s="324">
        <f>(SUMIFS(msi[[#All],[SP]],msi[[#All],[DATE]],$A24,msi[[#All],[Manual /OutSale]],"OutSale"))-(SUMIFS(MRet[[#All],[SP]],MRet[[#All],[DATE]],$A24,MRet[[#All],[Manual/ OutSale]],"OutSale"))</f>
        <v>0</v>
      </c>
      <c r="C24" s="324">
        <f>(SUMIFS(msi[[#All],[DISC. AMOUNT]],msi[[#All],[DATE]],$A24,msi[[#All],[Manual /OutSale]],"OutSale"))-(SUMIFS(MRet[[#All],[DISC. AMOUNT]],MRet[[#All],[DATE]],$A24,MRet[[#All],[Manual/ OutSale]],"OutSale"))</f>
        <v>0</v>
      </c>
      <c r="D24" s="325">
        <f t="shared" si="9"/>
        <v>0</v>
      </c>
      <c r="E24" s="324"/>
      <c r="F24" s="325">
        <f t="shared" si="10"/>
        <v>0</v>
      </c>
      <c r="G24" s="324"/>
      <c r="H24" s="326"/>
      <c r="I24" s="347">
        <f t="shared" si="11"/>
        <v>0</v>
      </c>
      <c r="J24" s="347">
        <f t="shared" si="12"/>
        <v>0</v>
      </c>
      <c r="K24" s="348"/>
      <c r="M24" s="324">
        <f>(SUMIFS(msi[[#All],[CHARGE]],msi[[#All],[DATE]],$A24,msi[[#All],[Manual /OutSale]],"OutSale"))-(SUMIFS(MRet[[#All],[CHARGE]],MRet[[#All],[DATE]],$A24,MRet[[#All],[Manual/ OutSale]],"OutSale"))</f>
        <v>0</v>
      </c>
      <c r="N24" s="324">
        <f>(SUMIFS(msi[[#All],[GC/  OTHERS]],msi[[#All],[DATE]],$A24,msi[[#All],[Manual /OutSale]],"OutSale"))-(SUMIFS(MRet[[#All],[GC/  OTHERS]],MRet[[#All],[DATE]],$A24,MRet[[#All],[Manual/ OutSale]],"OutSale"))</f>
        <v>0</v>
      </c>
      <c r="O24" s="349"/>
      <c r="P24" s="349"/>
      <c r="Q24" s="349"/>
      <c r="R24" s="363"/>
      <c r="S24" s="324">
        <f>(SUMIFS(msi[[#All],[Check]],msi[[#All],[DATE]],$A24,msi[[#All],[Manual /OutSale]],"OutSale"))-(SUMIFS(MRet[[#All],[Check]],MRet[[#All],[DATE]],$A24,MRet[[#All],[Manual/ OutSale]],"OutSale"))</f>
        <v>0</v>
      </c>
      <c r="T24" s="324">
        <f>(SUMIFS(msi[[#All],[COD]],msi[[#All],[DATE]],$A24,msi[[#All],[Manual /OutSale]],"OutSale"))-(SUMIFS(MRet[[#All],[COD]],MRet[[#All],[DATE]],$A24,MRet[[#All],[Manual/ OutSale]],"OutSale"))</f>
        <v>0</v>
      </c>
      <c r="U24" s="349">
        <v>0</v>
      </c>
      <c r="V24" s="363"/>
      <c r="W24" s="324">
        <f>(SUMIFS(msi[[#All],[CWT]],msi[[#All],[DATE]],$A24,msi[[#All],[Manual /OutSale]],"OutSale"))-(SUMIFS(MRet[[#All],[CWT]],MRet[[#All],[DATE]],$A24,MRet[[#All],[Manual/ OutSale]],"OutSale"))</f>
        <v>0</v>
      </c>
      <c r="X24" s="324">
        <f>(SUMIFS(msi[[#All],[CASH]],msi[[#All],[DATE]],$A24,msi[[#All],[Manual /OutSale]],"OutSale"))-(SUMIFS(MRet[[#All],[CASH]],MRet[[#All],[DATE]],$A24,MRet[[#All],[Manual/ OutSale]],"OutSale"))</f>
        <v>0</v>
      </c>
      <c r="Y24" s="369">
        <f t="shared" si="13"/>
        <v>0</v>
      </c>
      <c r="Z24" s="369">
        <f t="shared" si="14"/>
        <v>0</v>
      </c>
      <c r="AA24" s="371"/>
    </row>
    <row r="25" spans="1:27">
      <c r="A25" s="323">
        <f t="shared" ref="A25:A38" si="15">A24+1</f>
        <v>46313</v>
      </c>
      <c r="B25" s="324">
        <f>(SUMIFS(msi[[#All],[SP]],msi[[#All],[DATE]],$A25,msi[[#All],[Manual /OutSale]],"OutSale"))-(SUMIFS(MRet[[#All],[SP]],MRet[[#All],[DATE]],$A25,MRet[[#All],[Manual/ OutSale]],"OutSale"))</f>
        <v>0</v>
      </c>
      <c r="C25" s="324">
        <f>(SUMIFS(msi[[#All],[DISC. AMOUNT]],msi[[#All],[DATE]],$A25,msi[[#All],[Manual /OutSale]],"OutSale"))-(SUMIFS(MRet[[#All],[DISC. AMOUNT]],MRet[[#All],[DATE]],$A25,MRet[[#All],[Manual/ OutSale]],"OutSale"))</f>
        <v>0</v>
      </c>
      <c r="D25" s="325">
        <f t="shared" si="9"/>
        <v>0</v>
      </c>
      <c r="E25" s="324"/>
      <c r="F25" s="325">
        <f t="shared" si="10"/>
        <v>0</v>
      </c>
      <c r="G25" s="324"/>
      <c r="H25" s="326"/>
      <c r="I25" s="347">
        <f t="shared" si="11"/>
        <v>0</v>
      </c>
      <c r="J25" s="347">
        <f t="shared" si="12"/>
        <v>0</v>
      </c>
      <c r="K25" s="348"/>
      <c r="M25" s="324">
        <f>(SUMIFS(msi[[#All],[CHARGE]],msi[[#All],[DATE]],$A25,msi[[#All],[Manual /OutSale]],"OutSale"))-(SUMIFS(MRet[[#All],[CHARGE]],MRet[[#All],[DATE]],$A25,MRet[[#All],[Manual/ OutSale]],"OutSale"))</f>
        <v>0</v>
      </c>
      <c r="N25" s="324">
        <f>(SUMIFS(msi[[#All],[GC/  OTHERS]],msi[[#All],[DATE]],$A25,msi[[#All],[Manual /OutSale]],"OutSale"))-(SUMIFS(MRet[[#All],[GC/  OTHERS]],MRet[[#All],[DATE]],$A25,MRet[[#All],[Manual/ OutSale]],"OutSale"))</f>
        <v>0</v>
      </c>
      <c r="O25" s="349"/>
      <c r="P25" s="349"/>
      <c r="Q25" s="349"/>
      <c r="R25" s="363"/>
      <c r="S25" s="324">
        <f>(SUMIFS(msi[[#All],[Check]],msi[[#All],[DATE]],$A25,msi[[#All],[Manual /OutSale]],"OutSale"))-(SUMIFS(MRet[[#All],[Check]],MRet[[#All],[DATE]],$A25,MRet[[#All],[Manual/ OutSale]],"OutSale"))</f>
        <v>0</v>
      </c>
      <c r="T25" s="324">
        <f>(SUMIFS(msi[[#All],[COD]],msi[[#All],[DATE]],$A25,msi[[#All],[Manual /OutSale]],"OutSale"))-(SUMIFS(MRet[[#All],[COD]],MRet[[#All],[DATE]],$A25,MRet[[#All],[Manual/ OutSale]],"OutSale"))</f>
        <v>0</v>
      </c>
      <c r="U25" s="349">
        <v>0</v>
      </c>
      <c r="V25" s="363"/>
      <c r="W25" s="324">
        <f>(SUMIFS(msi[[#All],[CWT]],msi[[#All],[DATE]],$A25,msi[[#All],[Manual /OutSale]],"OutSale"))-(SUMIFS(MRet[[#All],[CWT]],MRet[[#All],[DATE]],$A25,MRet[[#All],[Manual/ OutSale]],"OutSale"))</f>
        <v>0</v>
      </c>
      <c r="X25" s="324">
        <f>(SUMIFS(msi[[#All],[CASH]],msi[[#All],[DATE]],$A25,msi[[#All],[Manual /OutSale]],"OutSale"))-(SUMIFS(MRet[[#All],[CASH]],MRet[[#All],[DATE]],$A25,MRet[[#All],[Manual/ OutSale]],"OutSale"))</f>
        <v>0</v>
      </c>
      <c r="Y25" s="369">
        <f t="shared" si="13"/>
        <v>0</v>
      </c>
      <c r="Z25" s="369">
        <f t="shared" si="14"/>
        <v>0</v>
      </c>
      <c r="AA25" s="371"/>
    </row>
    <row r="26" spans="1:27">
      <c r="A26" s="323">
        <f t="shared" si="15"/>
        <v>46314</v>
      </c>
      <c r="B26" s="324">
        <f>(SUMIFS(msi[[#All],[SP]],msi[[#All],[DATE]],$A26,msi[[#All],[Manual /OutSale]],"OutSale"))-(SUMIFS(MRet[[#All],[SP]],MRet[[#All],[DATE]],$A26,MRet[[#All],[Manual/ OutSale]],"OutSale"))</f>
        <v>0</v>
      </c>
      <c r="C26" s="324">
        <f>(SUMIFS(msi[[#All],[DISC. AMOUNT]],msi[[#All],[DATE]],$A26,msi[[#All],[Manual /OutSale]],"OutSale"))-(SUMIFS(MRet[[#All],[DISC. AMOUNT]],MRet[[#All],[DATE]],$A26,MRet[[#All],[Manual/ OutSale]],"OutSale"))</f>
        <v>0</v>
      </c>
      <c r="D26" s="325">
        <f t="shared" si="9"/>
        <v>0</v>
      </c>
      <c r="E26" s="324"/>
      <c r="F26" s="325">
        <f t="shared" si="10"/>
        <v>0</v>
      </c>
      <c r="G26" s="324"/>
      <c r="H26" s="326"/>
      <c r="I26" s="347">
        <f t="shared" si="11"/>
        <v>0</v>
      </c>
      <c r="J26" s="347">
        <f t="shared" si="12"/>
        <v>0</v>
      </c>
      <c r="K26" s="348"/>
      <c r="M26" s="324">
        <f>(SUMIFS(msi[[#All],[CHARGE]],msi[[#All],[DATE]],$A26,msi[[#All],[Manual /OutSale]],"OutSale"))-(SUMIFS(MRet[[#All],[CHARGE]],MRet[[#All],[DATE]],$A26,MRet[[#All],[Manual/ OutSale]],"OutSale"))</f>
        <v>0</v>
      </c>
      <c r="N26" s="324">
        <f>(SUMIFS(msi[[#All],[GC/  OTHERS]],msi[[#All],[DATE]],$A26,msi[[#All],[Manual /OutSale]],"OutSale"))-(SUMIFS(MRet[[#All],[GC/  OTHERS]],MRet[[#All],[DATE]],$A26,MRet[[#All],[Manual/ OutSale]],"OutSale"))</f>
        <v>0</v>
      </c>
      <c r="O26" s="349"/>
      <c r="P26" s="349"/>
      <c r="Q26" s="349"/>
      <c r="R26" s="363"/>
      <c r="S26" s="324">
        <f>(SUMIFS(msi[[#All],[Check]],msi[[#All],[DATE]],$A26,msi[[#All],[Manual /OutSale]],"OutSale"))-(SUMIFS(MRet[[#All],[Check]],MRet[[#All],[DATE]],$A26,MRet[[#All],[Manual/ OutSale]],"OutSale"))</f>
        <v>0</v>
      </c>
      <c r="T26" s="324">
        <f>(SUMIFS(msi[[#All],[COD]],msi[[#All],[DATE]],$A26,msi[[#All],[Manual /OutSale]],"OutSale"))-(SUMIFS(MRet[[#All],[COD]],MRet[[#All],[DATE]],$A26,MRet[[#All],[Manual/ OutSale]],"OutSale"))</f>
        <v>0</v>
      </c>
      <c r="U26" s="349">
        <v>0</v>
      </c>
      <c r="V26" s="363"/>
      <c r="W26" s="324">
        <f>(SUMIFS(msi[[#All],[CWT]],msi[[#All],[DATE]],$A26,msi[[#All],[Manual /OutSale]],"OutSale"))-(SUMIFS(MRet[[#All],[CWT]],MRet[[#All],[DATE]],$A26,MRet[[#All],[Manual/ OutSale]],"OutSale"))</f>
        <v>0</v>
      </c>
      <c r="X26" s="324">
        <f>(SUMIFS(msi[[#All],[CASH]],msi[[#All],[DATE]],$A26,msi[[#All],[Manual /OutSale]],"OutSale"))-(SUMIFS(MRet[[#All],[CASH]],MRet[[#All],[DATE]],$A26,MRet[[#All],[Manual/ OutSale]],"OutSale"))</f>
        <v>0</v>
      </c>
      <c r="Y26" s="369">
        <f t="shared" si="13"/>
        <v>0</v>
      </c>
      <c r="Z26" s="369">
        <f t="shared" si="14"/>
        <v>0</v>
      </c>
      <c r="AA26" s="371"/>
    </row>
    <row r="27" spans="1:27">
      <c r="A27" s="323">
        <f t="shared" si="15"/>
        <v>46315</v>
      </c>
      <c r="B27" s="324">
        <f>(SUMIFS(msi[[#All],[SP]],msi[[#All],[DATE]],$A27,msi[[#All],[Manual /OutSale]],"OutSale"))-(SUMIFS(MRet[[#All],[SP]],MRet[[#All],[DATE]],$A27,MRet[[#All],[Manual/ OutSale]],"OutSale"))</f>
        <v>0</v>
      </c>
      <c r="C27" s="324">
        <f>(SUMIFS(msi[[#All],[DISC. AMOUNT]],msi[[#All],[DATE]],$A27,msi[[#All],[Manual /OutSale]],"OutSale"))-(SUMIFS(MRet[[#All],[DISC. AMOUNT]],MRet[[#All],[DATE]],$A27,MRet[[#All],[Manual/ OutSale]],"OutSale"))</f>
        <v>0</v>
      </c>
      <c r="D27" s="325">
        <f t="shared" si="9"/>
        <v>0</v>
      </c>
      <c r="E27" s="324"/>
      <c r="F27" s="325">
        <f t="shared" si="10"/>
        <v>0</v>
      </c>
      <c r="G27" s="324"/>
      <c r="H27" s="326"/>
      <c r="I27" s="347">
        <f t="shared" si="11"/>
        <v>0</v>
      </c>
      <c r="J27" s="347">
        <f t="shared" si="12"/>
        <v>0</v>
      </c>
      <c r="K27" s="348"/>
      <c r="M27" s="324">
        <f>(SUMIFS(msi[[#All],[CHARGE]],msi[[#All],[DATE]],$A27,msi[[#All],[Manual /OutSale]],"OutSale"))-(SUMIFS(MRet[[#All],[CHARGE]],MRet[[#All],[DATE]],$A27,MRet[[#All],[Manual/ OutSale]],"OutSale"))</f>
        <v>0</v>
      </c>
      <c r="N27" s="324">
        <f>(SUMIFS(msi[[#All],[GC/  OTHERS]],msi[[#All],[DATE]],$A27,msi[[#All],[Manual /OutSale]],"OutSale"))-(SUMIFS(MRet[[#All],[GC/  OTHERS]],MRet[[#All],[DATE]],$A27,MRet[[#All],[Manual/ OutSale]],"OutSale"))</f>
        <v>0</v>
      </c>
      <c r="O27" s="349"/>
      <c r="P27" s="349"/>
      <c r="Q27" s="349"/>
      <c r="R27" s="363"/>
      <c r="S27" s="324">
        <f>(SUMIFS(msi[[#All],[Check]],msi[[#All],[DATE]],$A27,msi[[#All],[Manual /OutSale]],"OutSale"))-(SUMIFS(MRet[[#All],[Check]],MRet[[#All],[DATE]],$A27,MRet[[#All],[Manual/ OutSale]],"OutSale"))</f>
        <v>0</v>
      </c>
      <c r="T27" s="324">
        <f>(SUMIFS(msi[[#All],[COD]],msi[[#All],[DATE]],$A27,msi[[#All],[Manual /OutSale]],"OutSale"))-(SUMIFS(MRet[[#All],[COD]],MRet[[#All],[DATE]],$A27,MRet[[#All],[Manual/ OutSale]],"OutSale"))</f>
        <v>0</v>
      </c>
      <c r="U27" s="349">
        <v>0</v>
      </c>
      <c r="V27" s="363"/>
      <c r="W27" s="324">
        <f>(SUMIFS(msi[[#All],[CWT]],msi[[#All],[DATE]],$A27,msi[[#All],[Manual /OutSale]],"OutSale"))-(SUMIFS(MRet[[#All],[CWT]],MRet[[#All],[DATE]],$A27,MRet[[#All],[Manual/ OutSale]],"OutSale"))</f>
        <v>0</v>
      </c>
      <c r="X27" s="324">
        <f>(SUMIFS(msi[[#All],[CASH]],msi[[#All],[DATE]],$A27,msi[[#All],[Manual /OutSale]],"OutSale"))-(SUMIFS(MRet[[#All],[CASH]],MRet[[#All],[DATE]],$A27,MRet[[#All],[Manual/ OutSale]],"OutSale"))</f>
        <v>0</v>
      </c>
      <c r="Y27" s="369">
        <f t="shared" si="13"/>
        <v>0</v>
      </c>
      <c r="Z27" s="369">
        <f t="shared" si="14"/>
        <v>0</v>
      </c>
      <c r="AA27" s="371"/>
    </row>
    <row r="28" spans="1:27">
      <c r="A28" s="323">
        <f t="shared" si="15"/>
        <v>46316</v>
      </c>
      <c r="B28" s="324">
        <f>(SUMIFS(msi[[#All],[SP]],msi[[#All],[DATE]],$A28,msi[[#All],[Manual /OutSale]],"OutSale"))-(SUMIFS(MRet[[#All],[SP]],MRet[[#All],[DATE]],$A28,MRet[[#All],[Manual/ OutSale]],"OutSale"))</f>
        <v>0</v>
      </c>
      <c r="C28" s="324">
        <f>(SUMIFS(msi[[#All],[DISC. AMOUNT]],msi[[#All],[DATE]],$A28,msi[[#All],[Manual /OutSale]],"OutSale"))-(SUMIFS(MRet[[#All],[DISC. AMOUNT]],MRet[[#All],[DATE]],$A28,MRet[[#All],[Manual/ OutSale]],"OutSale"))</f>
        <v>0</v>
      </c>
      <c r="D28" s="325">
        <f t="shared" si="9"/>
        <v>0</v>
      </c>
      <c r="E28" s="324"/>
      <c r="F28" s="325">
        <f t="shared" si="10"/>
        <v>0</v>
      </c>
      <c r="G28" s="324"/>
      <c r="H28" s="326"/>
      <c r="I28" s="347">
        <f t="shared" si="11"/>
        <v>0</v>
      </c>
      <c r="J28" s="347">
        <f t="shared" si="12"/>
        <v>0</v>
      </c>
      <c r="K28" s="348"/>
      <c r="M28" s="324">
        <f>(SUMIFS(msi[[#All],[CHARGE]],msi[[#All],[DATE]],$A28,msi[[#All],[Manual /OutSale]],"OutSale"))-(SUMIFS(MRet[[#All],[CHARGE]],MRet[[#All],[DATE]],$A28,MRet[[#All],[Manual/ OutSale]],"OutSale"))</f>
        <v>0</v>
      </c>
      <c r="N28" s="324">
        <f>(SUMIFS(msi[[#All],[GC/  OTHERS]],msi[[#All],[DATE]],$A28,msi[[#All],[Manual /OutSale]],"OutSale"))-(SUMIFS(MRet[[#All],[GC/  OTHERS]],MRet[[#All],[DATE]],$A28,MRet[[#All],[Manual/ OutSale]],"OutSale"))</f>
        <v>0</v>
      </c>
      <c r="O28" s="349"/>
      <c r="P28" s="349"/>
      <c r="Q28" s="349"/>
      <c r="R28" s="363"/>
      <c r="S28" s="324">
        <f>(SUMIFS(msi[[#All],[Check]],msi[[#All],[DATE]],$A28,msi[[#All],[Manual /OutSale]],"OutSale"))-(SUMIFS(MRet[[#All],[Check]],MRet[[#All],[DATE]],$A28,MRet[[#All],[Manual/ OutSale]],"OutSale"))</f>
        <v>0</v>
      </c>
      <c r="T28" s="324">
        <f>(SUMIFS(msi[[#All],[COD]],msi[[#All],[DATE]],$A28,msi[[#All],[Manual /OutSale]],"OutSale"))-(SUMIFS(MRet[[#All],[COD]],MRet[[#All],[DATE]],$A28,MRet[[#All],[Manual/ OutSale]],"OutSale"))</f>
        <v>0</v>
      </c>
      <c r="U28" s="349">
        <v>0</v>
      </c>
      <c r="V28" s="363"/>
      <c r="W28" s="324">
        <f>(SUMIFS(msi[[#All],[CWT]],msi[[#All],[DATE]],$A28,msi[[#All],[Manual /OutSale]],"OutSale"))-(SUMIFS(MRet[[#All],[CWT]],MRet[[#All],[DATE]],$A28,MRet[[#All],[Manual/ OutSale]],"OutSale"))</f>
        <v>0</v>
      </c>
      <c r="X28" s="324">
        <f>(SUMIFS(msi[[#All],[CASH]],msi[[#All],[DATE]],$A28,msi[[#All],[Manual /OutSale]],"OutSale"))-(SUMIFS(MRet[[#All],[CASH]],MRet[[#All],[DATE]],$A28,MRet[[#All],[Manual/ OutSale]],"OutSale"))</f>
        <v>0</v>
      </c>
      <c r="Y28" s="369">
        <f t="shared" si="13"/>
        <v>0</v>
      </c>
      <c r="Z28" s="369">
        <f t="shared" si="14"/>
        <v>0</v>
      </c>
      <c r="AA28" s="371"/>
    </row>
    <row r="29" spans="1:27">
      <c r="A29" s="323">
        <f t="shared" si="15"/>
        <v>46317</v>
      </c>
      <c r="B29" s="324">
        <f>(SUMIFS(msi[[#All],[SP]],msi[[#All],[DATE]],$A29,msi[[#All],[Manual /OutSale]],"OutSale"))-(SUMIFS(MRet[[#All],[SP]],MRet[[#All],[DATE]],$A29,MRet[[#All],[Manual/ OutSale]],"OutSale"))</f>
        <v>0</v>
      </c>
      <c r="C29" s="324">
        <f>(SUMIFS(msi[[#All],[DISC. AMOUNT]],msi[[#All],[DATE]],$A29,msi[[#All],[Manual /OutSale]],"OutSale"))-(SUMIFS(MRet[[#All],[DISC. AMOUNT]],MRet[[#All],[DATE]],$A29,MRet[[#All],[Manual/ OutSale]],"OutSale"))</f>
        <v>0</v>
      </c>
      <c r="D29" s="325">
        <f t="shared" si="9"/>
        <v>0</v>
      </c>
      <c r="E29" s="324"/>
      <c r="F29" s="325">
        <f t="shared" si="10"/>
        <v>0</v>
      </c>
      <c r="G29" s="324"/>
      <c r="H29" s="326"/>
      <c r="I29" s="347">
        <f t="shared" si="11"/>
        <v>0</v>
      </c>
      <c r="J29" s="347">
        <f t="shared" si="12"/>
        <v>0</v>
      </c>
      <c r="K29" s="348"/>
      <c r="M29" s="324">
        <f>(SUMIFS(msi[[#All],[CHARGE]],msi[[#All],[DATE]],$A29,msi[[#All],[Manual /OutSale]],"OutSale"))-(SUMIFS(MRet[[#All],[CHARGE]],MRet[[#All],[DATE]],$A29,MRet[[#All],[Manual/ OutSale]],"OutSale"))</f>
        <v>0</v>
      </c>
      <c r="N29" s="324">
        <f>(SUMIFS(msi[[#All],[GC/  OTHERS]],msi[[#All],[DATE]],$A29,msi[[#All],[Manual /OutSale]],"OutSale"))-(SUMIFS(MRet[[#All],[GC/  OTHERS]],MRet[[#All],[DATE]],$A29,MRet[[#All],[Manual/ OutSale]],"OutSale"))</f>
        <v>0</v>
      </c>
      <c r="O29" s="349"/>
      <c r="P29" s="349"/>
      <c r="Q29" s="349"/>
      <c r="R29" s="363"/>
      <c r="S29" s="324">
        <f>(SUMIFS(msi[[#All],[Check]],msi[[#All],[DATE]],$A29,msi[[#All],[Manual /OutSale]],"OutSale"))-(SUMIFS(MRet[[#All],[Check]],MRet[[#All],[DATE]],$A29,MRet[[#All],[Manual/ OutSale]],"OutSale"))</f>
        <v>0</v>
      </c>
      <c r="T29" s="324">
        <f>(SUMIFS(msi[[#All],[COD]],msi[[#All],[DATE]],$A29,msi[[#All],[Manual /OutSale]],"OutSale"))-(SUMIFS(MRet[[#All],[COD]],MRet[[#All],[DATE]],$A29,MRet[[#All],[Manual/ OutSale]],"OutSale"))</f>
        <v>0</v>
      </c>
      <c r="U29" s="349">
        <v>0</v>
      </c>
      <c r="V29" s="363"/>
      <c r="W29" s="324">
        <f>(SUMIFS(msi[[#All],[CWT]],msi[[#All],[DATE]],$A29,msi[[#All],[Manual /OutSale]],"OutSale"))-(SUMIFS(MRet[[#All],[CWT]],MRet[[#All],[DATE]],$A29,MRet[[#All],[Manual/ OutSale]],"OutSale"))</f>
        <v>0</v>
      </c>
      <c r="X29" s="324">
        <f>(SUMIFS(msi[[#All],[CASH]],msi[[#All],[DATE]],$A29,msi[[#All],[Manual /OutSale]],"OutSale"))-(SUMIFS(MRet[[#All],[CASH]],MRet[[#All],[DATE]],$A29,MRet[[#All],[Manual/ OutSale]],"OutSale"))</f>
        <v>0</v>
      </c>
      <c r="Y29" s="369">
        <f t="shared" si="13"/>
        <v>0</v>
      </c>
      <c r="Z29" s="369">
        <f t="shared" si="14"/>
        <v>0</v>
      </c>
      <c r="AA29" s="371"/>
    </row>
    <row r="30" spans="1:27">
      <c r="A30" s="323">
        <f t="shared" si="15"/>
        <v>46318</v>
      </c>
      <c r="B30" s="324">
        <f>(SUMIFS(msi[[#All],[SP]],msi[[#All],[DATE]],$A30,msi[[#All],[Manual /OutSale]],"OutSale"))-(SUMIFS(MRet[[#All],[SP]],MRet[[#All],[DATE]],$A30,MRet[[#All],[Manual/ OutSale]],"OutSale"))</f>
        <v>0</v>
      </c>
      <c r="C30" s="324">
        <f>(SUMIFS(msi[[#All],[DISC. AMOUNT]],msi[[#All],[DATE]],$A30,msi[[#All],[Manual /OutSale]],"OutSale"))-(SUMIFS(MRet[[#All],[DISC. AMOUNT]],MRet[[#All],[DATE]],$A30,MRet[[#All],[Manual/ OutSale]],"OutSale"))</f>
        <v>0</v>
      </c>
      <c r="D30" s="325">
        <f t="shared" si="9"/>
        <v>0</v>
      </c>
      <c r="E30" s="324"/>
      <c r="F30" s="325">
        <f t="shared" si="10"/>
        <v>0</v>
      </c>
      <c r="G30" s="324"/>
      <c r="H30" s="326"/>
      <c r="I30" s="347">
        <f t="shared" si="11"/>
        <v>0</v>
      </c>
      <c r="J30" s="347">
        <f t="shared" si="12"/>
        <v>0</v>
      </c>
      <c r="K30" s="348"/>
      <c r="M30" s="324">
        <f>(SUMIFS(msi[[#All],[CHARGE]],msi[[#All],[DATE]],$A30,msi[[#All],[Manual /OutSale]],"OutSale"))-(SUMIFS(MRet[[#All],[CHARGE]],MRet[[#All],[DATE]],$A30,MRet[[#All],[Manual/ OutSale]],"OutSale"))</f>
        <v>0</v>
      </c>
      <c r="N30" s="324">
        <f>(SUMIFS(msi[[#All],[GC/  OTHERS]],msi[[#All],[DATE]],$A30,msi[[#All],[Manual /OutSale]],"OutSale"))-(SUMIFS(MRet[[#All],[GC/  OTHERS]],MRet[[#All],[DATE]],$A30,MRet[[#All],[Manual/ OutSale]],"OutSale"))</f>
        <v>0</v>
      </c>
      <c r="O30" s="349"/>
      <c r="P30" s="349"/>
      <c r="Q30" s="349"/>
      <c r="R30" s="363"/>
      <c r="S30" s="324">
        <f>(SUMIFS(msi[[#All],[Check]],msi[[#All],[DATE]],$A30,msi[[#All],[Manual /OutSale]],"OutSale"))-(SUMIFS(MRet[[#All],[Check]],MRet[[#All],[DATE]],$A30,MRet[[#All],[Manual/ OutSale]],"OutSale"))</f>
        <v>0</v>
      </c>
      <c r="T30" s="324">
        <f>(SUMIFS(msi[[#All],[COD]],msi[[#All],[DATE]],$A30,msi[[#All],[Manual /OutSale]],"OutSale"))-(SUMIFS(MRet[[#All],[COD]],MRet[[#All],[DATE]],$A30,MRet[[#All],[Manual/ OutSale]],"OutSale"))</f>
        <v>0</v>
      </c>
      <c r="U30" s="349">
        <v>0</v>
      </c>
      <c r="V30" s="363"/>
      <c r="W30" s="324">
        <f>(SUMIFS(msi[[#All],[CWT]],msi[[#All],[DATE]],$A30,msi[[#All],[Manual /OutSale]],"OutSale"))-(SUMIFS(MRet[[#All],[CWT]],MRet[[#All],[DATE]],$A30,MRet[[#All],[Manual/ OutSale]],"OutSale"))</f>
        <v>0</v>
      </c>
      <c r="X30" s="324">
        <f>(SUMIFS(msi[[#All],[CASH]],msi[[#All],[DATE]],$A30,msi[[#All],[Manual /OutSale]],"OutSale"))-(SUMIFS(MRet[[#All],[CASH]],MRet[[#All],[DATE]],$A30,MRet[[#All],[Manual/ OutSale]],"OutSale"))</f>
        <v>0</v>
      </c>
      <c r="Y30" s="369">
        <f t="shared" si="13"/>
        <v>0</v>
      </c>
      <c r="Z30" s="369">
        <f t="shared" si="14"/>
        <v>0</v>
      </c>
      <c r="AA30" s="371"/>
    </row>
    <row r="31" spans="1:27">
      <c r="A31" s="323">
        <f t="shared" si="15"/>
        <v>46319</v>
      </c>
      <c r="B31" s="324">
        <f>(SUMIFS(msi[[#All],[SP]],msi[[#All],[DATE]],$A31,msi[[#All],[Manual /OutSale]],"OutSale"))-(SUMIFS(MRet[[#All],[SP]],MRet[[#All],[DATE]],$A31,MRet[[#All],[Manual/ OutSale]],"OutSale"))</f>
        <v>0</v>
      </c>
      <c r="C31" s="324">
        <f>(SUMIFS(msi[[#All],[DISC. AMOUNT]],msi[[#All],[DATE]],$A31,msi[[#All],[Manual /OutSale]],"OutSale"))-(SUMIFS(MRet[[#All],[DISC. AMOUNT]],MRet[[#All],[DATE]],$A31,MRet[[#All],[Manual/ OutSale]],"OutSale"))</f>
        <v>0</v>
      </c>
      <c r="D31" s="325">
        <f t="shared" si="9"/>
        <v>0</v>
      </c>
      <c r="E31" s="324"/>
      <c r="F31" s="325">
        <f t="shared" si="10"/>
        <v>0</v>
      </c>
      <c r="G31" s="324"/>
      <c r="H31" s="326"/>
      <c r="I31" s="347">
        <f t="shared" si="11"/>
        <v>0</v>
      </c>
      <c r="J31" s="347">
        <f t="shared" si="12"/>
        <v>0</v>
      </c>
      <c r="K31" s="348"/>
      <c r="M31" s="324">
        <f>(SUMIFS(msi[[#All],[CHARGE]],msi[[#All],[DATE]],$A31,msi[[#All],[Manual /OutSale]],"OutSale"))-(SUMIFS(MRet[[#All],[CHARGE]],MRet[[#All],[DATE]],$A31,MRet[[#All],[Manual/ OutSale]],"OutSale"))</f>
        <v>0</v>
      </c>
      <c r="N31" s="324">
        <f>(SUMIFS(msi[[#All],[GC/  OTHERS]],msi[[#All],[DATE]],$A31,msi[[#All],[Manual /OutSale]],"OutSale"))-(SUMIFS(MRet[[#All],[GC/  OTHERS]],MRet[[#All],[DATE]],$A31,MRet[[#All],[Manual/ OutSale]],"OutSale"))</f>
        <v>0</v>
      </c>
      <c r="O31" s="349"/>
      <c r="P31" s="349"/>
      <c r="Q31" s="349"/>
      <c r="R31" s="363"/>
      <c r="S31" s="324">
        <f>(SUMIFS(msi[[#All],[Check]],msi[[#All],[DATE]],$A31,msi[[#All],[Manual /OutSale]],"OutSale"))-(SUMIFS(MRet[[#All],[Check]],MRet[[#All],[DATE]],$A31,MRet[[#All],[Manual/ OutSale]],"OutSale"))</f>
        <v>0</v>
      </c>
      <c r="T31" s="324">
        <f>(SUMIFS(msi[[#All],[COD]],msi[[#All],[DATE]],$A31,msi[[#All],[Manual /OutSale]],"OutSale"))-(SUMIFS(MRet[[#All],[COD]],MRet[[#All],[DATE]],$A31,MRet[[#All],[Manual/ OutSale]],"OutSale"))</f>
        <v>0</v>
      </c>
      <c r="U31" s="349">
        <v>0</v>
      </c>
      <c r="V31" s="363"/>
      <c r="W31" s="324">
        <f>(SUMIFS(msi[[#All],[CWT]],msi[[#All],[DATE]],$A31,msi[[#All],[Manual /OutSale]],"OutSale"))-(SUMIFS(MRet[[#All],[CWT]],MRet[[#All],[DATE]],$A31,MRet[[#All],[Manual/ OutSale]],"OutSale"))</f>
        <v>0</v>
      </c>
      <c r="X31" s="324">
        <f>(SUMIFS(msi[[#All],[CASH]],msi[[#All],[DATE]],$A31,msi[[#All],[Manual /OutSale]],"OutSale"))-(SUMIFS(MRet[[#All],[CASH]],MRet[[#All],[DATE]],$A31,MRet[[#All],[Manual/ OutSale]],"OutSale"))</f>
        <v>0</v>
      </c>
      <c r="Y31" s="369">
        <f t="shared" si="13"/>
        <v>0</v>
      </c>
      <c r="Z31" s="369">
        <f t="shared" si="14"/>
        <v>0</v>
      </c>
      <c r="AA31" s="371"/>
    </row>
    <row r="32" spans="1:27">
      <c r="A32" s="323">
        <f t="shared" si="15"/>
        <v>46320</v>
      </c>
      <c r="B32" s="324">
        <f>(SUMIFS(msi[[#All],[SP]],msi[[#All],[DATE]],$A32,msi[[#All],[Manual /OutSale]],"OutSale"))-(SUMIFS(MRet[[#All],[SP]],MRet[[#All],[DATE]],$A32,MRet[[#All],[Manual/ OutSale]],"OutSale"))</f>
        <v>0</v>
      </c>
      <c r="C32" s="324">
        <f>(SUMIFS(msi[[#All],[DISC. AMOUNT]],msi[[#All],[DATE]],$A32,msi[[#All],[Manual /OutSale]],"OutSale"))-(SUMIFS(MRet[[#All],[DISC. AMOUNT]],MRet[[#All],[DATE]],$A32,MRet[[#All],[Manual/ OutSale]],"OutSale"))</f>
        <v>0</v>
      </c>
      <c r="D32" s="325">
        <f t="shared" si="9"/>
        <v>0</v>
      </c>
      <c r="E32" s="324"/>
      <c r="F32" s="325">
        <f t="shared" si="10"/>
        <v>0</v>
      </c>
      <c r="G32" s="324"/>
      <c r="H32" s="326"/>
      <c r="I32" s="347">
        <f t="shared" si="11"/>
        <v>0</v>
      </c>
      <c r="J32" s="347">
        <f t="shared" si="12"/>
        <v>0</v>
      </c>
      <c r="K32" s="348"/>
      <c r="M32" s="324">
        <f>(SUMIFS(msi[[#All],[CHARGE]],msi[[#All],[DATE]],$A32,msi[[#All],[Manual /OutSale]],"OutSale"))-(SUMIFS(MRet[[#All],[CHARGE]],MRet[[#All],[DATE]],$A32,MRet[[#All],[Manual/ OutSale]],"OutSale"))</f>
        <v>0</v>
      </c>
      <c r="N32" s="324">
        <f>(SUMIFS(msi[[#All],[GC/  OTHERS]],msi[[#All],[DATE]],$A32,msi[[#All],[Manual /OutSale]],"OutSale"))-(SUMIFS(MRet[[#All],[GC/  OTHERS]],MRet[[#All],[DATE]],$A32,MRet[[#All],[Manual/ OutSale]],"OutSale"))</f>
        <v>0</v>
      </c>
      <c r="O32" s="349"/>
      <c r="P32" s="349"/>
      <c r="Q32" s="349"/>
      <c r="R32" s="363"/>
      <c r="S32" s="324">
        <f>(SUMIFS(msi[[#All],[Check]],msi[[#All],[DATE]],$A32,msi[[#All],[Manual /OutSale]],"OutSale"))-(SUMIFS(MRet[[#All],[Check]],MRet[[#All],[DATE]],$A32,MRet[[#All],[Manual/ OutSale]],"OutSale"))</f>
        <v>0</v>
      </c>
      <c r="T32" s="324">
        <f>(SUMIFS(msi[[#All],[COD]],msi[[#All],[DATE]],$A32,msi[[#All],[Manual /OutSale]],"OutSale"))-(SUMIFS(MRet[[#All],[COD]],MRet[[#All],[DATE]],$A32,MRet[[#All],[Manual/ OutSale]],"OutSale"))</f>
        <v>0</v>
      </c>
      <c r="U32" s="349">
        <v>0</v>
      </c>
      <c r="V32" s="363"/>
      <c r="W32" s="324">
        <f>(SUMIFS(msi[[#All],[CWT]],msi[[#All],[DATE]],$A32,msi[[#All],[Manual /OutSale]],"OutSale"))-(SUMIFS(MRet[[#All],[CWT]],MRet[[#All],[DATE]],$A32,MRet[[#All],[Manual/ OutSale]],"OutSale"))</f>
        <v>0</v>
      </c>
      <c r="X32" s="324">
        <f>(SUMIFS(msi[[#All],[CASH]],msi[[#All],[DATE]],$A32,msi[[#All],[Manual /OutSale]],"OutSale"))-(SUMIFS(MRet[[#All],[CASH]],MRet[[#All],[DATE]],$A32,MRet[[#All],[Manual/ OutSale]],"OutSale"))</f>
        <v>0</v>
      </c>
      <c r="Y32" s="369">
        <f t="shared" si="13"/>
        <v>0</v>
      </c>
      <c r="Z32" s="369">
        <f t="shared" si="14"/>
        <v>0</v>
      </c>
      <c r="AA32" s="371"/>
    </row>
    <row r="33" spans="1:27">
      <c r="A33" s="323">
        <f t="shared" si="15"/>
        <v>46321</v>
      </c>
      <c r="B33" s="324">
        <f>(SUMIFS(msi[[#All],[SP]],msi[[#All],[DATE]],$A33,msi[[#All],[Manual /OutSale]],"OutSale"))-(SUMIFS(MRet[[#All],[SP]],MRet[[#All],[DATE]],$A33,MRet[[#All],[Manual/ OutSale]],"OutSale"))</f>
        <v>0</v>
      </c>
      <c r="C33" s="324">
        <f>(SUMIFS(msi[[#All],[DISC. AMOUNT]],msi[[#All],[DATE]],$A33,msi[[#All],[Manual /OutSale]],"OutSale"))-(SUMIFS(MRet[[#All],[DISC. AMOUNT]],MRet[[#All],[DATE]],$A33,MRet[[#All],[Manual/ OutSale]],"OutSale"))</f>
        <v>0</v>
      </c>
      <c r="D33" s="325">
        <f t="shared" si="9"/>
        <v>0</v>
      </c>
      <c r="E33" s="324"/>
      <c r="F33" s="325">
        <f t="shared" si="10"/>
        <v>0</v>
      </c>
      <c r="G33" s="324"/>
      <c r="H33" s="326"/>
      <c r="I33" s="347">
        <f t="shared" si="11"/>
        <v>0</v>
      </c>
      <c r="J33" s="347">
        <f t="shared" si="12"/>
        <v>0</v>
      </c>
      <c r="K33" s="348"/>
      <c r="M33" s="324">
        <f>(SUMIFS(msi[[#All],[CHARGE]],msi[[#All],[DATE]],$A33,msi[[#All],[Manual /OutSale]],"OutSale"))-(SUMIFS(MRet[[#All],[CHARGE]],MRet[[#All],[DATE]],$A33,MRet[[#All],[Manual/ OutSale]],"OutSale"))</f>
        <v>0</v>
      </c>
      <c r="N33" s="324">
        <f>(SUMIFS(msi[[#All],[GC/  OTHERS]],msi[[#All],[DATE]],$A33,msi[[#All],[Manual /OutSale]],"OutSale"))-(SUMIFS(MRet[[#All],[GC/  OTHERS]],MRet[[#All],[DATE]],$A33,MRet[[#All],[Manual/ OutSale]],"OutSale"))</f>
        <v>0</v>
      </c>
      <c r="O33" s="349"/>
      <c r="P33" s="349"/>
      <c r="Q33" s="349"/>
      <c r="R33" s="363"/>
      <c r="S33" s="324">
        <f>(SUMIFS(msi[[#All],[Check]],msi[[#All],[DATE]],$A33,msi[[#All],[Manual /OutSale]],"OutSale"))-(SUMIFS(MRet[[#All],[Check]],MRet[[#All],[DATE]],$A33,MRet[[#All],[Manual/ OutSale]],"OutSale"))</f>
        <v>0</v>
      </c>
      <c r="T33" s="324">
        <f>(SUMIFS(msi[[#All],[COD]],msi[[#All],[DATE]],$A33,msi[[#All],[Manual /OutSale]],"OutSale"))-(SUMIFS(MRet[[#All],[COD]],MRet[[#All],[DATE]],$A33,MRet[[#All],[Manual/ OutSale]],"OutSale"))</f>
        <v>0</v>
      </c>
      <c r="U33" s="349">
        <v>0</v>
      </c>
      <c r="V33" s="363"/>
      <c r="W33" s="324">
        <f>(SUMIFS(msi[[#All],[CWT]],msi[[#All],[DATE]],$A33,msi[[#All],[Manual /OutSale]],"OutSale"))-(SUMIFS(MRet[[#All],[CWT]],MRet[[#All],[DATE]],$A33,MRet[[#All],[Manual/ OutSale]],"OutSale"))</f>
        <v>0</v>
      </c>
      <c r="X33" s="324">
        <f>(SUMIFS(msi[[#All],[CASH]],msi[[#All],[DATE]],$A33,msi[[#All],[Manual /OutSale]],"OutSale"))-(SUMIFS(MRet[[#All],[CASH]],MRet[[#All],[DATE]],$A33,MRet[[#All],[Manual/ OutSale]],"OutSale"))</f>
        <v>0</v>
      </c>
      <c r="Y33" s="369">
        <f t="shared" si="13"/>
        <v>0</v>
      </c>
      <c r="Z33" s="369">
        <f t="shared" si="14"/>
        <v>0</v>
      </c>
      <c r="AA33" s="371"/>
    </row>
    <row r="34" spans="1:27">
      <c r="A34" s="323">
        <f t="shared" si="15"/>
        <v>46322</v>
      </c>
      <c r="B34" s="324">
        <f>(SUMIFS(msi[[#All],[SP]],msi[[#All],[DATE]],$A34,msi[[#All],[Manual /OutSale]],"OutSale"))-(SUMIFS(MRet[[#All],[SP]],MRet[[#All],[DATE]],$A34,MRet[[#All],[Manual/ OutSale]],"OutSale"))</f>
        <v>0</v>
      </c>
      <c r="C34" s="324">
        <f>(SUMIFS(msi[[#All],[DISC. AMOUNT]],msi[[#All],[DATE]],$A34,msi[[#All],[Manual /OutSale]],"OutSale"))-(SUMIFS(MRet[[#All],[DISC. AMOUNT]],MRet[[#All],[DATE]],$A34,MRet[[#All],[Manual/ OutSale]],"OutSale"))</f>
        <v>0</v>
      </c>
      <c r="D34" s="325">
        <f t="shared" si="9"/>
        <v>0</v>
      </c>
      <c r="E34" s="324"/>
      <c r="F34" s="325">
        <f t="shared" si="10"/>
        <v>0</v>
      </c>
      <c r="G34" s="324"/>
      <c r="H34" s="326"/>
      <c r="I34" s="347">
        <f t="shared" si="11"/>
        <v>0</v>
      </c>
      <c r="J34" s="347">
        <f t="shared" si="12"/>
        <v>0</v>
      </c>
      <c r="K34" s="348"/>
      <c r="M34" s="324">
        <f>(SUMIFS(msi[[#All],[CHARGE]],msi[[#All],[DATE]],$A34,msi[[#All],[Manual /OutSale]],"OutSale"))-(SUMIFS(MRet[[#All],[CHARGE]],MRet[[#All],[DATE]],$A34,MRet[[#All],[Manual/ OutSale]],"OutSale"))</f>
        <v>0</v>
      </c>
      <c r="N34" s="324">
        <f>(SUMIFS(msi[[#All],[GC/  OTHERS]],msi[[#All],[DATE]],$A34,msi[[#All],[Manual /OutSale]],"OutSale"))-(SUMIFS(MRet[[#All],[GC/  OTHERS]],MRet[[#All],[DATE]],$A34,MRet[[#All],[Manual/ OutSale]],"OutSale"))</f>
        <v>0</v>
      </c>
      <c r="O34" s="349"/>
      <c r="P34" s="349"/>
      <c r="Q34" s="349"/>
      <c r="R34" s="363"/>
      <c r="S34" s="324">
        <f>(SUMIFS(msi[[#All],[Check]],msi[[#All],[DATE]],$A34,msi[[#All],[Manual /OutSale]],"OutSale"))-(SUMIFS(MRet[[#All],[Check]],MRet[[#All],[DATE]],$A34,MRet[[#All],[Manual/ OutSale]],"OutSale"))</f>
        <v>0</v>
      </c>
      <c r="T34" s="324">
        <f>(SUMIFS(msi[[#All],[COD]],msi[[#All],[DATE]],$A34,msi[[#All],[Manual /OutSale]],"OutSale"))-(SUMIFS(MRet[[#All],[COD]],MRet[[#All],[DATE]],$A34,MRet[[#All],[Manual/ OutSale]],"OutSale"))</f>
        <v>0</v>
      </c>
      <c r="U34" s="349">
        <v>0</v>
      </c>
      <c r="V34" s="363"/>
      <c r="W34" s="324">
        <f>(SUMIFS(msi[[#All],[CWT]],msi[[#All],[DATE]],$A34,msi[[#All],[Manual /OutSale]],"OutSale"))-(SUMIFS(MRet[[#All],[CWT]],MRet[[#All],[DATE]],$A34,MRet[[#All],[Manual/ OutSale]],"OutSale"))</f>
        <v>0</v>
      </c>
      <c r="X34" s="324">
        <f>(SUMIFS(msi[[#All],[CASH]],msi[[#All],[DATE]],$A34,msi[[#All],[Manual /OutSale]],"OutSale"))-(SUMIFS(MRet[[#All],[CASH]],MRet[[#All],[DATE]],$A34,MRet[[#All],[Manual/ OutSale]],"OutSale"))</f>
        <v>0</v>
      </c>
      <c r="Y34" s="369">
        <f t="shared" si="13"/>
        <v>0</v>
      </c>
      <c r="Z34" s="369">
        <f t="shared" si="14"/>
        <v>0</v>
      </c>
      <c r="AA34" s="371"/>
    </row>
    <row r="35" spans="1:27">
      <c r="A35" s="323">
        <f t="shared" si="15"/>
        <v>46323</v>
      </c>
      <c r="B35" s="324">
        <f>(SUMIFS(msi[[#All],[SP]],msi[[#All],[DATE]],$A35,msi[[#All],[Manual /OutSale]],"OutSale"))-(SUMIFS(MRet[[#All],[SP]],MRet[[#All],[DATE]],$A35,MRet[[#All],[Manual/ OutSale]],"OutSale"))</f>
        <v>0</v>
      </c>
      <c r="C35" s="324">
        <f>(SUMIFS(msi[[#All],[DISC. AMOUNT]],msi[[#All],[DATE]],$A35,msi[[#All],[Manual /OutSale]],"OutSale"))-(SUMIFS(MRet[[#All],[DISC. AMOUNT]],MRet[[#All],[DATE]],$A35,MRet[[#All],[Manual/ OutSale]],"OutSale"))</f>
        <v>0</v>
      </c>
      <c r="D35" s="325">
        <f t="shared" si="9"/>
        <v>0</v>
      </c>
      <c r="E35" s="324"/>
      <c r="F35" s="325">
        <f t="shared" si="10"/>
        <v>0</v>
      </c>
      <c r="G35" s="324"/>
      <c r="H35" s="326"/>
      <c r="I35" s="347">
        <f t="shared" si="11"/>
        <v>0</v>
      </c>
      <c r="J35" s="347">
        <f t="shared" si="12"/>
        <v>0</v>
      </c>
      <c r="K35" s="348"/>
      <c r="M35" s="324">
        <f>(SUMIFS(msi[[#All],[CHARGE]],msi[[#All],[DATE]],$A35,msi[[#All],[Manual /OutSale]],"OutSale"))-(SUMIFS(MRet[[#All],[CHARGE]],MRet[[#All],[DATE]],$A35,MRet[[#All],[Manual/ OutSale]],"OutSale"))</f>
        <v>0</v>
      </c>
      <c r="N35" s="324">
        <f>(SUMIFS(msi[[#All],[GC/  OTHERS]],msi[[#All],[DATE]],$A35,msi[[#All],[Manual /OutSale]],"OutSale"))-(SUMIFS(MRet[[#All],[GC/  OTHERS]],MRet[[#All],[DATE]],$A35,MRet[[#All],[Manual/ OutSale]],"OutSale"))</f>
        <v>0</v>
      </c>
      <c r="O35" s="349"/>
      <c r="P35" s="349"/>
      <c r="Q35" s="349"/>
      <c r="R35" s="363"/>
      <c r="S35" s="324">
        <f>(SUMIFS(msi[[#All],[Check]],msi[[#All],[DATE]],$A35,msi[[#All],[Manual /OutSale]],"OutSale"))-(SUMIFS(MRet[[#All],[Check]],MRet[[#All],[DATE]],$A35,MRet[[#All],[Manual/ OutSale]],"OutSale"))</f>
        <v>0</v>
      </c>
      <c r="T35" s="324">
        <f>(SUMIFS(msi[[#All],[COD]],msi[[#All],[DATE]],$A35,msi[[#All],[Manual /OutSale]],"OutSale"))-(SUMIFS(MRet[[#All],[COD]],MRet[[#All],[DATE]],$A35,MRet[[#All],[Manual/ OutSale]],"OutSale"))</f>
        <v>0</v>
      </c>
      <c r="U35" s="349">
        <v>0</v>
      </c>
      <c r="V35" s="363"/>
      <c r="W35" s="324">
        <f>(SUMIFS(msi[[#All],[CWT]],msi[[#All],[DATE]],$A35,msi[[#All],[Manual /OutSale]],"OutSale"))-(SUMIFS(MRet[[#All],[CWT]],MRet[[#All],[DATE]],$A35,MRet[[#All],[Manual/ OutSale]],"OutSale"))</f>
        <v>0</v>
      </c>
      <c r="X35" s="324">
        <f>(SUMIFS(msi[[#All],[CASH]],msi[[#All],[DATE]],$A35,msi[[#All],[Manual /OutSale]],"OutSale"))-(SUMIFS(MRet[[#All],[CASH]],MRet[[#All],[DATE]],$A35,MRet[[#All],[Manual/ OutSale]],"OutSale"))</f>
        <v>0</v>
      </c>
      <c r="Y35" s="369">
        <f t="shared" si="13"/>
        <v>0</v>
      </c>
      <c r="Z35" s="369">
        <f t="shared" si="14"/>
        <v>0</v>
      </c>
      <c r="AA35" s="371"/>
    </row>
    <row r="36" spans="1:27">
      <c r="A36" s="323">
        <f t="shared" si="15"/>
        <v>46324</v>
      </c>
      <c r="B36" s="324">
        <f>(SUMIFS(msi[[#All],[SP]],msi[[#All],[DATE]],$A36,msi[[#All],[Manual /OutSale]],"OutSale"))-(SUMIFS(MRet[[#All],[SP]],MRet[[#All],[DATE]],$A36,MRet[[#All],[Manual/ OutSale]],"OutSale"))</f>
        <v>0</v>
      </c>
      <c r="C36" s="324">
        <f>(SUMIFS(msi[[#All],[DISC. AMOUNT]],msi[[#All],[DATE]],$A36,msi[[#All],[Manual /OutSale]],"OutSale"))-(SUMIFS(MRet[[#All],[DISC. AMOUNT]],MRet[[#All],[DATE]],$A36,MRet[[#All],[Manual/ OutSale]],"OutSale"))</f>
        <v>0</v>
      </c>
      <c r="D36" s="325">
        <f t="shared" si="9"/>
        <v>0</v>
      </c>
      <c r="E36" s="324"/>
      <c r="F36" s="325">
        <f t="shared" si="10"/>
        <v>0</v>
      </c>
      <c r="G36" s="324"/>
      <c r="H36" s="326"/>
      <c r="I36" s="347">
        <f t="shared" si="11"/>
        <v>0</v>
      </c>
      <c r="J36" s="347">
        <f t="shared" si="12"/>
        <v>0</v>
      </c>
      <c r="K36" s="348"/>
      <c r="M36" s="324">
        <f>(SUMIFS(msi[[#All],[CHARGE]],msi[[#All],[DATE]],$A36,msi[[#All],[Manual /OutSale]],"OutSale"))-(SUMIFS(MRet[[#All],[CHARGE]],MRet[[#All],[DATE]],$A36,MRet[[#All],[Manual/ OutSale]],"OutSale"))</f>
        <v>0</v>
      </c>
      <c r="N36" s="324">
        <f>(SUMIFS(msi[[#All],[GC/  OTHERS]],msi[[#All],[DATE]],$A36,msi[[#All],[Manual /OutSale]],"OutSale"))-(SUMIFS(MRet[[#All],[GC/  OTHERS]],MRet[[#All],[DATE]],$A36,MRet[[#All],[Manual/ OutSale]],"OutSale"))</f>
        <v>0</v>
      </c>
      <c r="O36" s="349"/>
      <c r="P36" s="349"/>
      <c r="Q36" s="349"/>
      <c r="R36" s="363"/>
      <c r="S36" s="324">
        <f>(SUMIFS(msi[[#All],[Check]],msi[[#All],[DATE]],$A36,msi[[#All],[Manual /OutSale]],"OutSale"))-(SUMIFS(MRet[[#All],[Check]],MRet[[#All],[DATE]],$A36,MRet[[#All],[Manual/ OutSale]],"OutSale"))</f>
        <v>0</v>
      </c>
      <c r="T36" s="324">
        <f>(SUMIFS(msi[[#All],[COD]],msi[[#All],[DATE]],$A36,msi[[#All],[Manual /OutSale]],"OutSale"))-(SUMIFS(MRet[[#All],[COD]],MRet[[#All],[DATE]],$A36,MRet[[#All],[Manual/ OutSale]],"OutSale"))</f>
        <v>0</v>
      </c>
      <c r="U36" s="349">
        <v>0</v>
      </c>
      <c r="V36" s="363"/>
      <c r="W36" s="324">
        <f>(SUMIFS(msi[[#All],[CWT]],msi[[#All],[DATE]],$A36,msi[[#All],[Manual /OutSale]],"OutSale"))-(SUMIFS(MRet[[#All],[CWT]],MRet[[#All],[DATE]],$A36,MRet[[#All],[Manual/ OutSale]],"OutSale"))</f>
        <v>0</v>
      </c>
      <c r="X36" s="324">
        <f>(SUMIFS(msi[[#All],[CASH]],msi[[#All],[DATE]],$A36,msi[[#All],[Manual /OutSale]],"OutSale"))-(SUMIFS(MRet[[#All],[CASH]],MRet[[#All],[DATE]],$A36,MRet[[#All],[Manual/ OutSale]],"OutSale"))</f>
        <v>0</v>
      </c>
      <c r="Y36" s="369">
        <f t="shared" si="13"/>
        <v>0</v>
      </c>
      <c r="Z36" s="369">
        <f t="shared" si="14"/>
        <v>0</v>
      </c>
      <c r="AA36" s="371"/>
    </row>
    <row r="37" spans="1:27">
      <c r="A37" s="323">
        <f t="shared" si="15"/>
        <v>46325</v>
      </c>
      <c r="B37" s="324">
        <f>(SUMIFS(msi[[#All],[SP]],msi[[#All],[DATE]],$A37,msi[[#All],[Manual /OutSale]],"OutSale"))-(SUMIFS(MRet[[#All],[SP]],MRet[[#All],[DATE]],$A37,MRet[[#All],[Manual/ OutSale]],"OutSale"))</f>
        <v>0</v>
      </c>
      <c r="C37" s="324">
        <f>(SUMIFS(msi[[#All],[DISC. AMOUNT]],msi[[#All],[DATE]],$A37,msi[[#All],[Manual /OutSale]],"OutSale"))-(SUMIFS(MRet[[#All],[DISC. AMOUNT]],MRet[[#All],[DATE]],$A37,MRet[[#All],[Manual/ OutSale]],"OutSale"))</f>
        <v>0</v>
      </c>
      <c r="D37" s="325">
        <f t="shared" si="9"/>
        <v>0</v>
      </c>
      <c r="E37" s="324"/>
      <c r="F37" s="325">
        <f t="shared" si="10"/>
        <v>0</v>
      </c>
      <c r="G37" s="324"/>
      <c r="H37" s="326"/>
      <c r="I37" s="347">
        <f t="shared" si="11"/>
        <v>0</v>
      </c>
      <c r="J37" s="347">
        <f t="shared" si="12"/>
        <v>0</v>
      </c>
      <c r="K37" s="348"/>
      <c r="M37" s="324">
        <f>(SUMIFS(msi[[#All],[CHARGE]],msi[[#All],[DATE]],$A37,msi[[#All],[Manual /OutSale]],"OutSale"))-(SUMIFS(MRet[[#All],[CHARGE]],MRet[[#All],[DATE]],$A37,MRet[[#All],[Manual/ OutSale]],"OutSale"))</f>
        <v>0</v>
      </c>
      <c r="N37" s="324">
        <f>(SUMIFS(msi[[#All],[GC/  OTHERS]],msi[[#All],[DATE]],$A37,msi[[#All],[Manual /OutSale]],"OutSale"))-(SUMIFS(MRet[[#All],[GC/  OTHERS]],MRet[[#All],[DATE]],$A37,MRet[[#All],[Manual/ OutSale]],"OutSale"))</f>
        <v>0</v>
      </c>
      <c r="O37" s="349"/>
      <c r="P37" s="349"/>
      <c r="Q37" s="349"/>
      <c r="R37" s="363"/>
      <c r="S37" s="324">
        <f>(SUMIFS(msi[[#All],[Check]],msi[[#All],[DATE]],$A37,msi[[#All],[Manual /OutSale]],"OutSale"))-(SUMIFS(MRet[[#All],[Check]],MRet[[#All],[DATE]],$A37,MRet[[#All],[Manual/ OutSale]],"OutSale"))</f>
        <v>0</v>
      </c>
      <c r="T37" s="324">
        <f>(SUMIFS(msi[[#All],[COD]],msi[[#All],[DATE]],$A37,msi[[#All],[Manual /OutSale]],"OutSale"))-(SUMIFS(MRet[[#All],[COD]],MRet[[#All],[DATE]],$A37,MRet[[#All],[Manual/ OutSale]],"OutSale"))</f>
        <v>0</v>
      </c>
      <c r="U37" s="349">
        <v>0</v>
      </c>
      <c r="V37" s="363"/>
      <c r="W37" s="324">
        <f>(SUMIFS(msi[[#All],[CWT]],msi[[#All],[DATE]],$A37,msi[[#All],[Manual /OutSale]],"OutSale"))-(SUMIFS(MRet[[#All],[CWT]],MRet[[#All],[DATE]],$A37,MRet[[#All],[Manual/ OutSale]],"OutSale"))</f>
        <v>0</v>
      </c>
      <c r="X37" s="324">
        <f>(SUMIFS(msi[[#All],[CASH]],msi[[#All],[DATE]],$A37,msi[[#All],[Manual /OutSale]],"OutSale"))-(SUMIFS(MRet[[#All],[CASH]],MRet[[#All],[DATE]],$A37,MRet[[#All],[Manual/ OutSale]],"OutSale"))</f>
        <v>0</v>
      </c>
      <c r="Y37" s="369">
        <f t="shared" si="13"/>
        <v>0</v>
      </c>
      <c r="Z37" s="369">
        <f t="shared" si="14"/>
        <v>0</v>
      </c>
      <c r="AA37" s="371"/>
    </row>
    <row r="38" spans="1:27">
      <c r="A38" s="323">
        <f t="shared" si="15"/>
        <v>46326</v>
      </c>
      <c r="B38" s="324">
        <f>(SUMIFS(msi[[#All],[SP]],msi[[#All],[DATE]],$A38,msi[[#All],[Manual /OutSale]],"OutSale"))-(SUMIFS(MRet[[#All],[SP]],MRet[[#All],[DATE]],$A38,MRet[[#All],[Manual/ OutSale]],"OutSale"))</f>
        <v>0</v>
      </c>
      <c r="C38" s="324">
        <f>(SUMIFS(msi[[#All],[DISC. AMOUNT]],msi[[#All],[DATE]],$A38,msi[[#All],[Manual /OutSale]],"OutSale"))-(SUMIFS(MRet[[#All],[DISC. AMOUNT]],MRet[[#All],[DATE]],$A38,MRet[[#All],[Manual/ OutSale]],"OutSale"))</f>
        <v>0</v>
      </c>
      <c r="D38" s="325">
        <f t="shared" si="9"/>
        <v>0</v>
      </c>
      <c r="E38" s="324"/>
      <c r="F38" s="325">
        <f t="shared" si="10"/>
        <v>0</v>
      </c>
      <c r="G38" s="324"/>
      <c r="H38" s="326"/>
      <c r="I38" s="347">
        <f t="shared" si="11"/>
        <v>0</v>
      </c>
      <c r="J38" s="347">
        <f t="shared" si="12"/>
        <v>0</v>
      </c>
      <c r="K38" s="348"/>
      <c r="M38" s="324">
        <f>(SUMIFS(msi[[#All],[CHARGE]],msi[[#All],[DATE]],$A38,msi[[#All],[Manual /OutSale]],"OutSale"))-(SUMIFS(MRet[[#All],[CHARGE]],MRet[[#All],[DATE]],$A38,MRet[[#All],[Manual/ OutSale]],"OutSale"))</f>
        <v>0</v>
      </c>
      <c r="N38" s="324">
        <f>(SUMIFS(msi[[#All],[GC/  OTHERS]],msi[[#All],[DATE]],$A38,msi[[#All],[Manual /OutSale]],"OutSale"))-(SUMIFS(MRet[[#All],[GC/  OTHERS]],MRet[[#All],[DATE]],$A38,MRet[[#All],[Manual/ OutSale]],"OutSale"))</f>
        <v>0</v>
      </c>
      <c r="O38" s="349"/>
      <c r="P38" s="349"/>
      <c r="Q38" s="349"/>
      <c r="R38" s="363"/>
      <c r="S38" s="324">
        <f>(SUMIFS(msi[[#All],[Check]],msi[[#All],[DATE]],$A38,msi[[#All],[Manual /OutSale]],"OutSale"))-(SUMIFS(MRet[[#All],[Check]],MRet[[#All],[DATE]],$A38,MRet[[#All],[Manual/ OutSale]],"OutSale"))</f>
        <v>0</v>
      </c>
      <c r="T38" s="324">
        <f>(SUMIFS(msi[[#All],[COD]],msi[[#All],[DATE]],$A38,msi[[#All],[Manual /OutSale]],"OutSale"))-(SUMIFS(MRet[[#All],[COD]],MRet[[#All],[DATE]],$A38,MRet[[#All],[Manual/ OutSale]],"OutSale"))</f>
        <v>0</v>
      </c>
      <c r="U38" s="349">
        <v>0</v>
      </c>
      <c r="V38" s="363"/>
      <c r="W38" s="324">
        <f>(SUMIFS(msi[[#All],[CWT]],msi[[#All],[DATE]],$A38,msi[[#All],[Manual /OutSale]],"OutSale"))-(SUMIFS(MRet[[#All],[CWT]],MRet[[#All],[DATE]],$A38,MRet[[#All],[Manual/ OutSale]],"OutSale"))</f>
        <v>0</v>
      </c>
      <c r="X38" s="324">
        <f>(SUMIFS(msi[[#All],[CASH]],msi[[#All],[DATE]],$A38,msi[[#All],[Manual /OutSale]],"OutSale"))-(SUMIFS(MRet[[#All],[CASH]],MRet[[#All],[DATE]],$A38,MRet[[#All],[Manual/ OutSale]],"OutSale"))</f>
        <v>0</v>
      </c>
      <c r="Y38" s="369">
        <f t="shared" si="13"/>
        <v>0</v>
      </c>
      <c r="Z38" s="369">
        <f t="shared" si="14"/>
        <v>0</v>
      </c>
      <c r="AA38" s="307"/>
    </row>
    <row r="39" spans="1:27">
      <c r="A39" s="332"/>
      <c r="B39" s="333">
        <f>SUM(B23:B38)</f>
        <v>0</v>
      </c>
      <c r="C39" s="333">
        <f t="shared" ref="C39:K39" si="16">SUM(C23:C38)</f>
        <v>0</v>
      </c>
      <c r="D39" s="333">
        <f t="shared" si="16"/>
        <v>0</v>
      </c>
      <c r="E39" s="333">
        <f t="shared" si="16"/>
        <v>0</v>
      </c>
      <c r="F39" s="333">
        <f t="shared" si="16"/>
        <v>0</v>
      </c>
      <c r="G39" s="333">
        <f t="shared" si="16"/>
        <v>0</v>
      </c>
      <c r="H39" s="333">
        <f t="shared" si="16"/>
        <v>0</v>
      </c>
      <c r="I39" s="333">
        <f t="shared" si="16"/>
        <v>0</v>
      </c>
      <c r="J39" s="333">
        <f t="shared" si="16"/>
        <v>0</v>
      </c>
      <c r="K39" s="355">
        <f t="shared" si="16"/>
        <v>0</v>
      </c>
      <c r="M39" s="356">
        <f t="shared" ref="M39:Z39" si="17">SUM(M23:M38)</f>
        <v>0</v>
      </c>
      <c r="N39" s="356">
        <f t="shared" si="17"/>
        <v>0</v>
      </c>
      <c r="O39" s="356">
        <f t="shared" si="17"/>
        <v>0</v>
      </c>
      <c r="P39" s="356">
        <f t="shared" si="17"/>
        <v>0</v>
      </c>
      <c r="Q39" s="356">
        <f t="shared" si="17"/>
        <v>0</v>
      </c>
      <c r="R39" s="356">
        <f t="shared" si="17"/>
        <v>0</v>
      </c>
      <c r="S39" s="356">
        <f t="shared" si="17"/>
        <v>0</v>
      </c>
      <c r="T39" s="356">
        <f t="shared" si="17"/>
        <v>0</v>
      </c>
      <c r="U39" s="356">
        <f t="shared" si="17"/>
        <v>0</v>
      </c>
      <c r="V39" s="356">
        <f t="shared" si="17"/>
        <v>0</v>
      </c>
      <c r="W39" s="356">
        <f t="shared" si="17"/>
        <v>0</v>
      </c>
      <c r="X39" s="333">
        <f t="shared" si="17"/>
        <v>0</v>
      </c>
      <c r="Y39" s="372">
        <f t="shared" si="17"/>
        <v>0</v>
      </c>
      <c r="Z39" s="333">
        <f t="shared" si="17"/>
        <v>0</v>
      </c>
      <c r="AA39" s="307"/>
    </row>
    <row r="40" spans="1:27">
      <c r="A40" s="323"/>
      <c r="B40" s="334"/>
      <c r="C40" s="334"/>
      <c r="D40" s="334"/>
      <c r="E40" s="331"/>
      <c r="F40" s="325"/>
      <c r="G40" s="334"/>
      <c r="H40" s="335"/>
      <c r="I40" s="334"/>
      <c r="J40" s="331"/>
      <c r="K40" s="357"/>
      <c r="M40" s="341"/>
      <c r="N40" s="341"/>
      <c r="O40" s="341"/>
      <c r="P40" s="341"/>
      <c r="Q40" s="341"/>
      <c r="R40" s="341"/>
      <c r="S40" s="341"/>
      <c r="T40" s="341"/>
      <c r="U40" s="341"/>
      <c r="V40" s="341"/>
      <c r="W40" s="341"/>
      <c r="X40" s="341"/>
      <c r="Y40" s="307"/>
      <c r="Z40" s="307"/>
      <c r="AA40" s="307"/>
    </row>
    <row r="41" spans="1:27" s="308" customFormat="1">
      <c r="A41" s="336"/>
      <c r="B41" s="337">
        <f>+B21+B39</f>
        <v>0</v>
      </c>
      <c r="C41" s="337">
        <f t="shared" ref="C41:K41" si="18">+C21+C39</f>
        <v>0</v>
      </c>
      <c r="D41" s="337">
        <f t="shared" si="18"/>
        <v>0</v>
      </c>
      <c r="E41" s="337">
        <f t="shared" si="18"/>
        <v>0</v>
      </c>
      <c r="F41" s="337">
        <f t="shared" si="18"/>
        <v>0</v>
      </c>
      <c r="G41" s="337">
        <f t="shared" si="18"/>
        <v>0</v>
      </c>
      <c r="H41" s="338">
        <f t="shared" si="18"/>
        <v>0</v>
      </c>
      <c r="I41" s="358">
        <f t="shared" si="18"/>
        <v>0</v>
      </c>
      <c r="J41" s="358">
        <f t="shared" si="18"/>
        <v>0</v>
      </c>
      <c r="K41" s="359">
        <f t="shared" si="18"/>
        <v>0</v>
      </c>
      <c r="M41" s="360">
        <f t="shared" ref="M41:Z41" si="19">+M21+M39</f>
        <v>0</v>
      </c>
      <c r="N41" s="360">
        <f t="shared" si="19"/>
        <v>0</v>
      </c>
      <c r="O41" s="360">
        <f t="shared" si="19"/>
        <v>0</v>
      </c>
      <c r="P41" s="360">
        <f t="shared" si="19"/>
        <v>0</v>
      </c>
      <c r="Q41" s="360">
        <f t="shared" si="19"/>
        <v>0</v>
      </c>
      <c r="R41" s="360">
        <f t="shared" si="19"/>
        <v>0</v>
      </c>
      <c r="S41" s="360">
        <f t="shared" si="19"/>
        <v>0</v>
      </c>
      <c r="T41" s="360">
        <f t="shared" si="19"/>
        <v>0</v>
      </c>
      <c r="U41" s="360">
        <f t="shared" si="19"/>
        <v>0</v>
      </c>
      <c r="V41" s="360">
        <f t="shared" si="19"/>
        <v>0</v>
      </c>
      <c r="W41" s="360">
        <f t="shared" si="19"/>
        <v>0</v>
      </c>
      <c r="X41" s="365">
        <f t="shared" si="19"/>
        <v>0</v>
      </c>
      <c r="Y41" s="365">
        <f t="shared" si="19"/>
        <v>0</v>
      </c>
      <c r="Z41" s="365">
        <f t="shared" si="19"/>
        <v>0</v>
      </c>
    </row>
    <row r="42" spans="1:27">
      <c r="A42" s="339"/>
      <c r="I42" s="309"/>
      <c r="J42" s="309"/>
      <c r="K42" s="309"/>
      <c r="M42" s="341"/>
      <c r="N42" s="341"/>
      <c r="O42" s="341"/>
      <c r="P42" s="341"/>
      <c r="Q42" s="341"/>
      <c r="R42" s="341"/>
      <c r="S42" s="341"/>
      <c r="T42" s="341"/>
      <c r="U42" s="341"/>
      <c r="V42" s="341"/>
      <c r="W42" s="341"/>
      <c r="X42" s="341"/>
      <c r="Y42" s="307"/>
      <c r="Z42" s="307"/>
      <c r="AA42" s="307"/>
    </row>
    <row r="43" spans="1:27">
      <c r="A43" s="339"/>
      <c r="I43" s="309"/>
      <c r="J43" s="307"/>
      <c r="M43" s="341"/>
      <c r="N43" s="361"/>
      <c r="O43" s="341"/>
      <c r="P43" s="341"/>
      <c r="Q43" s="341"/>
      <c r="R43" s="341"/>
      <c r="S43" s="341"/>
      <c r="T43" s="341"/>
      <c r="U43" s="341"/>
      <c r="V43" s="341"/>
      <c r="W43" s="341"/>
      <c r="X43" s="341"/>
      <c r="Y43" s="307"/>
      <c r="Z43" s="307"/>
      <c r="AA43" s="307"/>
    </row>
    <row r="44" spans="1:27">
      <c r="A44" s="339"/>
      <c r="I44" s="309"/>
      <c r="J44" s="307"/>
      <c r="M44" s="341"/>
      <c r="N44" s="361"/>
      <c r="O44" s="341"/>
      <c r="P44" s="341"/>
      <c r="Q44" s="341"/>
      <c r="R44" s="341"/>
      <c r="S44" s="341"/>
      <c r="T44" s="341"/>
      <c r="U44" s="341"/>
      <c r="V44" s="341"/>
      <c r="W44" s="341"/>
      <c r="X44" s="341"/>
      <c r="Y44" s="307"/>
      <c r="Z44" s="307"/>
      <c r="AA44" s="307"/>
    </row>
    <row r="45" spans="1:27">
      <c r="A45" s="339"/>
      <c r="I45" s="309"/>
      <c r="J45" s="309"/>
      <c r="K45" s="309"/>
      <c r="M45" s="341"/>
      <c r="N45" s="341"/>
      <c r="O45" s="341"/>
      <c r="P45" s="341"/>
      <c r="Q45" s="341"/>
      <c r="R45" s="341"/>
      <c r="S45" s="341"/>
      <c r="T45" s="341"/>
      <c r="U45" s="341"/>
      <c r="V45" s="341"/>
      <c r="W45" s="341"/>
      <c r="X45" s="341"/>
      <c r="Y45" s="307"/>
      <c r="Z45" s="366"/>
      <c r="AA45" s="366"/>
    </row>
    <row r="46" spans="1:27">
      <c r="A46" s="339"/>
      <c r="I46" s="309"/>
      <c r="J46" s="309"/>
      <c r="K46" s="309"/>
      <c r="M46" s="341"/>
      <c r="N46" s="341"/>
      <c r="O46" s="341"/>
      <c r="P46" s="341"/>
      <c r="Q46" s="341"/>
      <c r="R46" s="341"/>
      <c r="S46" s="341"/>
      <c r="T46" s="341"/>
      <c r="U46" s="341"/>
      <c r="V46" s="341"/>
      <c r="W46" s="341"/>
      <c r="X46" s="341"/>
      <c r="Y46" s="307"/>
      <c r="Z46" s="366"/>
      <c r="AA46" s="366"/>
    </row>
    <row r="47" spans="1:27">
      <c r="A47" s="339"/>
      <c r="I47" s="309"/>
      <c r="J47" s="309"/>
      <c r="K47" s="309"/>
      <c r="M47" s="341"/>
      <c r="N47" s="341"/>
      <c r="O47" s="341"/>
      <c r="P47" s="341"/>
      <c r="Q47" s="341"/>
      <c r="R47" s="341"/>
      <c r="S47" s="341"/>
      <c r="T47" s="341"/>
      <c r="U47" s="341"/>
      <c r="V47" s="341"/>
      <c r="W47" s="341"/>
      <c r="X47" s="341"/>
      <c r="Y47" s="307"/>
      <c r="Z47" s="366"/>
      <c r="AA47" s="366"/>
    </row>
    <row r="48" spans="1:27">
      <c r="A48" s="339"/>
      <c r="I48" s="309"/>
      <c r="J48" s="309"/>
      <c r="K48" s="309"/>
      <c r="M48" s="341"/>
      <c r="N48" s="341"/>
      <c r="O48" s="341"/>
      <c r="P48" s="341"/>
      <c r="Q48" s="341"/>
      <c r="R48" s="341"/>
      <c r="S48" s="341"/>
      <c r="T48" s="341"/>
      <c r="U48" s="341"/>
      <c r="V48" s="341"/>
      <c r="W48" s="341"/>
      <c r="X48" s="341"/>
      <c r="Y48" s="307"/>
      <c r="Z48" s="366"/>
      <c r="AA48" s="366"/>
    </row>
    <row r="49" spans="1:27">
      <c r="A49" s="339"/>
      <c r="I49" s="309"/>
      <c r="J49" s="309"/>
      <c r="K49" s="309"/>
      <c r="M49" s="341"/>
      <c r="N49" s="341"/>
      <c r="O49" s="341"/>
      <c r="P49" s="341"/>
      <c r="Q49" s="341"/>
      <c r="R49" s="341"/>
      <c r="S49" s="341"/>
      <c r="T49" s="341"/>
      <c r="U49" s="341"/>
      <c r="V49" s="341"/>
      <c r="W49" s="341"/>
      <c r="X49" s="341"/>
      <c r="Y49" s="307"/>
      <c r="Z49" s="366"/>
      <c r="AA49" s="366"/>
    </row>
    <row r="50" spans="1:27">
      <c r="A50" s="339"/>
      <c r="I50" s="309"/>
      <c r="J50" s="309"/>
      <c r="K50" s="309"/>
      <c r="M50" s="341"/>
      <c r="N50" s="341"/>
      <c r="O50" s="341"/>
      <c r="P50" s="341"/>
      <c r="Q50" s="341"/>
      <c r="R50" s="341"/>
      <c r="S50" s="341"/>
      <c r="T50" s="341"/>
      <c r="U50" s="341"/>
      <c r="V50" s="341"/>
      <c r="W50" s="341"/>
      <c r="X50" s="341"/>
      <c r="Y50" s="307"/>
      <c r="Z50" s="366"/>
      <c r="AA50" s="366"/>
    </row>
    <row r="51" spans="1:27">
      <c r="A51" s="339"/>
      <c r="I51" s="309"/>
      <c r="J51" s="309"/>
      <c r="K51" s="309"/>
      <c r="M51" s="341"/>
      <c r="N51" s="341"/>
      <c r="O51" s="341"/>
      <c r="P51" s="341"/>
      <c r="Q51" s="341"/>
      <c r="R51" s="341"/>
      <c r="S51" s="341"/>
      <c r="T51" s="341"/>
      <c r="U51" s="341"/>
      <c r="V51" s="341"/>
      <c r="W51" s="341"/>
      <c r="X51" s="341"/>
      <c r="Y51" s="307"/>
      <c r="Z51" s="366"/>
      <c r="AA51" s="366"/>
    </row>
    <row r="52" spans="1:27">
      <c r="A52" s="339"/>
      <c r="I52" s="309"/>
      <c r="J52" s="309"/>
      <c r="K52" s="309"/>
      <c r="M52" s="341"/>
      <c r="N52" s="341"/>
      <c r="O52" s="341"/>
      <c r="P52" s="341"/>
      <c r="Q52" s="341"/>
      <c r="R52" s="341"/>
      <c r="S52" s="341"/>
      <c r="T52" s="341"/>
      <c r="U52" s="341"/>
      <c r="V52" s="341"/>
      <c r="W52" s="341"/>
      <c r="X52" s="341"/>
      <c r="Y52" s="307"/>
      <c r="Z52" s="366"/>
      <c r="AA52" s="366"/>
    </row>
    <row r="53" spans="1:27">
      <c r="A53" s="339"/>
      <c r="I53" s="309"/>
      <c r="J53" s="309"/>
      <c r="K53" s="309"/>
      <c r="M53" s="341"/>
      <c r="N53" s="341"/>
      <c r="O53" s="341"/>
      <c r="P53" s="341"/>
      <c r="Q53" s="341"/>
      <c r="R53" s="341"/>
      <c r="S53" s="341"/>
      <c r="T53" s="341"/>
      <c r="U53" s="341"/>
      <c r="V53" s="341"/>
      <c r="W53" s="341"/>
      <c r="X53" s="341"/>
      <c r="Y53" s="307"/>
      <c r="Z53" s="366"/>
      <c r="AA53" s="366"/>
    </row>
    <row r="54" spans="1:27">
      <c r="A54" s="339"/>
      <c r="I54" s="309"/>
      <c r="J54" s="309"/>
      <c r="K54" s="309"/>
      <c r="M54" s="341"/>
      <c r="N54" s="341"/>
      <c r="O54" s="341"/>
      <c r="P54" s="341"/>
      <c r="Q54" s="341"/>
      <c r="R54" s="341"/>
      <c r="S54" s="341"/>
      <c r="T54" s="341"/>
      <c r="U54" s="341"/>
      <c r="V54" s="341"/>
      <c r="W54" s="341"/>
      <c r="X54" s="341"/>
      <c r="Y54" s="307"/>
      <c r="Z54" s="366"/>
      <c r="AA54" s="366"/>
    </row>
    <row r="55" spans="1:27">
      <c r="A55" s="339"/>
      <c r="I55" s="309"/>
      <c r="J55" s="309"/>
      <c r="K55" s="309"/>
      <c r="M55" s="341"/>
      <c r="N55" s="341"/>
      <c r="O55" s="341"/>
      <c r="P55" s="341"/>
      <c r="Q55" s="341"/>
      <c r="R55" s="341"/>
      <c r="S55" s="341"/>
      <c r="T55" s="341"/>
      <c r="U55" s="341"/>
      <c r="V55" s="341"/>
      <c r="W55" s="341"/>
      <c r="X55" s="341"/>
      <c r="Y55" s="307"/>
      <c r="Z55" s="366"/>
      <c r="AA55" s="366"/>
    </row>
    <row r="56" spans="1:27">
      <c r="A56" s="339"/>
      <c r="K56" s="309"/>
    </row>
    <row r="57" spans="1:27">
      <c r="A57" s="339"/>
      <c r="K57" s="309"/>
    </row>
    <row r="58" spans="1:27">
      <c r="A58" s="339"/>
      <c r="K58" s="309"/>
    </row>
    <row r="59" spans="1:27">
      <c r="A59" s="339"/>
    </row>
    <row r="60" spans="1:27">
      <c r="A60" s="339"/>
    </row>
    <row r="61" spans="1:27">
      <c r="A61" s="339"/>
    </row>
    <row r="62" spans="1:27">
      <c r="A62" s="339"/>
    </row>
    <row r="63" spans="1:27">
      <c r="A63" s="339"/>
    </row>
    <row r="64" spans="1:27">
      <c r="A64" s="339"/>
    </row>
    <row r="65" spans="1:1">
      <c r="A65" s="339"/>
    </row>
    <row r="66" spans="1:1">
      <c r="A66" s="339"/>
    </row>
    <row r="67" spans="1:1">
      <c r="A67" s="339"/>
    </row>
    <row r="68" spans="1:1">
      <c r="A68" s="339"/>
    </row>
    <row r="69" spans="1:1">
      <c r="A69" s="339"/>
    </row>
    <row r="70" spans="1:1">
      <c r="A70" s="339"/>
    </row>
    <row r="71" spans="1:1">
      <c r="A71" s="339"/>
    </row>
    <row r="72" spans="1:1">
      <c r="A72" s="339"/>
    </row>
    <row r="73" spans="1:1">
      <c r="A73" s="339"/>
    </row>
    <row r="74" spans="1:1">
      <c r="A74" s="339"/>
    </row>
    <row r="75" spans="1:1">
      <c r="A75" s="339"/>
    </row>
    <row r="76" spans="1:1">
      <c r="A76" s="339"/>
    </row>
    <row r="77" spans="1:1">
      <c r="A77" s="339"/>
    </row>
    <row r="78" spans="1:1">
      <c r="A78" s="339"/>
    </row>
    <row r="79" spans="1:1">
      <c r="A79" s="339"/>
    </row>
    <row r="80" spans="1:1">
      <c r="A80" s="339"/>
    </row>
    <row r="81" spans="1:1">
      <c r="A81" s="339"/>
    </row>
    <row r="82" spans="1:1">
      <c r="A82" s="339"/>
    </row>
    <row r="83" spans="1:1">
      <c r="A83" s="339"/>
    </row>
    <row r="84" spans="1:1">
      <c r="A84" s="339"/>
    </row>
    <row r="85" spans="1:1">
      <c r="A85" s="339"/>
    </row>
    <row r="86" spans="1:1">
      <c r="A86" s="339"/>
    </row>
    <row r="87" spans="1:1">
      <c r="A87" s="339"/>
    </row>
    <row r="88" spans="1:1">
      <c r="A88" s="339"/>
    </row>
    <row r="89" spans="1:1">
      <c r="A89" s="339"/>
    </row>
    <row r="90" spans="1:1">
      <c r="A90" s="339"/>
    </row>
    <row r="91" spans="1:1">
      <c r="A91" s="339"/>
    </row>
    <row r="92" spans="1:1">
      <c r="A92" s="339"/>
    </row>
    <row r="93" spans="1:1">
      <c r="A93" s="339"/>
    </row>
    <row r="94" spans="1:1">
      <c r="A94" s="339"/>
    </row>
    <row r="95" spans="1:1">
      <c r="A95" s="339"/>
    </row>
    <row r="96" spans="1:1">
      <c r="A96" s="339"/>
    </row>
    <row r="97" spans="1:1">
      <c r="A97" s="339"/>
    </row>
    <row r="98" spans="1:1">
      <c r="A98" s="339"/>
    </row>
    <row r="99" spans="1:1">
      <c r="A99" s="339"/>
    </row>
    <row r="100" spans="1:1">
      <c r="A100" s="339"/>
    </row>
    <row r="101" spans="1:1">
      <c r="A101" s="339"/>
    </row>
    <row r="102" spans="1:1">
      <c r="A102" s="339"/>
    </row>
    <row r="103" spans="1:1">
      <c r="A103" s="339"/>
    </row>
    <row r="104" spans="1:1">
      <c r="A104" s="339"/>
    </row>
    <row r="105" spans="1:1">
      <c r="A105" s="339"/>
    </row>
    <row r="106" spans="1:1">
      <c r="A106" s="339"/>
    </row>
    <row r="107" spans="1:1">
      <c r="A107" s="339"/>
    </row>
    <row r="108" spans="1:1">
      <c r="A108" s="339"/>
    </row>
    <row r="109" spans="1:1">
      <c r="A109" s="339"/>
    </row>
    <row r="110" spans="1:1">
      <c r="A110" s="339"/>
    </row>
    <row r="111" spans="1:1">
      <c r="A111" s="339"/>
    </row>
    <row r="112" spans="1:1">
      <c r="A112" s="339"/>
    </row>
    <row r="113" spans="1:1">
      <c r="A113" s="339"/>
    </row>
    <row r="114" spans="1:1">
      <c r="A114" s="339"/>
    </row>
    <row r="115" spans="1:1">
      <c r="A115" s="339"/>
    </row>
    <row r="116" spans="1:1">
      <c r="A116" s="339"/>
    </row>
    <row r="117" spans="1:1">
      <c r="A117" s="339"/>
    </row>
    <row r="118" spans="1:1">
      <c r="A118" s="339"/>
    </row>
    <row r="119" spans="1:1">
      <c r="A119" s="339"/>
    </row>
    <row r="120" spans="1:1">
      <c r="A120" s="339"/>
    </row>
    <row r="121" spans="1:1">
      <c r="A121" s="339"/>
    </row>
    <row r="122" spans="1:1">
      <c r="A122" s="339"/>
    </row>
    <row r="123" spans="1:1">
      <c r="A123" s="339"/>
    </row>
    <row r="124" spans="1:1">
      <c r="A124" s="339"/>
    </row>
    <row r="125" spans="1:1">
      <c r="A125" s="339"/>
    </row>
    <row r="126" spans="1:1">
      <c r="A126" s="339"/>
    </row>
    <row r="127" spans="1:1">
      <c r="A127" s="339"/>
    </row>
    <row r="128" spans="1:1">
      <c r="A128" s="339"/>
    </row>
    <row r="129" spans="1:1">
      <c r="A129" s="339"/>
    </row>
    <row r="130" spans="1:1">
      <c r="A130" s="339"/>
    </row>
    <row r="131" spans="1:1">
      <c r="A131" s="339"/>
    </row>
    <row r="132" spans="1:1">
      <c r="A132" s="339"/>
    </row>
    <row r="133" spans="1:1">
      <c r="A133" s="339"/>
    </row>
    <row r="134" spans="1:1">
      <c r="A134" s="339"/>
    </row>
    <row r="135" spans="1:1">
      <c r="A135" s="339"/>
    </row>
    <row r="136" spans="1:1">
      <c r="A136" s="339"/>
    </row>
    <row r="137" spans="1:1">
      <c r="A137" s="339"/>
    </row>
    <row r="138" spans="1:1">
      <c r="A138" s="339"/>
    </row>
    <row r="139" spans="1:1">
      <c r="A139" s="339"/>
    </row>
    <row r="140" spans="1:1">
      <c r="A140" s="339"/>
    </row>
    <row r="141" spans="1:1">
      <c r="A141" s="339"/>
    </row>
    <row r="142" spans="1:1">
      <c r="A142" s="339"/>
    </row>
    <row r="143" spans="1:1">
      <c r="A143" s="339"/>
    </row>
    <row r="144" spans="1:1">
      <c r="A144" s="339"/>
    </row>
    <row r="145" spans="1:1">
      <c r="A145" s="339"/>
    </row>
    <row r="146" spans="1:1">
      <c r="A146" s="339"/>
    </row>
    <row r="147" spans="1:1">
      <c r="A147" s="339"/>
    </row>
    <row r="148" spans="1:1">
      <c r="A148" s="339"/>
    </row>
    <row r="149" spans="1:1">
      <c r="A149" s="339"/>
    </row>
    <row r="150" spans="1:1">
      <c r="A150" s="339"/>
    </row>
    <row r="151" spans="1:1">
      <c r="A151" s="339"/>
    </row>
    <row r="152" spans="1:1">
      <c r="A152" s="339"/>
    </row>
    <row r="153" spans="1:1">
      <c r="A153" s="339"/>
    </row>
    <row r="154" spans="1:1">
      <c r="A154" s="339"/>
    </row>
    <row r="155" spans="1:1">
      <c r="A155" s="339"/>
    </row>
    <row r="156" spans="1:1">
      <c r="A156" s="339"/>
    </row>
    <row r="157" spans="1:1">
      <c r="A157" s="339"/>
    </row>
    <row r="158" spans="1:1">
      <c r="A158" s="339"/>
    </row>
    <row r="159" spans="1:1">
      <c r="A159" s="339"/>
    </row>
    <row r="160" spans="1:1">
      <c r="A160" s="339"/>
    </row>
    <row r="161" spans="1:1">
      <c r="A161" s="339"/>
    </row>
    <row r="162" spans="1:1">
      <c r="A162" s="339"/>
    </row>
    <row r="163" spans="1:1">
      <c r="A163" s="339"/>
    </row>
    <row r="164" spans="1:1">
      <c r="A164" s="339"/>
    </row>
    <row r="165" spans="1:1">
      <c r="A165" s="339"/>
    </row>
    <row r="166" spans="1:1">
      <c r="A166" s="339"/>
    </row>
    <row r="167" spans="1:1">
      <c r="A167" s="339"/>
    </row>
    <row r="168" spans="1:1">
      <c r="A168" s="339"/>
    </row>
    <row r="169" spans="1:1">
      <c r="A169" s="339"/>
    </row>
    <row r="170" spans="1:1">
      <c r="A170" s="339"/>
    </row>
    <row r="171" spans="1:1">
      <c r="A171" s="339"/>
    </row>
    <row r="172" spans="1:1">
      <c r="A172" s="339"/>
    </row>
    <row r="173" spans="1:1">
      <c r="A173" s="339"/>
    </row>
    <row r="174" spans="1:1">
      <c r="A174" s="339"/>
    </row>
    <row r="175" spans="1:1">
      <c r="A175" s="339"/>
    </row>
    <row r="176" spans="1:1">
      <c r="A176" s="339"/>
    </row>
    <row r="177" spans="1:1">
      <c r="A177" s="339"/>
    </row>
    <row r="178" spans="1:1">
      <c r="A178" s="339"/>
    </row>
    <row r="179" spans="1:1">
      <c r="A179" s="339"/>
    </row>
    <row r="180" spans="1:1">
      <c r="A180" s="339"/>
    </row>
    <row r="181" spans="1:1">
      <c r="A181" s="339"/>
    </row>
    <row r="182" spans="1:1">
      <c r="A182" s="339"/>
    </row>
    <row r="183" spans="1:1">
      <c r="A183" s="339"/>
    </row>
    <row r="184" spans="1:1">
      <c r="A184" s="339"/>
    </row>
    <row r="185" spans="1:1">
      <c r="A185" s="339"/>
    </row>
    <row r="186" spans="1:1">
      <c r="A186" s="339"/>
    </row>
    <row r="187" spans="1:1">
      <c r="A187" s="339"/>
    </row>
    <row r="188" spans="1:1">
      <c r="A188" s="339"/>
    </row>
    <row r="189" spans="1:1">
      <c r="A189" s="339"/>
    </row>
    <row r="190" spans="1:1">
      <c r="A190" s="339"/>
    </row>
    <row r="191" spans="1:1">
      <c r="A191" s="339"/>
    </row>
    <row r="192" spans="1:1">
      <c r="A192" s="339"/>
    </row>
    <row r="193" spans="1:1">
      <c r="A193" s="339"/>
    </row>
    <row r="194" spans="1:1">
      <c r="A194" s="339"/>
    </row>
    <row r="195" spans="1:1">
      <c r="A195" s="339"/>
    </row>
    <row r="196" spans="1:1">
      <c r="A196" s="339"/>
    </row>
    <row r="197" spans="1:1">
      <c r="A197" s="339"/>
    </row>
    <row r="198" spans="1:1">
      <c r="A198" s="339"/>
    </row>
    <row r="199" spans="1:1">
      <c r="A199" s="339"/>
    </row>
    <row r="200" spans="1:1">
      <c r="A200" s="339"/>
    </row>
    <row r="201" spans="1:1">
      <c r="A201" s="339"/>
    </row>
    <row r="202" spans="1:1">
      <c r="A202" s="339"/>
    </row>
    <row r="203" spans="1:1">
      <c r="A203" s="339"/>
    </row>
    <row r="204" spans="1:1">
      <c r="A204" s="339"/>
    </row>
    <row r="205" spans="1:1">
      <c r="A205" s="339"/>
    </row>
    <row r="206" spans="1:1">
      <c r="A206" s="339"/>
    </row>
    <row r="207" spans="1:1">
      <c r="A207" s="339"/>
    </row>
    <row r="208" spans="1:1">
      <c r="A208" s="339"/>
    </row>
    <row r="209" spans="1:1">
      <c r="A209" s="339"/>
    </row>
    <row r="210" spans="1:1">
      <c r="A210" s="339"/>
    </row>
    <row r="211" spans="1:1">
      <c r="A211" s="339"/>
    </row>
    <row r="212" spans="1:1">
      <c r="A212" s="339"/>
    </row>
    <row r="213" spans="1:1">
      <c r="A213" s="339"/>
    </row>
    <row r="214" spans="1:1">
      <c r="A214" s="339"/>
    </row>
    <row r="215" spans="1:1">
      <c r="A215" s="339"/>
    </row>
    <row r="216" spans="1:1">
      <c r="A216" s="339"/>
    </row>
    <row r="217" spans="1:1">
      <c r="A217" s="339"/>
    </row>
    <row r="218" spans="1:1">
      <c r="A218" s="339"/>
    </row>
    <row r="219" spans="1:1">
      <c r="A219" s="339"/>
    </row>
    <row r="220" spans="1:1">
      <c r="A220" s="339"/>
    </row>
    <row r="221" spans="1:1">
      <c r="A221" s="339"/>
    </row>
    <row r="222" spans="1:1">
      <c r="A222" s="339"/>
    </row>
    <row r="223" spans="1:1">
      <c r="A223" s="339"/>
    </row>
    <row r="224" spans="1:1">
      <c r="A224" s="339"/>
    </row>
    <row r="225" spans="1:1">
      <c r="A225" s="339"/>
    </row>
    <row r="226" spans="1:1">
      <c r="A226" s="339"/>
    </row>
    <row r="227" spans="1:1">
      <c r="A227" s="339"/>
    </row>
    <row r="228" spans="1:1">
      <c r="A228" s="339"/>
    </row>
    <row r="229" spans="1:1">
      <c r="A229" s="339"/>
    </row>
    <row r="230" spans="1:1">
      <c r="A230" s="339"/>
    </row>
    <row r="231" spans="1:1">
      <c r="A231" s="339"/>
    </row>
    <row r="232" spans="1:1">
      <c r="A232" s="339"/>
    </row>
    <row r="233" spans="1:1">
      <c r="A233" s="339"/>
    </row>
    <row r="234" spans="1:1">
      <c r="A234" s="339"/>
    </row>
    <row r="235" spans="1:1">
      <c r="A235" s="339"/>
    </row>
    <row r="236" spans="1:1">
      <c r="A236" s="339"/>
    </row>
    <row r="237" spans="1:1">
      <c r="A237" s="339"/>
    </row>
    <row r="238" spans="1:1">
      <c r="A238" s="339"/>
    </row>
    <row r="239" spans="1:1">
      <c r="A239" s="339"/>
    </row>
    <row r="240" spans="1:1">
      <c r="A240" s="339"/>
    </row>
    <row r="241" spans="1:1">
      <c r="A241" s="339"/>
    </row>
    <row r="242" spans="1:1">
      <c r="A242" s="339"/>
    </row>
    <row r="243" spans="1:1">
      <c r="A243" s="339"/>
    </row>
    <row r="244" spans="1:1">
      <c r="A244" s="339"/>
    </row>
    <row r="245" spans="1:1">
      <c r="A245" s="339"/>
    </row>
    <row r="246" spans="1:1">
      <c r="A246" s="339"/>
    </row>
    <row r="247" spans="1:1">
      <c r="A247" s="339"/>
    </row>
    <row r="248" spans="1:1">
      <c r="A248" s="339"/>
    </row>
    <row r="249" spans="1:1">
      <c r="A249" s="339"/>
    </row>
    <row r="250" spans="1:1">
      <c r="A250" s="339"/>
    </row>
    <row r="251" spans="1:1">
      <c r="A251" s="339"/>
    </row>
    <row r="252" spans="1:1">
      <c r="A252" s="339"/>
    </row>
    <row r="253" spans="1:1">
      <c r="A253" s="339"/>
    </row>
    <row r="254" spans="1:1">
      <c r="A254" s="339"/>
    </row>
    <row r="255" spans="1:1">
      <c r="A255" s="339"/>
    </row>
    <row r="256" spans="1:1">
      <c r="A256" s="339"/>
    </row>
    <row r="257" spans="1:1">
      <c r="A257" s="339"/>
    </row>
    <row r="258" spans="1:1">
      <c r="A258" s="339"/>
    </row>
    <row r="259" spans="1:1">
      <c r="A259" s="339"/>
    </row>
    <row r="260" spans="1:1">
      <c r="A260" s="339"/>
    </row>
    <row r="261" spans="1:1">
      <c r="A261" s="339"/>
    </row>
    <row r="262" spans="1:1">
      <c r="A262" s="339"/>
    </row>
    <row r="263" spans="1:1">
      <c r="A263" s="339"/>
    </row>
    <row r="264" spans="1:1">
      <c r="A264" s="339"/>
    </row>
    <row r="265" spans="1:1">
      <c r="A265" s="339"/>
    </row>
    <row r="266" spans="1:1">
      <c r="A266" s="339"/>
    </row>
    <row r="267" spans="1:1">
      <c r="A267" s="339"/>
    </row>
    <row r="268" spans="1:1">
      <c r="A268" s="339"/>
    </row>
    <row r="269" spans="1:1">
      <c r="A269" s="339"/>
    </row>
    <row r="270" spans="1:1">
      <c r="A270" s="339"/>
    </row>
    <row r="271" spans="1:1">
      <c r="A271" s="339"/>
    </row>
    <row r="272" spans="1:1">
      <c r="A272" s="339"/>
    </row>
    <row r="273" spans="1:1">
      <c r="A273" s="339"/>
    </row>
    <row r="274" spans="1:1">
      <c r="A274" s="339"/>
    </row>
    <row r="275" spans="1:1">
      <c r="A275" s="339"/>
    </row>
    <row r="276" spans="1:1">
      <c r="A276" s="339"/>
    </row>
    <row r="277" spans="1:1">
      <c r="A277" s="339"/>
    </row>
    <row r="278" spans="1:1">
      <c r="A278" s="339"/>
    </row>
    <row r="279" spans="1:1">
      <c r="A279" s="339"/>
    </row>
    <row r="280" spans="1:1">
      <c r="A280" s="339"/>
    </row>
    <row r="281" spans="1:1">
      <c r="A281" s="339"/>
    </row>
    <row r="282" spans="1:1">
      <c r="A282" s="339"/>
    </row>
    <row r="283" spans="1:1">
      <c r="A283" s="339"/>
    </row>
    <row r="284" spans="1:1">
      <c r="A284" s="339"/>
    </row>
    <row r="285" spans="1:1">
      <c r="A285" s="339"/>
    </row>
    <row r="286" spans="1:1">
      <c r="A286" s="339"/>
    </row>
    <row r="287" spans="1:1">
      <c r="A287" s="339"/>
    </row>
    <row r="288" spans="1:1">
      <c r="A288" s="339"/>
    </row>
    <row r="289" spans="1:1">
      <c r="A289" s="339"/>
    </row>
    <row r="290" spans="1:1">
      <c r="A290" s="339"/>
    </row>
    <row r="291" spans="1:1">
      <c r="A291" s="339"/>
    </row>
    <row r="292" spans="1:1">
      <c r="A292" s="339"/>
    </row>
    <row r="293" spans="1:1">
      <c r="A293" s="339"/>
    </row>
    <row r="294" spans="1:1">
      <c r="A294" s="339"/>
    </row>
    <row r="295" spans="1:1">
      <c r="A295" s="339"/>
    </row>
    <row r="296" spans="1:1">
      <c r="A296" s="339"/>
    </row>
    <row r="297" spans="1:1">
      <c r="A297" s="339"/>
    </row>
    <row r="298" spans="1:1">
      <c r="A298" s="339"/>
    </row>
    <row r="299" spans="1:1">
      <c r="A299" s="339"/>
    </row>
    <row r="300" spans="1:1">
      <c r="A300" s="339"/>
    </row>
    <row r="301" spans="1:1">
      <c r="A301" s="339"/>
    </row>
    <row r="302" spans="1:1">
      <c r="A302" s="339"/>
    </row>
    <row r="303" spans="1:1">
      <c r="A303" s="339"/>
    </row>
    <row r="304" spans="1:1">
      <c r="A304" s="339"/>
    </row>
    <row r="305" spans="1:1">
      <c r="A305" s="339"/>
    </row>
    <row r="306" spans="1:1">
      <c r="A306" s="339"/>
    </row>
    <row r="307" spans="1:1">
      <c r="A307" s="339"/>
    </row>
    <row r="308" spans="1:1">
      <c r="A308" s="339"/>
    </row>
    <row r="309" spans="1:1">
      <c r="A309" s="339"/>
    </row>
    <row r="310" spans="1:1">
      <c r="A310" s="339"/>
    </row>
    <row r="311" spans="1:1">
      <c r="A311" s="339"/>
    </row>
    <row r="312" spans="1:1">
      <c r="A312" s="339"/>
    </row>
    <row r="313" spans="1:1">
      <c r="A313" s="339"/>
    </row>
    <row r="314" spans="1:1">
      <c r="A314" s="339"/>
    </row>
    <row r="315" spans="1:1">
      <c r="A315" s="339"/>
    </row>
    <row r="316" spans="1:1">
      <c r="A316" s="339"/>
    </row>
    <row r="317" spans="1:1">
      <c r="A317" s="339"/>
    </row>
    <row r="318" spans="1:1">
      <c r="A318" s="339"/>
    </row>
    <row r="319" spans="1:1">
      <c r="A319" s="339"/>
    </row>
    <row r="320" spans="1:1">
      <c r="A320" s="339"/>
    </row>
    <row r="321" spans="1:1">
      <c r="A321" s="339"/>
    </row>
    <row r="322" spans="1:1">
      <c r="A322" s="339"/>
    </row>
    <row r="323" spans="1:1">
      <c r="A323" s="339"/>
    </row>
    <row r="324" spans="1:1">
      <c r="A324" s="339"/>
    </row>
    <row r="325" spans="1:1">
      <c r="A325" s="339"/>
    </row>
    <row r="326" spans="1:1">
      <c r="A326" s="339"/>
    </row>
    <row r="327" spans="1:1">
      <c r="A327" s="339"/>
    </row>
    <row r="328" spans="1:1">
      <c r="A328" s="339"/>
    </row>
    <row r="329" spans="1:1">
      <c r="A329" s="339"/>
    </row>
    <row r="330" spans="1:1">
      <c r="A330" s="339"/>
    </row>
    <row r="331" spans="1:1">
      <c r="A331" s="339"/>
    </row>
    <row r="332" spans="1:1">
      <c r="A332" s="339"/>
    </row>
    <row r="333" spans="1:1">
      <c r="A333" s="339"/>
    </row>
    <row r="334" spans="1:1">
      <c r="A334" s="339"/>
    </row>
    <row r="335" spans="1:1">
      <c r="A335" s="339"/>
    </row>
    <row r="336" spans="1:1">
      <c r="A336" s="339"/>
    </row>
    <row r="337" spans="1:1">
      <c r="A337" s="339"/>
    </row>
    <row r="338" spans="1:1">
      <c r="A338" s="339"/>
    </row>
    <row r="339" spans="1:1">
      <c r="A339" s="339"/>
    </row>
    <row r="340" spans="1:1">
      <c r="A340" s="339"/>
    </row>
    <row r="341" spans="1:1">
      <c r="A341" s="339"/>
    </row>
    <row r="342" spans="1:1">
      <c r="A342" s="339"/>
    </row>
    <row r="343" spans="1:1">
      <c r="A343" s="339"/>
    </row>
    <row r="344" spans="1:1">
      <c r="A344" s="339"/>
    </row>
    <row r="345" spans="1:1">
      <c r="A345" s="339"/>
    </row>
    <row r="346" spans="1:1">
      <c r="A346" s="339"/>
    </row>
    <row r="347" spans="1:1">
      <c r="A347" s="339"/>
    </row>
    <row r="348" spans="1:1">
      <c r="A348" s="339"/>
    </row>
    <row r="349" spans="1:1">
      <c r="A349" s="339"/>
    </row>
    <row r="350" spans="1:1">
      <c r="A350" s="339"/>
    </row>
    <row r="351" spans="1:1">
      <c r="A351" s="339"/>
    </row>
    <row r="352" spans="1:1">
      <c r="A352" s="339"/>
    </row>
    <row r="353" spans="1:1">
      <c r="A353" s="339"/>
    </row>
    <row r="354" spans="1:1">
      <c r="A354" s="339"/>
    </row>
    <row r="355" spans="1:1">
      <c r="A355" s="339"/>
    </row>
    <row r="356" spans="1:1">
      <c r="A356" s="339"/>
    </row>
    <row r="357" spans="1:1">
      <c r="A357" s="339"/>
    </row>
    <row r="358" spans="1:1">
      <c r="A358" s="339"/>
    </row>
    <row r="359" spans="1:1">
      <c r="A359" s="339"/>
    </row>
    <row r="360" spans="1:1">
      <c r="A360" s="339"/>
    </row>
    <row r="361" spans="1:1">
      <c r="A361" s="339"/>
    </row>
    <row r="362" spans="1:1">
      <c r="A362" s="339"/>
    </row>
    <row r="363" spans="1:1">
      <c r="A363" s="339"/>
    </row>
    <row r="364" spans="1:1">
      <c r="A364" s="339"/>
    </row>
    <row r="365" spans="1:1">
      <c r="A365" s="339"/>
    </row>
    <row r="366" spans="1:1">
      <c r="A366" s="339"/>
    </row>
    <row r="367" spans="1:1">
      <c r="A367" s="339"/>
    </row>
    <row r="368" spans="1:1">
      <c r="A368" s="339"/>
    </row>
    <row r="369" spans="1:1">
      <c r="A369" s="339"/>
    </row>
    <row r="370" spans="1:1">
      <c r="A370" s="339"/>
    </row>
    <row r="371" spans="1:1">
      <c r="A371" s="339"/>
    </row>
    <row r="372" spans="1:1">
      <c r="A372" s="339"/>
    </row>
    <row r="373" spans="1:1">
      <c r="A373" s="339"/>
    </row>
    <row r="374" spans="1:1">
      <c r="A374" s="339"/>
    </row>
    <row r="375" spans="1:1">
      <c r="A375" s="339"/>
    </row>
    <row r="376" spans="1:1">
      <c r="A376" s="339"/>
    </row>
    <row r="377" spans="1:1">
      <c r="A377" s="339"/>
    </row>
    <row r="378" spans="1:1">
      <c r="A378" s="339"/>
    </row>
    <row r="379" spans="1:1">
      <c r="A379" s="339"/>
    </row>
    <row r="380" spans="1:1">
      <c r="A380" s="339"/>
    </row>
    <row r="381" spans="1:1">
      <c r="A381" s="339"/>
    </row>
    <row r="382" spans="1:1">
      <c r="A382" s="339"/>
    </row>
    <row r="383" spans="1:1">
      <c r="A383" s="339"/>
    </row>
    <row r="384" spans="1:1">
      <c r="A384" s="339"/>
    </row>
    <row r="385" spans="1:1">
      <c r="A385" s="339"/>
    </row>
    <row r="386" spans="1:1">
      <c r="A386" s="339"/>
    </row>
    <row r="387" spans="1:1">
      <c r="A387" s="339"/>
    </row>
    <row r="388" spans="1:1">
      <c r="A388" s="339"/>
    </row>
    <row r="389" spans="1:1">
      <c r="A389" s="339"/>
    </row>
    <row r="390" spans="1:1">
      <c r="A390" s="339"/>
    </row>
    <row r="391" spans="1:1">
      <c r="A391" s="339"/>
    </row>
    <row r="392" spans="1:1">
      <c r="A392" s="339"/>
    </row>
    <row r="393" spans="1:1">
      <c r="A393" s="339"/>
    </row>
    <row r="394" spans="1:1">
      <c r="A394" s="339"/>
    </row>
    <row r="395" spans="1:1">
      <c r="A395" s="339"/>
    </row>
    <row r="396" spans="1:1">
      <c r="A396" s="339"/>
    </row>
    <row r="397" spans="1:1">
      <c r="A397" s="339"/>
    </row>
    <row r="398" spans="1:1">
      <c r="A398" s="339"/>
    </row>
    <row r="399" spans="1:1">
      <c r="A399" s="339"/>
    </row>
    <row r="400" spans="1:1">
      <c r="A400" s="339"/>
    </row>
    <row r="401" spans="1:1">
      <c r="A401" s="339"/>
    </row>
    <row r="402" spans="1:1">
      <c r="A402" s="339"/>
    </row>
    <row r="403" spans="1:1">
      <c r="A403" s="339"/>
    </row>
    <row r="404" spans="1:1">
      <c r="A404" s="339"/>
    </row>
    <row r="405" spans="1:1">
      <c r="A405" s="339"/>
    </row>
    <row r="406" spans="1:1">
      <c r="A406" s="339"/>
    </row>
    <row r="407" spans="1:1">
      <c r="A407" s="339"/>
    </row>
    <row r="408" spans="1:1">
      <c r="A408" s="339"/>
    </row>
    <row r="409" spans="1:1">
      <c r="A409" s="339"/>
    </row>
    <row r="410" spans="1:1">
      <c r="A410" s="339"/>
    </row>
    <row r="411" spans="1:1">
      <c r="A411" s="339"/>
    </row>
    <row r="412" spans="1:1">
      <c r="A412" s="339"/>
    </row>
    <row r="413" spans="1:1">
      <c r="A413" s="339"/>
    </row>
    <row r="414" spans="1:1">
      <c r="A414" s="339"/>
    </row>
    <row r="415" spans="1:1">
      <c r="A415" s="339"/>
    </row>
    <row r="416" spans="1:1">
      <c r="A416" s="339"/>
    </row>
    <row r="417" spans="1:1">
      <c r="A417" s="339"/>
    </row>
    <row r="418" spans="1:1">
      <c r="A418" s="339"/>
    </row>
    <row r="419" spans="1:1">
      <c r="A419" s="339"/>
    </row>
    <row r="420" spans="1:1">
      <c r="A420" s="339"/>
    </row>
    <row r="421" spans="1:1">
      <c r="A421" s="339"/>
    </row>
    <row r="422" spans="1:1">
      <c r="A422" s="339"/>
    </row>
    <row r="423" spans="1:1">
      <c r="A423" s="339"/>
    </row>
    <row r="424" spans="1:1">
      <c r="A424" s="339"/>
    </row>
    <row r="425" spans="1:1">
      <c r="A425" s="339"/>
    </row>
    <row r="426" spans="1:1">
      <c r="A426" s="339"/>
    </row>
    <row r="427" spans="1:1">
      <c r="A427" s="339"/>
    </row>
    <row r="428" spans="1:1">
      <c r="A428" s="339"/>
    </row>
    <row r="429" spans="1:1">
      <c r="A429" s="339"/>
    </row>
    <row r="430" spans="1:1">
      <c r="A430" s="339"/>
    </row>
    <row r="431" spans="1:1">
      <c r="A431" s="339"/>
    </row>
    <row r="432" spans="1:1">
      <c r="A432" s="339"/>
    </row>
    <row r="433" spans="1:1">
      <c r="A433" s="339"/>
    </row>
    <row r="434" spans="1:1">
      <c r="A434" s="339"/>
    </row>
    <row r="435" spans="1:1">
      <c r="A435" s="339"/>
    </row>
    <row r="436" spans="1:1">
      <c r="A436" s="339"/>
    </row>
    <row r="437" spans="1:1">
      <c r="A437" s="339"/>
    </row>
    <row r="438" spans="1:1">
      <c r="A438" s="339"/>
    </row>
    <row r="439" spans="1:1">
      <c r="A439" s="339"/>
    </row>
    <row r="440" spans="1:1">
      <c r="A440" s="339"/>
    </row>
    <row r="441" spans="1:1">
      <c r="A441" s="339"/>
    </row>
    <row r="442" spans="1:1">
      <c r="A442" s="339"/>
    </row>
    <row r="443" spans="1:1">
      <c r="A443" s="339"/>
    </row>
    <row r="444" spans="1:1">
      <c r="A444" s="339"/>
    </row>
    <row r="445" spans="1:1">
      <c r="A445" s="339"/>
    </row>
    <row r="446" spans="1:1">
      <c r="A446" s="339"/>
    </row>
    <row r="447" spans="1:1">
      <c r="A447" s="339"/>
    </row>
    <row r="448" spans="1:1">
      <c r="A448" s="339"/>
    </row>
    <row r="449" spans="1:1">
      <c r="A449" s="339"/>
    </row>
    <row r="450" spans="1:1">
      <c r="A450" s="339"/>
    </row>
    <row r="451" spans="1:1">
      <c r="A451" s="339"/>
    </row>
    <row r="452" spans="1:1">
      <c r="A452" s="339"/>
    </row>
    <row r="453" spans="1:1">
      <c r="A453" s="339"/>
    </row>
    <row r="454" spans="1:1">
      <c r="A454" s="339"/>
    </row>
    <row r="455" spans="1:1">
      <c r="A455" s="339"/>
    </row>
    <row r="456" spans="1:1">
      <c r="A456" s="339"/>
    </row>
    <row r="457" spans="1:1">
      <c r="A457" s="339"/>
    </row>
    <row r="458" spans="1:1">
      <c r="A458" s="339"/>
    </row>
    <row r="459" spans="1:1">
      <c r="A459" s="339"/>
    </row>
    <row r="460" spans="1:1">
      <c r="A460" s="339"/>
    </row>
    <row r="461" spans="1:1">
      <c r="A461" s="339"/>
    </row>
    <row r="462" spans="1:1">
      <c r="A462" s="339"/>
    </row>
    <row r="463" spans="1:1">
      <c r="A463" s="339"/>
    </row>
    <row r="464" spans="1:1">
      <c r="A464" s="339"/>
    </row>
    <row r="465" spans="1:1">
      <c r="A465" s="339"/>
    </row>
    <row r="466" spans="1:1">
      <c r="A466" s="339"/>
    </row>
    <row r="467" spans="1:1">
      <c r="A467" s="339"/>
    </row>
    <row r="468" spans="1:1">
      <c r="A468" s="339"/>
    </row>
    <row r="469" spans="1:1">
      <c r="A469" s="339"/>
    </row>
    <row r="470" spans="1:1">
      <c r="A470" s="339"/>
    </row>
    <row r="471" spans="1:1">
      <c r="A471" s="339"/>
    </row>
    <row r="472" spans="1:1">
      <c r="A472" s="339"/>
    </row>
    <row r="473" spans="1:1">
      <c r="A473" s="339"/>
    </row>
    <row r="474" spans="1:1">
      <c r="A474" s="339"/>
    </row>
    <row r="475" spans="1:1">
      <c r="A475" s="339"/>
    </row>
    <row r="476" spans="1:1">
      <c r="A476" s="339"/>
    </row>
    <row r="477" spans="1:1">
      <c r="A477" s="339"/>
    </row>
    <row r="478" spans="1:1">
      <c r="A478" s="339"/>
    </row>
    <row r="479" spans="1:1">
      <c r="A479" s="339"/>
    </row>
    <row r="480" spans="1:1">
      <c r="A480" s="339"/>
    </row>
    <row r="481" spans="1:1">
      <c r="A481" s="339"/>
    </row>
    <row r="482" spans="1:1">
      <c r="A482" s="339"/>
    </row>
    <row r="483" spans="1:1">
      <c r="A483" s="339"/>
    </row>
    <row r="484" spans="1:1">
      <c r="A484" s="339"/>
    </row>
    <row r="485" spans="1:1">
      <c r="A485" s="339"/>
    </row>
    <row r="486" spans="1:1">
      <c r="A486" s="339"/>
    </row>
    <row r="487" spans="1:1">
      <c r="A487" s="339"/>
    </row>
    <row r="488" spans="1:1">
      <c r="A488" s="339"/>
    </row>
    <row r="489" spans="1:1">
      <c r="A489" s="339"/>
    </row>
    <row r="490" spans="1:1">
      <c r="A490" s="339"/>
    </row>
    <row r="491" spans="1:1">
      <c r="A491" s="339"/>
    </row>
    <row r="492" spans="1:1">
      <c r="A492" s="339"/>
    </row>
    <row r="493" spans="1:1">
      <c r="A493" s="339"/>
    </row>
    <row r="494" spans="1:1">
      <c r="A494" s="339"/>
    </row>
    <row r="495" spans="1:1">
      <c r="A495" s="339"/>
    </row>
    <row r="496" spans="1:1">
      <c r="A496" s="339"/>
    </row>
    <row r="497" spans="1:1">
      <c r="A497" s="339"/>
    </row>
    <row r="498" spans="1:1">
      <c r="A498" s="339"/>
    </row>
    <row r="499" spans="1:1">
      <c r="A499" s="339"/>
    </row>
    <row r="500" spans="1:1">
      <c r="A500" s="339"/>
    </row>
    <row r="501" spans="1:1">
      <c r="A501" s="339"/>
    </row>
    <row r="502" spans="1:1">
      <c r="A502" s="339"/>
    </row>
    <row r="503" spans="1:1">
      <c r="A503" s="339"/>
    </row>
    <row r="504" spans="1:1">
      <c r="A504" s="339"/>
    </row>
    <row r="505" spans="1:1">
      <c r="A505" s="339"/>
    </row>
    <row r="506" spans="1:1">
      <c r="A506" s="339"/>
    </row>
    <row r="507" spans="1:1">
      <c r="A507" s="339"/>
    </row>
    <row r="508" spans="1:1">
      <c r="A508" s="339"/>
    </row>
    <row r="509" spans="1:1">
      <c r="A509" s="339"/>
    </row>
    <row r="510" spans="1:1">
      <c r="A510" s="339"/>
    </row>
    <row r="511" spans="1:1">
      <c r="A511" s="339"/>
    </row>
    <row r="512" spans="1:1">
      <c r="A512" s="339"/>
    </row>
    <row r="513" spans="1:1">
      <c r="A513" s="339"/>
    </row>
    <row r="514" spans="1:1">
      <c r="A514" s="339"/>
    </row>
    <row r="515" spans="1:1">
      <c r="A515" s="339"/>
    </row>
    <row r="516" spans="1:1">
      <c r="A516" s="339"/>
    </row>
    <row r="517" spans="1:1">
      <c r="A517" s="339"/>
    </row>
    <row r="518" spans="1:1">
      <c r="A518" s="339"/>
    </row>
    <row r="519" spans="1:1">
      <c r="A519" s="339"/>
    </row>
    <row r="520" spans="1:1">
      <c r="A520" s="339"/>
    </row>
    <row r="521" spans="1:1">
      <c r="A521" s="339"/>
    </row>
    <row r="522" spans="1:1">
      <c r="A522" s="339"/>
    </row>
    <row r="523" spans="1:1">
      <c r="A523" s="339"/>
    </row>
    <row r="524" spans="1:1">
      <c r="A524" s="339"/>
    </row>
    <row r="525" spans="1:1">
      <c r="A525" s="339"/>
    </row>
    <row r="526" spans="1:1">
      <c r="A526" s="339"/>
    </row>
    <row r="527" spans="1:1">
      <c r="A527" s="339"/>
    </row>
    <row r="528" spans="1:1">
      <c r="A528" s="339"/>
    </row>
    <row r="529" spans="1:1">
      <c r="A529" s="339"/>
    </row>
    <row r="530" spans="1:1">
      <c r="A530" s="339"/>
    </row>
    <row r="531" spans="1:1">
      <c r="A531" s="339"/>
    </row>
    <row r="532" spans="1:1">
      <c r="A532" s="339"/>
    </row>
    <row r="533" spans="1:1">
      <c r="A533" s="339"/>
    </row>
    <row r="534" spans="1:1">
      <c r="A534" s="339"/>
    </row>
    <row r="535" spans="1:1">
      <c r="A535" s="339"/>
    </row>
    <row r="536" spans="1:1">
      <c r="A536" s="339"/>
    </row>
    <row r="537" spans="1:1">
      <c r="A537" s="339"/>
    </row>
    <row r="538" spans="1:1">
      <c r="A538" s="339"/>
    </row>
    <row r="539" spans="1:1">
      <c r="A539" s="339"/>
    </row>
    <row r="540" spans="1:1">
      <c r="A540" s="339"/>
    </row>
    <row r="541" spans="1:1">
      <c r="A541" s="339"/>
    </row>
    <row r="542" spans="1:1">
      <c r="A542" s="339"/>
    </row>
    <row r="543" spans="1:1">
      <c r="A543" s="339"/>
    </row>
    <row r="544" spans="1:1">
      <c r="A544" s="339"/>
    </row>
    <row r="545" spans="1:1">
      <c r="A545" s="339"/>
    </row>
    <row r="546" spans="1:1">
      <c r="A546" s="339"/>
    </row>
    <row r="547" spans="1:1">
      <c r="A547" s="339"/>
    </row>
    <row r="548" spans="1:1">
      <c r="A548" s="339"/>
    </row>
    <row r="549" spans="1:1">
      <c r="A549" s="339"/>
    </row>
    <row r="550" spans="1:1">
      <c r="A550" s="339"/>
    </row>
    <row r="551" spans="1:1">
      <c r="A551" s="339"/>
    </row>
    <row r="552" spans="1:1">
      <c r="A552" s="339"/>
    </row>
    <row r="553" spans="1:1">
      <c r="A553" s="339"/>
    </row>
    <row r="554" spans="1:1">
      <c r="A554" s="339"/>
    </row>
    <row r="555" spans="1:1">
      <c r="A555" s="339"/>
    </row>
    <row r="556" spans="1:1">
      <c r="A556" s="339"/>
    </row>
    <row r="557" spans="1:1">
      <c r="A557" s="339"/>
    </row>
    <row r="558" spans="1:1">
      <c r="A558" s="339"/>
    </row>
    <row r="559" spans="1:1">
      <c r="A559" s="339"/>
    </row>
    <row r="560" spans="1:1">
      <c r="A560" s="339"/>
    </row>
    <row r="561" spans="1:1">
      <c r="A561" s="339"/>
    </row>
    <row r="562" spans="1:1">
      <c r="A562" s="339"/>
    </row>
    <row r="563" spans="1:1">
      <c r="A563" s="339"/>
    </row>
    <row r="564" spans="1:1">
      <c r="A564" s="339"/>
    </row>
    <row r="565" spans="1:1">
      <c r="A565" s="339"/>
    </row>
    <row r="566" spans="1:1">
      <c r="A566" s="339"/>
    </row>
    <row r="567" spans="1:1">
      <c r="A567" s="339"/>
    </row>
    <row r="568" spans="1:1">
      <c r="A568" s="339"/>
    </row>
    <row r="569" spans="1:1">
      <c r="A569" s="339"/>
    </row>
    <row r="570" spans="1:1">
      <c r="A570" s="339"/>
    </row>
    <row r="571" spans="1:1">
      <c r="A571" s="339"/>
    </row>
    <row r="572" spans="1:1">
      <c r="A572" s="339"/>
    </row>
    <row r="573" spans="1:1">
      <c r="A573" s="339"/>
    </row>
    <row r="574" spans="1:1">
      <c r="A574" s="339"/>
    </row>
    <row r="575" spans="1:1">
      <c r="A575" s="339"/>
    </row>
    <row r="576" spans="1:1">
      <c r="A576" s="339"/>
    </row>
    <row r="577" spans="1:1">
      <c r="A577" s="339"/>
    </row>
    <row r="578" spans="1:1">
      <c r="A578" s="339"/>
    </row>
    <row r="579" spans="1:1">
      <c r="A579" s="339"/>
    </row>
    <row r="580" spans="1:1">
      <c r="A580" s="339"/>
    </row>
    <row r="581" spans="1:1">
      <c r="A581" s="339"/>
    </row>
    <row r="582" spans="1:1">
      <c r="A582" s="339"/>
    </row>
    <row r="583" spans="1:1">
      <c r="A583" s="339"/>
    </row>
    <row r="584" spans="1:1">
      <c r="A584" s="339"/>
    </row>
    <row r="585" spans="1:1">
      <c r="A585" s="339"/>
    </row>
    <row r="586" spans="1:1">
      <c r="A586" s="339"/>
    </row>
    <row r="587" spans="1:1">
      <c r="A587" s="339"/>
    </row>
    <row r="588" spans="1:1">
      <c r="A588" s="339"/>
    </row>
    <row r="589" spans="1:1">
      <c r="A589" s="339"/>
    </row>
    <row r="590" spans="1:1">
      <c r="A590" s="339"/>
    </row>
    <row r="591" spans="1:1">
      <c r="A591" s="339"/>
    </row>
    <row r="592" spans="1:1">
      <c r="A592" s="339"/>
    </row>
    <row r="593" spans="1:1">
      <c r="A593" s="339"/>
    </row>
    <row r="594" spans="1:1">
      <c r="A594" s="339"/>
    </row>
    <row r="595" spans="1:1">
      <c r="A595" s="339"/>
    </row>
    <row r="596" spans="1:1">
      <c r="A596" s="339"/>
    </row>
    <row r="597" spans="1:1">
      <c r="A597" s="339"/>
    </row>
    <row r="598" spans="1:1">
      <c r="A598" s="339"/>
    </row>
    <row r="599" spans="1:1">
      <c r="A599" s="339"/>
    </row>
    <row r="600" spans="1:1">
      <c r="A600" s="339"/>
    </row>
    <row r="601" spans="1:1">
      <c r="A601" s="339"/>
    </row>
    <row r="602" spans="1:1">
      <c r="A602" s="339"/>
    </row>
    <row r="603" spans="1:1">
      <c r="A603" s="339"/>
    </row>
    <row r="604" spans="1:1">
      <c r="A604" s="339"/>
    </row>
    <row r="605" spans="1:1">
      <c r="A605" s="339"/>
    </row>
    <row r="606" spans="1:1">
      <c r="A606" s="339"/>
    </row>
    <row r="607" spans="1:1">
      <c r="A607" s="339"/>
    </row>
    <row r="608" spans="1:1">
      <c r="A608" s="339"/>
    </row>
    <row r="609" spans="1:1">
      <c r="A609" s="339"/>
    </row>
    <row r="610" spans="1:1">
      <c r="A610" s="339"/>
    </row>
    <row r="611" spans="1:1">
      <c r="A611" s="339"/>
    </row>
    <row r="612" spans="1:1">
      <c r="A612" s="339"/>
    </row>
    <row r="613" spans="1:1">
      <c r="A613" s="339"/>
    </row>
    <row r="614" spans="1:1">
      <c r="A614" s="339"/>
    </row>
    <row r="615" spans="1:1">
      <c r="A615" s="339"/>
    </row>
    <row r="616" spans="1:1">
      <c r="A616" s="339"/>
    </row>
    <row r="617" spans="1:1">
      <c r="A617" s="339"/>
    </row>
    <row r="618" spans="1:1">
      <c r="A618" s="339"/>
    </row>
    <row r="619" spans="1:1">
      <c r="A619" s="339"/>
    </row>
    <row r="620" spans="1:1">
      <c r="A620" s="339"/>
    </row>
    <row r="621" spans="1:1">
      <c r="A621" s="339"/>
    </row>
    <row r="622" spans="1:1">
      <c r="A622" s="339"/>
    </row>
    <row r="623" spans="1:1">
      <c r="A623" s="339"/>
    </row>
    <row r="624" spans="1:1">
      <c r="A624" s="339"/>
    </row>
    <row r="625" spans="1:1">
      <c r="A625" s="339"/>
    </row>
    <row r="626" spans="1:1">
      <c r="A626" s="339"/>
    </row>
    <row r="627" spans="1:1">
      <c r="A627" s="339"/>
    </row>
    <row r="628" spans="1:1">
      <c r="A628" s="339"/>
    </row>
    <row r="629" spans="1:1">
      <c r="A629" s="339"/>
    </row>
    <row r="630" spans="1:1">
      <c r="A630" s="339"/>
    </row>
    <row r="631" spans="1:1">
      <c r="A631" s="339"/>
    </row>
    <row r="632" spans="1:1">
      <c r="A632" s="339"/>
    </row>
    <row r="633" spans="1:1">
      <c r="A633" s="339"/>
    </row>
    <row r="634" spans="1:1">
      <c r="A634" s="339"/>
    </row>
    <row r="635" spans="1:1">
      <c r="A635" s="339"/>
    </row>
    <row r="636" spans="1:1">
      <c r="A636" s="339"/>
    </row>
    <row r="637" spans="1:1">
      <c r="A637" s="339"/>
    </row>
    <row r="638" spans="1:1">
      <c r="A638" s="339"/>
    </row>
    <row r="639" spans="1:1">
      <c r="A639" s="339"/>
    </row>
    <row r="640" spans="1:1">
      <c r="A640" s="339"/>
    </row>
    <row r="641" spans="1:1">
      <c r="A641" s="339"/>
    </row>
    <row r="642" spans="1:1">
      <c r="A642" s="339"/>
    </row>
    <row r="643" spans="1:1">
      <c r="A643" s="339"/>
    </row>
    <row r="644" spans="1:1">
      <c r="A644" s="339"/>
    </row>
    <row r="645" spans="1:1">
      <c r="A645" s="339"/>
    </row>
    <row r="646" spans="1:1">
      <c r="A646" s="339"/>
    </row>
    <row r="647" spans="1:1">
      <c r="A647" s="339"/>
    </row>
    <row r="648" spans="1:1">
      <c r="A648" s="339"/>
    </row>
    <row r="649" spans="1:1">
      <c r="A649" s="339"/>
    </row>
    <row r="650" spans="1:1">
      <c r="A650" s="339"/>
    </row>
    <row r="651" spans="1:1">
      <c r="A651" s="339"/>
    </row>
    <row r="652" spans="1:1">
      <c r="A652" s="339"/>
    </row>
    <row r="653" spans="1:1">
      <c r="A653" s="339"/>
    </row>
    <row r="654" spans="1:1">
      <c r="A654" s="339"/>
    </row>
    <row r="655" spans="1:1">
      <c r="A655" s="339"/>
    </row>
    <row r="656" spans="1:1">
      <c r="A656" s="339"/>
    </row>
    <row r="657" spans="1:1">
      <c r="A657" s="339"/>
    </row>
    <row r="658" spans="1:1">
      <c r="A658" s="339"/>
    </row>
    <row r="659" spans="1:1">
      <c r="A659" s="339"/>
    </row>
    <row r="660" spans="1:1">
      <c r="A660" s="339"/>
    </row>
    <row r="661" spans="1:1">
      <c r="A661" s="339"/>
    </row>
    <row r="662" spans="1:1">
      <c r="A662" s="339"/>
    </row>
    <row r="663" spans="1:1">
      <c r="A663" s="339"/>
    </row>
    <row r="664" spans="1:1">
      <c r="A664" s="339"/>
    </row>
    <row r="665" spans="1:1">
      <c r="A665" s="339"/>
    </row>
    <row r="666" spans="1:1">
      <c r="A666" s="339"/>
    </row>
    <row r="667" spans="1:1">
      <c r="A667" s="339"/>
    </row>
    <row r="668" spans="1:1">
      <c r="A668" s="339"/>
    </row>
    <row r="669" spans="1:1">
      <c r="A669" s="339"/>
    </row>
    <row r="670" spans="1:1">
      <c r="A670" s="339"/>
    </row>
    <row r="671" spans="1:1">
      <c r="A671" s="339"/>
    </row>
    <row r="672" spans="1:1">
      <c r="A672" s="339"/>
    </row>
    <row r="673" spans="1:1">
      <c r="A673" s="339"/>
    </row>
    <row r="674" spans="1:1">
      <c r="A674" s="339"/>
    </row>
    <row r="675" spans="1:1">
      <c r="A675" s="339"/>
    </row>
    <row r="676" spans="1:1">
      <c r="A676" s="339"/>
    </row>
    <row r="677" spans="1:1">
      <c r="A677" s="339"/>
    </row>
    <row r="678" spans="1:1">
      <c r="A678" s="339"/>
    </row>
    <row r="679" spans="1:1">
      <c r="A679" s="339"/>
    </row>
    <row r="680" spans="1:1">
      <c r="A680" s="339"/>
    </row>
    <row r="681" spans="1:1">
      <c r="A681" s="339"/>
    </row>
    <row r="682" spans="1:1">
      <c r="A682" s="339"/>
    </row>
    <row r="683" spans="1:1">
      <c r="A683" s="339"/>
    </row>
    <row r="684" spans="1:1">
      <c r="A684" s="339"/>
    </row>
    <row r="685" spans="1:1">
      <c r="A685" s="339"/>
    </row>
    <row r="686" spans="1:1">
      <c r="A686" s="339"/>
    </row>
    <row r="687" spans="1:1">
      <c r="A687" s="339"/>
    </row>
    <row r="688" spans="1:1">
      <c r="A688" s="339"/>
    </row>
    <row r="689" spans="1:1">
      <c r="A689" s="339"/>
    </row>
    <row r="690" spans="1:1">
      <c r="A690" s="339"/>
    </row>
    <row r="691" spans="1:1">
      <c r="A691" s="339"/>
    </row>
    <row r="692" spans="1:1">
      <c r="A692" s="339"/>
    </row>
    <row r="693" spans="1:1">
      <c r="A693" s="339"/>
    </row>
    <row r="694" spans="1:1">
      <c r="A694" s="339"/>
    </row>
    <row r="695" spans="1:1">
      <c r="A695" s="339"/>
    </row>
    <row r="696" spans="1:1">
      <c r="A696" s="339"/>
    </row>
    <row r="697" spans="1:1">
      <c r="A697" s="339"/>
    </row>
    <row r="698" spans="1:1">
      <c r="A698" s="339"/>
    </row>
    <row r="699" spans="1:1">
      <c r="A699" s="339"/>
    </row>
    <row r="700" spans="1:1">
      <c r="A700" s="339"/>
    </row>
    <row r="701" spans="1:1">
      <c r="A701" s="339"/>
    </row>
    <row r="702" spans="1:1">
      <c r="A702" s="339"/>
    </row>
    <row r="703" spans="1:1">
      <c r="A703" s="339"/>
    </row>
    <row r="704" spans="1:1">
      <c r="A704" s="339"/>
    </row>
    <row r="705" spans="1:1">
      <c r="A705" s="339"/>
    </row>
    <row r="706" spans="1:1">
      <c r="A706" s="339"/>
    </row>
    <row r="707" spans="1:1">
      <c r="A707" s="339"/>
    </row>
    <row r="708" spans="1:1">
      <c r="A708" s="339"/>
    </row>
    <row r="709" spans="1:1">
      <c r="A709" s="339"/>
    </row>
    <row r="710" spans="1:1">
      <c r="A710" s="339"/>
    </row>
    <row r="711" spans="1:1">
      <c r="A711" s="339"/>
    </row>
    <row r="712" spans="1:1">
      <c r="A712" s="339"/>
    </row>
    <row r="713" spans="1:1">
      <c r="A713" s="339"/>
    </row>
    <row r="714" spans="1:1">
      <c r="A714" s="339"/>
    </row>
    <row r="715" spans="1:1">
      <c r="A715" s="339"/>
    </row>
    <row r="716" spans="1:1">
      <c r="A716" s="339"/>
    </row>
    <row r="717" spans="1:1">
      <c r="A717" s="339"/>
    </row>
    <row r="718" spans="1:1">
      <c r="A718" s="339"/>
    </row>
    <row r="719" spans="1:1">
      <c r="A719" s="339"/>
    </row>
    <row r="720" spans="1:1">
      <c r="A720" s="339"/>
    </row>
    <row r="721" spans="1:1">
      <c r="A721" s="339"/>
    </row>
    <row r="722" spans="1:1">
      <c r="A722" s="339"/>
    </row>
    <row r="723" spans="1:1">
      <c r="A723" s="339"/>
    </row>
    <row r="724" spans="1:1">
      <c r="A724" s="339"/>
    </row>
    <row r="725" spans="1:1">
      <c r="A725" s="339"/>
    </row>
    <row r="726" spans="1:1">
      <c r="A726" s="339"/>
    </row>
    <row r="727" spans="1:1">
      <c r="A727" s="339"/>
    </row>
    <row r="728" spans="1:1">
      <c r="A728" s="339"/>
    </row>
    <row r="729" spans="1:1">
      <c r="A729" s="339"/>
    </row>
    <row r="730" spans="1:1">
      <c r="A730" s="339"/>
    </row>
    <row r="731" spans="1:1">
      <c r="A731" s="339"/>
    </row>
    <row r="732" spans="1:1">
      <c r="A732" s="339"/>
    </row>
    <row r="733" spans="1:1">
      <c r="A733" s="339"/>
    </row>
    <row r="734" spans="1:1">
      <c r="A734" s="339"/>
    </row>
    <row r="735" spans="1:1">
      <c r="A735" s="339"/>
    </row>
    <row r="736" spans="1:1">
      <c r="A736" s="339"/>
    </row>
    <row r="737" spans="1:1">
      <c r="A737" s="339"/>
    </row>
    <row r="738" spans="1:1">
      <c r="A738" s="339"/>
    </row>
    <row r="739" spans="1:1">
      <c r="A739" s="339"/>
    </row>
    <row r="740" spans="1:1">
      <c r="A740" s="339"/>
    </row>
    <row r="741" spans="1:1">
      <c r="A741" s="339"/>
    </row>
    <row r="742" spans="1:1">
      <c r="A742" s="339"/>
    </row>
    <row r="743" spans="1:1">
      <c r="A743" s="339"/>
    </row>
    <row r="744" spans="1:1">
      <c r="A744" s="339"/>
    </row>
    <row r="745" spans="1:1">
      <c r="A745" s="339"/>
    </row>
    <row r="746" spans="1:1">
      <c r="A746" s="339"/>
    </row>
    <row r="747" spans="1:1">
      <c r="A747" s="339"/>
    </row>
    <row r="748" spans="1:1">
      <c r="A748" s="339"/>
    </row>
    <row r="749" spans="1:1">
      <c r="A749" s="339"/>
    </row>
    <row r="750" spans="1:1">
      <c r="A750" s="339"/>
    </row>
    <row r="751" spans="1:1">
      <c r="A751" s="339"/>
    </row>
    <row r="752" spans="1:1">
      <c r="A752" s="339"/>
    </row>
    <row r="753" spans="1:1">
      <c r="A753" s="339"/>
    </row>
    <row r="754" spans="1:1">
      <c r="A754" s="339"/>
    </row>
    <row r="755" spans="1:1">
      <c r="A755" s="339"/>
    </row>
    <row r="756" spans="1:1">
      <c r="A756" s="339"/>
    </row>
    <row r="757" spans="1:1">
      <c r="A757" s="339"/>
    </row>
    <row r="758" spans="1:1">
      <c r="A758" s="339"/>
    </row>
    <row r="759" spans="1:1">
      <c r="A759" s="339"/>
    </row>
    <row r="760" spans="1:1">
      <c r="A760" s="339"/>
    </row>
    <row r="761" spans="1:1">
      <c r="A761" s="339"/>
    </row>
    <row r="762" spans="1:1">
      <c r="A762" s="339"/>
    </row>
    <row r="763" spans="1:1">
      <c r="A763" s="339"/>
    </row>
    <row r="764" spans="1:1">
      <c r="A764" s="339"/>
    </row>
    <row r="765" spans="1:1">
      <c r="A765" s="339"/>
    </row>
    <row r="766" spans="1:1">
      <c r="A766" s="339"/>
    </row>
    <row r="767" spans="1:1">
      <c r="A767" s="339"/>
    </row>
    <row r="768" spans="1:1">
      <c r="A768" s="339"/>
    </row>
    <row r="769" spans="1:1">
      <c r="A769" s="339"/>
    </row>
    <row r="770" spans="1:1">
      <c r="A770" s="339"/>
    </row>
    <row r="771" spans="1:1">
      <c r="A771" s="339"/>
    </row>
    <row r="772" spans="1:1">
      <c r="A772" s="339"/>
    </row>
    <row r="773" spans="1:1">
      <c r="A773" s="339"/>
    </row>
    <row r="774" spans="1:1">
      <c r="A774" s="339"/>
    </row>
    <row r="775" spans="1:1">
      <c r="A775" s="339"/>
    </row>
    <row r="776" spans="1:1">
      <c r="A776" s="339"/>
    </row>
    <row r="777" spans="1:1">
      <c r="A777" s="339"/>
    </row>
    <row r="778" spans="1:1">
      <c r="A778" s="339"/>
    </row>
    <row r="779" spans="1:1">
      <c r="A779" s="339"/>
    </row>
    <row r="780" spans="1:1">
      <c r="A780" s="339"/>
    </row>
    <row r="781" spans="1:1">
      <c r="A781" s="339"/>
    </row>
    <row r="782" spans="1:1">
      <c r="A782" s="339"/>
    </row>
    <row r="783" spans="1:1">
      <c r="A783" s="339"/>
    </row>
    <row r="784" spans="1:1">
      <c r="A784" s="339"/>
    </row>
    <row r="785" spans="1:1">
      <c r="A785" s="339"/>
    </row>
    <row r="786" spans="1:1">
      <c r="A786" s="339"/>
    </row>
    <row r="787" spans="1:1">
      <c r="A787" s="339"/>
    </row>
    <row r="788" spans="1:1">
      <c r="A788" s="339"/>
    </row>
    <row r="789" spans="1:1">
      <c r="A789" s="339"/>
    </row>
    <row r="790" spans="1:1">
      <c r="A790" s="339"/>
    </row>
    <row r="791" spans="1:1">
      <c r="A791" s="339"/>
    </row>
    <row r="792" spans="1:1">
      <c r="A792" s="339"/>
    </row>
    <row r="793" spans="1:1">
      <c r="A793" s="339"/>
    </row>
    <row r="794" spans="1:1">
      <c r="A794" s="339"/>
    </row>
    <row r="795" spans="1:1">
      <c r="A795" s="339"/>
    </row>
    <row r="796" spans="1:1">
      <c r="A796" s="339"/>
    </row>
    <row r="797" spans="1:1">
      <c r="A797" s="339"/>
    </row>
    <row r="798" spans="1:1">
      <c r="A798" s="339"/>
    </row>
    <row r="799" spans="1:1">
      <c r="A799" s="339"/>
    </row>
    <row r="800" spans="1:1">
      <c r="A800" s="339"/>
    </row>
    <row r="801" spans="1:1">
      <c r="A801" s="339"/>
    </row>
    <row r="802" spans="1:1">
      <c r="A802" s="339"/>
    </row>
    <row r="803" spans="1:1">
      <c r="A803" s="339"/>
    </row>
    <row r="804" spans="1:1">
      <c r="A804" s="339"/>
    </row>
    <row r="805" spans="1:1">
      <c r="A805" s="339"/>
    </row>
    <row r="806" spans="1:1">
      <c r="A806" s="339"/>
    </row>
    <row r="807" spans="1:1">
      <c r="A807" s="339"/>
    </row>
    <row r="808" spans="1:1">
      <c r="A808" s="339"/>
    </row>
    <row r="809" spans="1:1">
      <c r="A809" s="339"/>
    </row>
    <row r="810" spans="1:1">
      <c r="A810" s="339"/>
    </row>
    <row r="811" spans="1:1">
      <c r="A811" s="339"/>
    </row>
    <row r="812" spans="1:1">
      <c r="A812" s="339"/>
    </row>
    <row r="813" spans="1:1">
      <c r="A813" s="339"/>
    </row>
    <row r="814" spans="1:1">
      <c r="A814" s="339"/>
    </row>
    <row r="815" spans="1:1">
      <c r="A815" s="339"/>
    </row>
    <row r="816" spans="1:1">
      <c r="A816" s="339"/>
    </row>
    <row r="817" spans="1:1">
      <c r="A817" s="339"/>
    </row>
    <row r="818" spans="1:1">
      <c r="A818" s="339"/>
    </row>
    <row r="819" spans="1:1">
      <c r="A819" s="339"/>
    </row>
    <row r="820" spans="1:1">
      <c r="A820" s="339"/>
    </row>
    <row r="821" spans="1:1">
      <c r="A821" s="339"/>
    </row>
    <row r="822" spans="1:1">
      <c r="A822" s="339"/>
    </row>
    <row r="823" spans="1:1">
      <c r="A823" s="339"/>
    </row>
    <row r="824" spans="1:1">
      <c r="A824" s="339"/>
    </row>
    <row r="825" spans="1:1">
      <c r="A825" s="339"/>
    </row>
    <row r="826" spans="1:1">
      <c r="A826" s="339"/>
    </row>
    <row r="827" spans="1:1">
      <c r="A827" s="339"/>
    </row>
    <row r="828" spans="1:1">
      <c r="A828" s="339"/>
    </row>
    <row r="829" spans="1:1">
      <c r="A829" s="339"/>
    </row>
    <row r="830" spans="1:1">
      <c r="A830" s="339"/>
    </row>
    <row r="831" spans="1:1">
      <c r="A831" s="339"/>
    </row>
    <row r="832" spans="1:1">
      <c r="A832" s="339"/>
    </row>
    <row r="833" spans="1:1">
      <c r="A833" s="339"/>
    </row>
    <row r="834" spans="1:1">
      <c r="A834" s="339"/>
    </row>
    <row r="835" spans="1:1">
      <c r="A835" s="339"/>
    </row>
    <row r="836" spans="1:1">
      <c r="A836" s="339"/>
    </row>
    <row r="837" spans="1:1">
      <c r="A837" s="339"/>
    </row>
    <row r="838" spans="1:1">
      <c r="A838" s="339"/>
    </row>
    <row r="839" spans="1:1">
      <c r="A839" s="339"/>
    </row>
    <row r="840" spans="1:1">
      <c r="A840" s="339"/>
    </row>
    <row r="841" spans="1:1">
      <c r="A841" s="339"/>
    </row>
    <row r="842" spans="1:1">
      <c r="A842" s="339"/>
    </row>
    <row r="843" spans="1:1">
      <c r="A843" s="339"/>
    </row>
    <row r="844" spans="1:1">
      <c r="A844" s="339"/>
    </row>
    <row r="845" spans="1:1">
      <c r="A845" s="339"/>
    </row>
    <row r="846" spans="1:1">
      <c r="A846" s="339"/>
    </row>
    <row r="847" spans="1:1">
      <c r="A847" s="339"/>
    </row>
    <row r="848" spans="1:1">
      <c r="A848" s="339"/>
    </row>
    <row r="849" spans="1:1">
      <c r="A849" s="339"/>
    </row>
    <row r="850" spans="1:1">
      <c r="A850" s="339"/>
    </row>
    <row r="851" spans="1:1">
      <c r="A851" s="339"/>
    </row>
    <row r="852" spans="1:1">
      <c r="A852" s="339"/>
    </row>
    <row r="853" spans="1:1">
      <c r="A853" s="339"/>
    </row>
    <row r="854" spans="1:1">
      <c r="A854" s="339"/>
    </row>
    <row r="855" spans="1:1">
      <c r="A855" s="339"/>
    </row>
    <row r="856" spans="1:1">
      <c r="A856" s="339"/>
    </row>
    <row r="857" spans="1:1">
      <c r="A857" s="339"/>
    </row>
    <row r="858" spans="1:1">
      <c r="A858" s="339"/>
    </row>
    <row r="859" spans="1:1">
      <c r="A859" s="339"/>
    </row>
    <row r="860" spans="1:1">
      <c r="A860" s="339"/>
    </row>
    <row r="861" spans="1:1">
      <c r="A861" s="339"/>
    </row>
    <row r="862" spans="1:1">
      <c r="A862" s="339"/>
    </row>
    <row r="863" spans="1:1">
      <c r="A863" s="339"/>
    </row>
    <row r="864" spans="1:1">
      <c r="A864" s="339"/>
    </row>
    <row r="865" spans="1:1">
      <c r="A865" s="339"/>
    </row>
    <row r="866" spans="1:1">
      <c r="A866" s="339"/>
    </row>
    <row r="867" spans="1:1">
      <c r="A867" s="339"/>
    </row>
    <row r="868" spans="1:1">
      <c r="A868" s="339"/>
    </row>
    <row r="869" spans="1:1">
      <c r="A869" s="339"/>
    </row>
    <row r="870" spans="1:1">
      <c r="A870" s="339"/>
    </row>
    <row r="871" spans="1:1">
      <c r="A871" s="339"/>
    </row>
    <row r="872" spans="1:1">
      <c r="A872" s="339"/>
    </row>
    <row r="873" spans="1:1">
      <c r="A873" s="339"/>
    </row>
    <row r="874" spans="1:1">
      <c r="A874" s="339"/>
    </row>
    <row r="875" spans="1:1">
      <c r="A875" s="339"/>
    </row>
    <row r="876" spans="1:1">
      <c r="A876" s="339"/>
    </row>
    <row r="877" spans="1:1">
      <c r="A877" s="339"/>
    </row>
    <row r="878" spans="1:1">
      <c r="A878" s="339"/>
    </row>
    <row r="879" spans="1:1">
      <c r="A879" s="339"/>
    </row>
    <row r="880" spans="1:1">
      <c r="A880" s="339"/>
    </row>
    <row r="881" spans="1:1">
      <c r="A881" s="339"/>
    </row>
    <row r="882" spans="1:1">
      <c r="A882" s="339"/>
    </row>
    <row r="883" spans="1:1">
      <c r="A883" s="339"/>
    </row>
    <row r="884" spans="1:1">
      <c r="A884" s="339"/>
    </row>
    <row r="885" spans="1:1">
      <c r="A885" s="339"/>
    </row>
    <row r="886" spans="1:1">
      <c r="A886" s="339"/>
    </row>
    <row r="887" spans="1:1">
      <c r="A887" s="339"/>
    </row>
    <row r="888" spans="1:1">
      <c r="A888" s="339"/>
    </row>
    <row r="889" spans="1:1">
      <c r="A889" s="339"/>
    </row>
    <row r="890" spans="1:1">
      <c r="A890" s="339"/>
    </row>
    <row r="891" spans="1:1">
      <c r="A891" s="339"/>
    </row>
    <row r="892" spans="1:1">
      <c r="A892" s="339"/>
    </row>
    <row r="893" spans="1:1">
      <c r="A893" s="339"/>
    </row>
    <row r="894" spans="1:1">
      <c r="A894" s="339"/>
    </row>
    <row r="895" spans="1:1">
      <c r="A895" s="339"/>
    </row>
    <row r="896" spans="1:1">
      <c r="A896" s="339"/>
    </row>
    <row r="897" spans="1:1">
      <c r="A897" s="339"/>
    </row>
    <row r="898" spans="1:1">
      <c r="A898" s="339"/>
    </row>
    <row r="899" spans="1:1">
      <c r="A899" s="339"/>
    </row>
    <row r="900" spans="1:1">
      <c r="A900" s="339"/>
    </row>
    <row r="901" spans="1:1">
      <c r="A901" s="339"/>
    </row>
    <row r="902" spans="1:1">
      <c r="A902" s="339"/>
    </row>
    <row r="903" spans="1:1">
      <c r="A903" s="339"/>
    </row>
    <row r="904" spans="1:1">
      <c r="A904" s="339"/>
    </row>
    <row r="905" spans="1:1">
      <c r="A905" s="339"/>
    </row>
    <row r="906" spans="1:1">
      <c r="A906" s="339"/>
    </row>
    <row r="907" spans="1:1">
      <c r="A907" s="339"/>
    </row>
    <row r="908" spans="1:1">
      <c r="A908" s="339"/>
    </row>
    <row r="909" spans="1:1">
      <c r="A909" s="339"/>
    </row>
    <row r="910" spans="1:1">
      <c r="A910" s="339"/>
    </row>
    <row r="911" spans="1:1">
      <c r="A911" s="339"/>
    </row>
    <row r="912" spans="1:1">
      <c r="A912" s="339"/>
    </row>
    <row r="913" spans="1:1">
      <c r="A913" s="339"/>
    </row>
    <row r="914" spans="1:1">
      <c r="A914" s="339"/>
    </row>
    <row r="915" spans="1:1">
      <c r="A915" s="339"/>
    </row>
    <row r="916" spans="1:1">
      <c r="A916" s="339"/>
    </row>
    <row r="917" spans="1:1">
      <c r="A917" s="339"/>
    </row>
    <row r="918" spans="1:1">
      <c r="A918" s="339"/>
    </row>
    <row r="919" spans="1:1">
      <c r="A919" s="339"/>
    </row>
    <row r="920" spans="1:1">
      <c r="A920" s="339"/>
    </row>
    <row r="921" spans="1:1">
      <c r="A921" s="339"/>
    </row>
    <row r="922" spans="1:1">
      <c r="A922" s="339"/>
    </row>
    <row r="923" spans="1:1">
      <c r="A923" s="339"/>
    </row>
    <row r="924" spans="1:1">
      <c r="A924" s="339"/>
    </row>
    <row r="925" spans="1:1">
      <c r="A925" s="339"/>
    </row>
    <row r="926" spans="1:1">
      <c r="A926" s="339"/>
    </row>
    <row r="927" spans="1:1">
      <c r="A927" s="339"/>
    </row>
    <row r="928" spans="1:1">
      <c r="A928" s="339"/>
    </row>
    <row r="929" spans="1:1">
      <c r="A929" s="339"/>
    </row>
    <row r="930" spans="1:1">
      <c r="A930" s="339"/>
    </row>
    <row r="931" spans="1:1">
      <c r="A931" s="339"/>
    </row>
    <row r="932" spans="1:1">
      <c r="A932" s="339"/>
    </row>
    <row r="933" spans="1:1">
      <c r="A933" s="339"/>
    </row>
    <row r="934" spans="1:1">
      <c r="A934" s="339"/>
    </row>
    <row r="935" spans="1:1">
      <c r="A935" s="339"/>
    </row>
    <row r="936" spans="1:1">
      <c r="A936" s="339"/>
    </row>
    <row r="937" spans="1:1">
      <c r="A937" s="339"/>
    </row>
    <row r="938" spans="1:1">
      <c r="A938" s="339"/>
    </row>
    <row r="939" spans="1:1">
      <c r="A939" s="339"/>
    </row>
    <row r="940" spans="1:1">
      <c r="A940" s="339"/>
    </row>
    <row r="941" spans="1:1">
      <c r="A941" s="339"/>
    </row>
    <row r="942" spans="1:1">
      <c r="A942" s="339"/>
    </row>
    <row r="943" spans="1:1">
      <c r="A943" s="339"/>
    </row>
    <row r="944" spans="1:1">
      <c r="A944" s="339"/>
    </row>
    <row r="945" spans="1:1">
      <c r="A945" s="339"/>
    </row>
    <row r="946" spans="1:1">
      <c r="A946" s="339"/>
    </row>
    <row r="947" spans="1:1">
      <c r="A947" s="339"/>
    </row>
    <row r="948" spans="1:1">
      <c r="A948" s="339"/>
    </row>
    <row r="949" spans="1:1">
      <c r="A949" s="339"/>
    </row>
    <row r="950" spans="1:1">
      <c r="A950" s="339"/>
    </row>
    <row r="951" spans="1:1">
      <c r="A951" s="339"/>
    </row>
    <row r="952" spans="1:1">
      <c r="A952" s="339"/>
    </row>
    <row r="953" spans="1:1">
      <c r="A953" s="339"/>
    </row>
    <row r="954" spans="1:1">
      <c r="A954" s="339"/>
    </row>
    <row r="955" spans="1:1">
      <c r="A955" s="339"/>
    </row>
    <row r="956" spans="1:1">
      <c r="A956" s="339"/>
    </row>
    <row r="957" spans="1:1">
      <c r="A957" s="339"/>
    </row>
    <row r="958" spans="1:1">
      <c r="A958" s="339"/>
    </row>
    <row r="959" spans="1:1">
      <c r="A959" s="339"/>
    </row>
    <row r="960" spans="1:1">
      <c r="A960" s="339"/>
    </row>
    <row r="961" spans="1:1">
      <c r="A961" s="339"/>
    </row>
    <row r="962" spans="1:1">
      <c r="A962" s="339"/>
    </row>
    <row r="963" spans="1:1">
      <c r="A963" s="339"/>
    </row>
    <row r="964" spans="1:1">
      <c r="A964" s="339"/>
    </row>
    <row r="965" spans="1:1">
      <c r="A965" s="339"/>
    </row>
    <row r="966" spans="1:1">
      <c r="A966" s="339"/>
    </row>
    <row r="967" spans="1:1">
      <c r="A967" s="339"/>
    </row>
    <row r="968" spans="1:1">
      <c r="A968" s="339"/>
    </row>
    <row r="969" spans="1:1">
      <c r="A969" s="339"/>
    </row>
    <row r="970" spans="1:1">
      <c r="A970" s="339"/>
    </row>
    <row r="971" spans="1:1">
      <c r="A971" s="339"/>
    </row>
    <row r="972" spans="1:1">
      <c r="A972" s="339"/>
    </row>
    <row r="973" spans="1:1">
      <c r="A973" s="339"/>
    </row>
    <row r="974" spans="1:1">
      <c r="A974" s="339"/>
    </row>
    <row r="975" spans="1:1">
      <c r="A975" s="339"/>
    </row>
    <row r="976" spans="1:1">
      <c r="A976" s="339"/>
    </row>
    <row r="977" spans="1:1">
      <c r="A977" s="339"/>
    </row>
    <row r="978" spans="1:1">
      <c r="A978" s="339"/>
    </row>
    <row r="979" spans="1:1">
      <c r="A979" s="339"/>
    </row>
    <row r="980" spans="1:1">
      <c r="A980" s="339"/>
    </row>
    <row r="981" spans="1:1">
      <c r="A981" s="339"/>
    </row>
    <row r="982" spans="1:1">
      <c r="A982" s="339"/>
    </row>
    <row r="983" spans="1:1">
      <c r="A983" s="339"/>
    </row>
    <row r="984" spans="1:1">
      <c r="A984" s="339"/>
    </row>
    <row r="985" spans="1:1">
      <c r="A985" s="339"/>
    </row>
    <row r="986" spans="1:1">
      <c r="A986" s="339"/>
    </row>
    <row r="987" spans="1:1">
      <c r="A987" s="339"/>
    </row>
    <row r="988" spans="1:1">
      <c r="A988" s="339"/>
    </row>
    <row r="989" spans="1:1">
      <c r="A989" s="339"/>
    </row>
    <row r="990" spans="1:1">
      <c r="A990" s="339"/>
    </row>
    <row r="991" spans="1:1">
      <c r="A991" s="339"/>
    </row>
    <row r="992" spans="1:1">
      <c r="A992" s="339"/>
    </row>
    <row r="993" spans="1:1">
      <c r="A993" s="339"/>
    </row>
    <row r="994" spans="1:1">
      <c r="A994" s="339"/>
    </row>
    <row r="995" spans="1:1">
      <c r="A995" s="339"/>
    </row>
    <row r="996" spans="1:1">
      <c r="A996" s="339"/>
    </row>
    <row r="997" spans="1:1">
      <c r="A997" s="339"/>
    </row>
    <row r="998" spans="1:1">
      <c r="A998" s="339"/>
    </row>
    <row r="999" spans="1:1">
      <c r="A999" s="339"/>
    </row>
    <row r="1000" spans="1:1">
      <c r="A1000" s="339"/>
    </row>
    <row r="1001" spans="1:1">
      <c r="A1001" s="339"/>
    </row>
    <row r="1002" spans="1:1">
      <c r="A1002" s="339"/>
    </row>
    <row r="1003" spans="1:1">
      <c r="A1003" s="339"/>
    </row>
    <row r="1004" spans="1:1">
      <c r="A1004" s="339"/>
    </row>
    <row r="1005" spans="1:1">
      <c r="A1005" s="339"/>
    </row>
    <row r="1006" spans="1:1">
      <c r="A1006" s="339"/>
    </row>
    <row r="1007" spans="1:1">
      <c r="A1007" s="339"/>
    </row>
    <row r="1008" spans="1:1">
      <c r="A1008" s="339"/>
    </row>
    <row r="1009" spans="1:1">
      <c r="A1009" s="339"/>
    </row>
    <row r="1010" spans="1:1">
      <c r="A1010" s="339"/>
    </row>
    <row r="1011" spans="1:1">
      <c r="A1011" s="339"/>
    </row>
    <row r="1012" spans="1:1">
      <c r="A1012" s="339"/>
    </row>
    <row r="1013" spans="1:1">
      <c r="A1013" s="339"/>
    </row>
    <row r="1014" spans="1:1">
      <c r="A1014" s="339"/>
    </row>
    <row r="1015" spans="1:1">
      <c r="A1015" s="339"/>
    </row>
    <row r="1016" spans="1:1">
      <c r="A1016" s="339"/>
    </row>
    <row r="1017" spans="1:1">
      <c r="A1017" s="339"/>
    </row>
    <row r="1018" spans="1:1">
      <c r="A1018" s="339"/>
    </row>
    <row r="1019" spans="1:1">
      <c r="A1019" s="339"/>
    </row>
    <row r="1020" spans="1:1">
      <c r="A1020" s="339"/>
    </row>
    <row r="1021" spans="1:1">
      <c r="A1021" s="339"/>
    </row>
    <row r="1022" spans="1:1">
      <c r="A1022" s="339"/>
    </row>
    <row r="1023" spans="1:1">
      <c r="A1023" s="339"/>
    </row>
    <row r="1024" spans="1:1">
      <c r="A1024" s="339"/>
    </row>
    <row r="1025" spans="1:1">
      <c r="A1025" s="339"/>
    </row>
    <row r="1026" spans="1:1">
      <c r="A1026" s="339"/>
    </row>
    <row r="1027" spans="1:1">
      <c r="A1027" s="339"/>
    </row>
    <row r="1028" spans="1:1">
      <c r="A1028" s="339"/>
    </row>
    <row r="1029" spans="1:1">
      <c r="A1029" s="339"/>
    </row>
    <row r="1030" spans="1:1">
      <c r="A1030" s="339"/>
    </row>
    <row r="1031" spans="1:1">
      <c r="A1031" s="339"/>
    </row>
    <row r="1032" spans="1:1">
      <c r="A1032" s="339"/>
    </row>
    <row r="1033" spans="1:1">
      <c r="A1033" s="339"/>
    </row>
    <row r="1034" spans="1:1">
      <c r="A1034" s="339"/>
    </row>
    <row r="1035" spans="1:1">
      <c r="A1035" s="339"/>
    </row>
    <row r="1036" spans="1:1">
      <c r="A1036" s="339"/>
    </row>
    <row r="1037" spans="1:1">
      <c r="A1037" s="339"/>
    </row>
    <row r="1038" spans="1:1">
      <c r="A1038" s="339"/>
    </row>
    <row r="1039" spans="1:1">
      <c r="A1039" s="339"/>
    </row>
    <row r="1040" spans="1:1">
      <c r="A1040" s="339"/>
    </row>
    <row r="1041" spans="1:1">
      <c r="A1041" s="339"/>
    </row>
    <row r="1042" spans="1:1">
      <c r="A1042" s="339"/>
    </row>
    <row r="1043" spans="1:1">
      <c r="A1043" s="339"/>
    </row>
    <row r="1044" spans="1:1">
      <c r="A1044" s="339"/>
    </row>
    <row r="1045" spans="1:1">
      <c r="A1045" s="339"/>
    </row>
    <row r="1046" spans="1:1">
      <c r="A1046" s="339"/>
    </row>
    <row r="1047" spans="1:1">
      <c r="A1047" s="339"/>
    </row>
    <row r="1048" spans="1:1">
      <c r="A1048" s="339"/>
    </row>
    <row r="1049" spans="1:1">
      <c r="A1049" s="339"/>
    </row>
    <row r="1050" spans="1:1">
      <c r="A1050" s="339"/>
    </row>
    <row r="1051" spans="1:1">
      <c r="A1051" s="339"/>
    </row>
    <row r="1052" spans="1:1">
      <c r="A1052" s="339"/>
    </row>
    <row r="1053" spans="1:1">
      <c r="A1053" s="339"/>
    </row>
    <row r="1054" spans="1:1">
      <c r="A1054" s="339"/>
    </row>
    <row r="1055" spans="1:1">
      <c r="A1055" s="339"/>
    </row>
    <row r="1056" spans="1:1">
      <c r="A1056" s="339"/>
    </row>
    <row r="1057" spans="1:1">
      <c r="A1057" s="339"/>
    </row>
    <row r="1058" spans="1:1">
      <c r="A1058" s="339"/>
    </row>
    <row r="1059" spans="1:1">
      <c r="A1059" s="339"/>
    </row>
    <row r="1060" spans="1:1">
      <c r="A1060" s="339"/>
    </row>
    <row r="1061" spans="1:1">
      <c r="A1061" s="339"/>
    </row>
    <row r="1062" spans="1:1">
      <c r="A1062" s="339"/>
    </row>
    <row r="1063" spans="1:1">
      <c r="A1063" s="339"/>
    </row>
    <row r="1064" spans="1:1">
      <c r="A1064" s="339"/>
    </row>
    <row r="1065" spans="1:1">
      <c r="A1065" s="339"/>
    </row>
    <row r="1066" spans="1:1">
      <c r="A1066" s="339"/>
    </row>
    <row r="1067" spans="1:1">
      <c r="A1067" s="339"/>
    </row>
    <row r="1068" spans="1:1">
      <c r="A1068" s="339"/>
    </row>
    <row r="1069" spans="1:1">
      <c r="A1069" s="339"/>
    </row>
    <row r="1070" spans="1:1">
      <c r="A1070" s="339"/>
    </row>
    <row r="1071" spans="1:1">
      <c r="A1071" s="339"/>
    </row>
    <row r="1072" spans="1:1">
      <c r="A1072" s="339"/>
    </row>
    <row r="1073" spans="1:1">
      <c r="A1073" s="339"/>
    </row>
    <row r="1074" spans="1:1">
      <c r="A1074" s="339"/>
    </row>
    <row r="1075" spans="1:1">
      <c r="A1075" s="339"/>
    </row>
    <row r="1076" spans="1:1">
      <c r="A1076" s="339"/>
    </row>
    <row r="1077" spans="1:1">
      <c r="A1077" s="339"/>
    </row>
    <row r="1078" spans="1:1">
      <c r="A1078" s="339"/>
    </row>
    <row r="1079" spans="1:1">
      <c r="A1079" s="339"/>
    </row>
    <row r="1080" spans="1:1">
      <c r="A1080" s="339"/>
    </row>
    <row r="1081" spans="1:1">
      <c r="A1081" s="339"/>
    </row>
    <row r="1082" spans="1:1">
      <c r="A1082" s="339"/>
    </row>
    <row r="1083" spans="1:1">
      <c r="A1083" s="339"/>
    </row>
    <row r="1084" spans="1:1">
      <c r="A1084" s="339"/>
    </row>
    <row r="1085" spans="1:1">
      <c r="A1085" s="339"/>
    </row>
    <row r="1086" spans="1:1">
      <c r="A1086" s="339"/>
    </row>
    <row r="1087" spans="1:1">
      <c r="A1087" s="339"/>
    </row>
    <row r="1088" spans="1:1">
      <c r="A1088" s="339"/>
    </row>
    <row r="1089" spans="1:1">
      <c r="A1089" s="339"/>
    </row>
    <row r="1090" spans="1:1">
      <c r="A1090" s="339"/>
    </row>
    <row r="1091" spans="1:1">
      <c r="A1091" s="339"/>
    </row>
    <row r="1092" spans="1:1">
      <c r="A1092" s="339"/>
    </row>
    <row r="1093" spans="1:1">
      <c r="A1093" s="339"/>
    </row>
    <row r="1094" spans="1:1">
      <c r="A1094" s="339"/>
    </row>
    <row r="1095" spans="1:1">
      <c r="A1095" s="339"/>
    </row>
    <row r="1096" spans="1:1">
      <c r="A1096" s="339"/>
    </row>
    <row r="1097" spans="1:1">
      <c r="A1097" s="339"/>
    </row>
    <row r="1098" spans="1:1">
      <c r="A1098" s="339"/>
    </row>
    <row r="1099" spans="1:1">
      <c r="A1099" s="339"/>
    </row>
    <row r="1100" spans="1:1">
      <c r="A1100" s="339"/>
    </row>
    <row r="1101" spans="1:1">
      <c r="A1101" s="339"/>
    </row>
    <row r="1102" spans="1:1">
      <c r="A1102" s="339"/>
    </row>
    <row r="1103" spans="1:1">
      <c r="A1103" s="339"/>
    </row>
    <row r="1104" spans="1:1">
      <c r="A1104" s="339"/>
    </row>
    <row r="1105" spans="1:1">
      <c r="A1105" s="339"/>
    </row>
    <row r="1106" spans="1:1">
      <c r="A1106" s="339"/>
    </row>
    <row r="1107" spans="1:1">
      <c r="A1107" s="339"/>
    </row>
    <row r="1108" spans="1:1">
      <c r="A1108" s="339"/>
    </row>
    <row r="1109" spans="1:1">
      <c r="A1109" s="339"/>
    </row>
    <row r="1110" spans="1:1">
      <c r="A1110" s="339"/>
    </row>
    <row r="1111" spans="1:1">
      <c r="A1111" s="339"/>
    </row>
    <row r="1112" spans="1:1">
      <c r="A1112" s="339"/>
    </row>
    <row r="1113" spans="1:1">
      <c r="A1113" s="339"/>
    </row>
    <row r="1114" spans="1:1">
      <c r="A1114" s="339"/>
    </row>
    <row r="1115" spans="1:1">
      <c r="A1115" s="339"/>
    </row>
    <row r="1116" spans="1:1">
      <c r="A1116" s="339"/>
    </row>
    <row r="1117" spans="1:1">
      <c r="A1117" s="339"/>
    </row>
    <row r="1118" spans="1:1">
      <c r="A1118" s="339"/>
    </row>
    <row r="1119" spans="1:1">
      <c r="A1119" s="339"/>
    </row>
    <row r="1120" spans="1:1">
      <c r="A1120" s="339"/>
    </row>
    <row r="1121" spans="1:1">
      <c r="A1121" s="339"/>
    </row>
    <row r="1122" spans="1:1">
      <c r="A1122" s="339"/>
    </row>
    <row r="1123" spans="1:1">
      <c r="A1123" s="339"/>
    </row>
    <row r="1124" spans="1:1">
      <c r="A1124" s="339"/>
    </row>
    <row r="1125" spans="1:1">
      <c r="A1125" s="339"/>
    </row>
    <row r="1126" spans="1:1">
      <c r="A1126" s="339"/>
    </row>
    <row r="1127" spans="1:1">
      <c r="A1127" s="339"/>
    </row>
    <row r="1128" spans="1:1">
      <c r="A1128" s="339"/>
    </row>
    <row r="1129" spans="1:1">
      <c r="A1129" s="339"/>
    </row>
    <row r="1130" spans="1:1">
      <c r="A1130" s="339"/>
    </row>
    <row r="1131" spans="1:1">
      <c r="A1131" s="339"/>
    </row>
    <row r="1132" spans="1:1">
      <c r="A1132" s="339"/>
    </row>
    <row r="1133" spans="1:1">
      <c r="A1133" s="339"/>
    </row>
    <row r="1134" spans="1:1">
      <c r="A1134" s="339"/>
    </row>
    <row r="1135" spans="1:1">
      <c r="A1135" s="339"/>
    </row>
    <row r="1136" spans="1:1">
      <c r="A1136" s="339"/>
    </row>
    <row r="1137" spans="1:1">
      <c r="A1137" s="339"/>
    </row>
    <row r="1138" spans="1:1">
      <c r="A1138" s="339"/>
    </row>
    <row r="1139" spans="1:1">
      <c r="A1139" s="339"/>
    </row>
    <row r="1140" spans="1:1">
      <c r="A1140" s="339"/>
    </row>
    <row r="1141" spans="1:1">
      <c r="A1141" s="339"/>
    </row>
    <row r="1142" spans="1:1">
      <c r="A1142" s="339"/>
    </row>
    <row r="1143" spans="1:1">
      <c r="A1143" s="339"/>
    </row>
    <row r="1144" spans="1:1">
      <c r="A1144" s="339"/>
    </row>
    <row r="1145" spans="1:1">
      <c r="A1145" s="339"/>
    </row>
    <row r="1146" spans="1:1">
      <c r="A1146" s="339"/>
    </row>
    <row r="1147" spans="1:1">
      <c r="A1147" s="339"/>
    </row>
    <row r="1148" spans="1:1">
      <c r="A1148" s="339"/>
    </row>
    <row r="1149" spans="1:1">
      <c r="A1149" s="339"/>
    </row>
    <row r="1150" spans="1:1">
      <c r="A1150" s="339"/>
    </row>
    <row r="1151" spans="1:1">
      <c r="A1151" s="339"/>
    </row>
    <row r="1152" spans="1:1">
      <c r="A1152" s="339"/>
    </row>
    <row r="1153" spans="1:1">
      <c r="A1153" s="339"/>
    </row>
    <row r="1154" spans="1:1">
      <c r="A1154" s="339"/>
    </row>
    <row r="1155" spans="1:1">
      <c r="A1155" s="339"/>
    </row>
    <row r="1156" spans="1:1">
      <c r="A1156" s="339"/>
    </row>
    <row r="1157" spans="1:1">
      <c r="A1157" s="339"/>
    </row>
    <row r="1158" spans="1:1">
      <c r="A1158" s="339"/>
    </row>
    <row r="1159" spans="1:1">
      <c r="A1159" s="339"/>
    </row>
    <row r="1160" spans="1:1">
      <c r="A1160" s="339"/>
    </row>
    <row r="1161" spans="1:1">
      <c r="A1161" s="339"/>
    </row>
    <row r="1162" spans="1:1">
      <c r="A1162" s="339"/>
    </row>
    <row r="1163" spans="1:1">
      <c r="A1163" s="339"/>
    </row>
    <row r="1164" spans="1:1">
      <c r="A1164" s="339"/>
    </row>
    <row r="1165" spans="1:1">
      <c r="A1165" s="339"/>
    </row>
    <row r="1166" spans="1:1">
      <c r="A1166" s="339"/>
    </row>
    <row r="1167" spans="1:1">
      <c r="A1167" s="339"/>
    </row>
    <row r="1168" spans="1:1">
      <c r="A1168" s="339"/>
    </row>
    <row r="1169" spans="1:1">
      <c r="A1169" s="339"/>
    </row>
    <row r="1170" spans="1:1">
      <c r="A1170" s="339"/>
    </row>
    <row r="1171" spans="1:1">
      <c r="A1171" s="339"/>
    </row>
    <row r="1172" spans="1:1">
      <c r="A1172" s="339"/>
    </row>
    <row r="1173" spans="1:1">
      <c r="A1173" s="339"/>
    </row>
    <row r="1174" spans="1:1">
      <c r="A1174" s="339"/>
    </row>
    <row r="1175" spans="1:1">
      <c r="A1175" s="339"/>
    </row>
    <row r="1176" spans="1:1">
      <c r="A1176" s="339"/>
    </row>
    <row r="1177" spans="1:1">
      <c r="A1177" s="339"/>
    </row>
    <row r="1178" spans="1:1">
      <c r="A1178" s="339"/>
    </row>
    <row r="1179" spans="1:1">
      <c r="A1179" s="339"/>
    </row>
    <row r="1180" spans="1:1">
      <c r="A1180" s="339"/>
    </row>
    <row r="1181" spans="1:1">
      <c r="A1181" s="339"/>
    </row>
    <row r="1182" spans="1:1">
      <c r="A1182" s="339"/>
    </row>
    <row r="1183" spans="1:1">
      <c r="A1183" s="339"/>
    </row>
    <row r="1184" spans="1:1">
      <c r="A1184" s="339"/>
    </row>
    <row r="1185" spans="1:1">
      <c r="A1185" s="339"/>
    </row>
    <row r="1186" spans="1:1">
      <c r="A1186" s="339"/>
    </row>
    <row r="1187" spans="1:1">
      <c r="A1187" s="339"/>
    </row>
    <row r="1188" spans="1:1">
      <c r="A1188" s="339"/>
    </row>
    <row r="1189" spans="1:1">
      <c r="A1189" s="339"/>
    </row>
    <row r="1190" spans="1:1">
      <c r="A1190" s="339"/>
    </row>
    <row r="1191" spans="1:1">
      <c r="A1191" s="339"/>
    </row>
    <row r="1192" spans="1:1">
      <c r="A1192" s="339"/>
    </row>
    <row r="1193" spans="1:1">
      <c r="A1193" s="339"/>
    </row>
    <row r="1194" spans="1:1">
      <c r="A1194" s="339"/>
    </row>
    <row r="1195" spans="1:1">
      <c r="A1195" s="339"/>
    </row>
    <row r="1196" spans="1:1">
      <c r="A1196" s="339"/>
    </row>
    <row r="1197" spans="1:1">
      <c r="A1197" s="339"/>
    </row>
    <row r="1198" spans="1:1">
      <c r="A1198" s="339"/>
    </row>
    <row r="1199" spans="1:1">
      <c r="A1199" s="339"/>
    </row>
    <row r="1200" spans="1:1">
      <c r="A1200" s="339"/>
    </row>
    <row r="1201" spans="1:1">
      <c r="A1201" s="339"/>
    </row>
    <row r="1202" spans="1:1">
      <c r="A1202" s="339"/>
    </row>
    <row r="1203" spans="1:1">
      <c r="A1203" s="339"/>
    </row>
    <row r="1204" spans="1:1">
      <c r="A1204" s="339"/>
    </row>
    <row r="1205" spans="1:1">
      <c r="A1205" s="339"/>
    </row>
    <row r="1206" spans="1:1">
      <c r="A1206" s="339"/>
    </row>
    <row r="1207" spans="1:1">
      <c r="A1207" s="339"/>
    </row>
    <row r="1208" spans="1:1">
      <c r="A1208" s="339"/>
    </row>
    <row r="1209" spans="1:1">
      <c r="A1209" s="339"/>
    </row>
    <row r="1210" spans="1:1">
      <c r="A1210" s="339"/>
    </row>
    <row r="1211" spans="1:1">
      <c r="A1211" s="339"/>
    </row>
    <row r="1212" spans="1:1">
      <c r="A1212" s="339"/>
    </row>
    <row r="1213" spans="1:1">
      <c r="A1213" s="339"/>
    </row>
    <row r="1214" spans="1:1">
      <c r="A1214" s="339"/>
    </row>
    <row r="1215" spans="1:1">
      <c r="A1215" s="339"/>
    </row>
    <row r="1216" spans="1:1">
      <c r="A1216" s="339"/>
    </row>
    <row r="1217" spans="1:1">
      <c r="A1217" s="339"/>
    </row>
    <row r="1218" spans="1:1">
      <c r="A1218" s="339"/>
    </row>
    <row r="1219" spans="1:1">
      <c r="A1219" s="339"/>
    </row>
    <row r="1220" spans="1:1">
      <c r="A1220" s="339"/>
    </row>
    <row r="1221" spans="1:1">
      <c r="A1221" s="339"/>
    </row>
    <row r="1222" spans="1:1">
      <c r="A1222" s="339"/>
    </row>
    <row r="1223" spans="1:1">
      <c r="A1223" s="339"/>
    </row>
    <row r="1224" spans="1:1">
      <c r="A1224" s="339"/>
    </row>
    <row r="1225" spans="1:1">
      <c r="A1225" s="339"/>
    </row>
    <row r="1226" spans="1:1">
      <c r="A1226" s="339"/>
    </row>
    <row r="1227" spans="1:1">
      <c r="A1227" s="339"/>
    </row>
    <row r="1228" spans="1:1">
      <c r="A1228" s="339"/>
    </row>
    <row r="1229" spans="1:1">
      <c r="A1229" s="339"/>
    </row>
    <row r="1230" spans="1:1">
      <c r="A1230" s="339"/>
    </row>
    <row r="1231" spans="1:1">
      <c r="A1231" s="339"/>
    </row>
    <row r="1232" spans="1:1">
      <c r="A1232" s="339"/>
    </row>
    <row r="1233" spans="1:1">
      <c r="A1233" s="339"/>
    </row>
    <row r="1234" spans="1:1">
      <c r="A1234" s="339"/>
    </row>
    <row r="1235" spans="1:1">
      <c r="A1235" s="339"/>
    </row>
    <row r="1236" spans="1:1">
      <c r="A1236" s="339"/>
    </row>
    <row r="1237" spans="1:1">
      <c r="A1237" s="339"/>
    </row>
    <row r="1238" spans="1:1">
      <c r="A1238" s="339"/>
    </row>
    <row r="1239" spans="1:1">
      <c r="A1239" s="339"/>
    </row>
    <row r="1240" spans="1:1">
      <c r="A1240" s="339"/>
    </row>
    <row r="1241" spans="1:1">
      <c r="A1241" s="339"/>
    </row>
    <row r="1242" spans="1:1">
      <c r="A1242" s="339"/>
    </row>
    <row r="1243" spans="1:1">
      <c r="A1243" s="339"/>
    </row>
    <row r="1244" spans="1:1">
      <c r="A1244" s="339"/>
    </row>
    <row r="1245" spans="1:1">
      <c r="A1245" s="339"/>
    </row>
    <row r="1246" spans="1:1">
      <c r="A1246" s="339"/>
    </row>
    <row r="1247" spans="1:1">
      <c r="A1247" s="339"/>
    </row>
    <row r="1248" spans="1:1">
      <c r="A1248" s="339"/>
    </row>
    <row r="1249" spans="1:1">
      <c r="A1249" s="339"/>
    </row>
    <row r="1250" spans="1:1">
      <c r="A1250" s="339"/>
    </row>
    <row r="1251" spans="1:1">
      <c r="A1251" s="339"/>
    </row>
    <row r="1252" spans="1:1">
      <c r="A1252" s="339"/>
    </row>
    <row r="1253" spans="1:1">
      <c r="A1253" s="339"/>
    </row>
    <row r="1254" spans="1:1">
      <c r="A1254" s="339"/>
    </row>
    <row r="1255" spans="1:1">
      <c r="A1255" s="339"/>
    </row>
    <row r="1256" spans="1:1">
      <c r="A1256" s="339"/>
    </row>
    <row r="1257" spans="1:1">
      <c r="A1257" s="339"/>
    </row>
    <row r="1258" spans="1:1">
      <c r="A1258" s="339"/>
    </row>
    <row r="1259" spans="1:1">
      <c r="A1259" s="339"/>
    </row>
    <row r="1260" spans="1:1">
      <c r="A1260" s="339"/>
    </row>
    <row r="1261" spans="1:1">
      <c r="A1261" s="339"/>
    </row>
    <row r="1262" spans="1:1">
      <c r="A1262" s="339"/>
    </row>
    <row r="1263" spans="1:1">
      <c r="A1263" s="339"/>
    </row>
    <row r="1264" spans="1:1">
      <c r="A1264" s="339"/>
    </row>
    <row r="1265" spans="1:1">
      <c r="A1265" s="339"/>
    </row>
    <row r="1266" spans="1:1">
      <c r="A1266" s="339"/>
    </row>
    <row r="1267" spans="1:1">
      <c r="A1267" s="339"/>
    </row>
    <row r="1268" spans="1:1">
      <c r="A1268" s="339"/>
    </row>
    <row r="1269" spans="1:1">
      <c r="A1269" s="339"/>
    </row>
    <row r="1270" spans="1:1">
      <c r="A1270" s="339"/>
    </row>
    <row r="1271" spans="1:1">
      <c r="A1271" s="339"/>
    </row>
    <row r="1272" spans="1:1">
      <c r="A1272" s="339"/>
    </row>
    <row r="1273" spans="1:1">
      <c r="A1273" s="339"/>
    </row>
    <row r="1274" spans="1:1">
      <c r="A1274" s="339"/>
    </row>
    <row r="1275" spans="1:1">
      <c r="A1275" s="339"/>
    </row>
    <row r="1276" spans="1:1">
      <c r="A1276" s="339"/>
    </row>
    <row r="1277" spans="1:1">
      <c r="A1277" s="339"/>
    </row>
    <row r="1278" spans="1:1">
      <c r="A1278" s="339"/>
    </row>
    <row r="1279" spans="1:1">
      <c r="A1279" s="339"/>
    </row>
    <row r="1280" spans="1:1">
      <c r="A1280" s="339"/>
    </row>
    <row r="1281" spans="1:1">
      <c r="A1281" s="339"/>
    </row>
    <row r="1282" spans="1:1">
      <c r="A1282" s="339"/>
    </row>
    <row r="1283" spans="1:1">
      <c r="A1283" s="339"/>
    </row>
    <row r="1284" spans="1:1">
      <c r="A1284" s="339"/>
    </row>
    <row r="1285" spans="1:1">
      <c r="A1285" s="339"/>
    </row>
    <row r="1286" spans="1:1">
      <c r="A1286" s="339"/>
    </row>
    <row r="1287" spans="1:1">
      <c r="A1287" s="339"/>
    </row>
    <row r="1288" spans="1:1">
      <c r="A1288" s="339"/>
    </row>
    <row r="1289" spans="1:1">
      <c r="A1289" s="339"/>
    </row>
    <row r="1290" spans="1:1">
      <c r="A1290" s="339"/>
    </row>
    <row r="1291" spans="1:1">
      <c r="A1291" s="339"/>
    </row>
    <row r="1292" spans="1:1">
      <c r="A1292" s="339"/>
    </row>
    <row r="1293" spans="1:1">
      <c r="A1293" s="339"/>
    </row>
    <row r="1294" spans="1:1">
      <c r="A1294" s="339"/>
    </row>
    <row r="1295" spans="1:1">
      <c r="A1295" s="339"/>
    </row>
    <row r="1296" spans="1:1">
      <c r="A1296" s="339"/>
    </row>
    <row r="1297" spans="1:1">
      <c r="A1297" s="339"/>
    </row>
    <row r="1298" spans="1:1">
      <c r="A1298" s="339"/>
    </row>
    <row r="1299" spans="1:1">
      <c r="A1299" s="339"/>
    </row>
    <row r="1300" spans="1:1">
      <c r="A1300" s="339"/>
    </row>
    <row r="1301" spans="1:1">
      <c r="A1301" s="339"/>
    </row>
    <row r="1302" spans="1:1">
      <c r="A1302" s="339"/>
    </row>
    <row r="1303" spans="1:1">
      <c r="A1303" s="339"/>
    </row>
    <row r="1304" spans="1:1">
      <c r="A1304" s="339"/>
    </row>
    <row r="1305" spans="1:1">
      <c r="A1305" s="339"/>
    </row>
    <row r="1306" spans="1:1">
      <c r="A1306" s="339"/>
    </row>
    <row r="1307" spans="1:1">
      <c r="A1307" s="339"/>
    </row>
    <row r="1308" spans="1:1">
      <c r="A1308" s="339"/>
    </row>
    <row r="1309" spans="1:1">
      <c r="A1309" s="339"/>
    </row>
    <row r="1310" spans="1:1">
      <c r="A1310" s="339"/>
    </row>
    <row r="1311" spans="1:1">
      <c r="A1311" s="339"/>
    </row>
    <row r="1312" spans="1:1">
      <c r="A1312" s="339"/>
    </row>
    <row r="1313" spans="1:1">
      <c r="A1313" s="339"/>
    </row>
    <row r="1314" spans="1:1">
      <c r="A1314" s="339"/>
    </row>
    <row r="1315" spans="1:1">
      <c r="A1315" s="339"/>
    </row>
    <row r="1316" spans="1:1">
      <c r="A1316" s="339"/>
    </row>
    <row r="1317" spans="1:1">
      <c r="A1317" s="339"/>
    </row>
    <row r="1318" spans="1:1">
      <c r="A1318" s="339"/>
    </row>
    <row r="1319" spans="1:1">
      <c r="A1319" s="339"/>
    </row>
    <row r="1320" spans="1:1">
      <c r="A1320" s="339"/>
    </row>
    <row r="1321" spans="1:1">
      <c r="A1321" s="339"/>
    </row>
    <row r="1322" spans="1:1">
      <c r="A1322" s="339"/>
    </row>
    <row r="1323" spans="1:1">
      <c r="A1323" s="339"/>
    </row>
    <row r="1324" spans="1:1">
      <c r="A1324" s="339"/>
    </row>
    <row r="1325" spans="1:1">
      <c r="A1325" s="339"/>
    </row>
    <row r="1326" spans="1:1">
      <c r="A1326" s="339"/>
    </row>
    <row r="1327" spans="1:1">
      <c r="A1327" s="339"/>
    </row>
    <row r="1328" spans="1:1">
      <c r="A1328" s="339"/>
    </row>
    <row r="1329" spans="1:1">
      <c r="A1329" s="339"/>
    </row>
    <row r="1330" spans="1:1">
      <c r="A1330" s="339"/>
    </row>
    <row r="1331" spans="1:1">
      <c r="A1331" s="339"/>
    </row>
    <row r="1332" spans="1:1">
      <c r="A1332" s="339"/>
    </row>
    <row r="1333" spans="1:1">
      <c r="A1333" s="339"/>
    </row>
    <row r="1334" spans="1:1">
      <c r="A1334" s="339"/>
    </row>
    <row r="1335" spans="1:1">
      <c r="A1335" s="339"/>
    </row>
    <row r="1336" spans="1:1">
      <c r="A1336" s="339"/>
    </row>
    <row r="1337" spans="1:1">
      <c r="A1337" s="339"/>
    </row>
    <row r="1338" spans="1:1">
      <c r="A1338" s="339"/>
    </row>
    <row r="1339" spans="1:1">
      <c r="A1339" s="339"/>
    </row>
    <row r="1340" spans="1:1">
      <c r="A1340" s="339"/>
    </row>
    <row r="1341" spans="1:1">
      <c r="A1341" s="339"/>
    </row>
    <row r="1342" spans="1:1">
      <c r="A1342" s="339"/>
    </row>
    <row r="1343" spans="1:1">
      <c r="A1343" s="339"/>
    </row>
    <row r="1344" spans="1:1">
      <c r="A1344" s="339"/>
    </row>
    <row r="1345" spans="1:1">
      <c r="A1345" s="339"/>
    </row>
    <row r="1346" spans="1:1">
      <c r="A1346" s="339"/>
    </row>
    <row r="1347" spans="1:1">
      <c r="A1347" s="339"/>
    </row>
    <row r="1348" spans="1:1">
      <c r="A1348" s="339"/>
    </row>
    <row r="1349" spans="1:1">
      <c r="A1349" s="339"/>
    </row>
    <row r="1350" spans="1:1">
      <c r="A1350" s="339"/>
    </row>
    <row r="1351" spans="1:1">
      <c r="A1351" s="339"/>
    </row>
    <row r="1352" spans="1:1">
      <c r="A1352" s="339"/>
    </row>
    <row r="1353" spans="1:1">
      <c r="A1353" s="339"/>
    </row>
    <row r="1354" spans="1:1">
      <c r="A1354" s="339"/>
    </row>
    <row r="1355" spans="1:1">
      <c r="A1355" s="339"/>
    </row>
    <row r="1356" spans="1:1">
      <c r="A1356" s="339"/>
    </row>
    <row r="1357" spans="1:1">
      <c r="A1357" s="339"/>
    </row>
    <row r="1358" spans="1:1">
      <c r="A1358" s="339"/>
    </row>
    <row r="1359" spans="1:1">
      <c r="A1359" s="339"/>
    </row>
    <row r="1360" spans="1:1">
      <c r="A1360" s="339"/>
    </row>
    <row r="1361" spans="1:1">
      <c r="A1361" s="339"/>
    </row>
    <row r="1362" spans="1:1">
      <c r="A1362" s="339"/>
    </row>
    <row r="1363" spans="1:1">
      <c r="A1363" s="339"/>
    </row>
    <row r="1364" spans="1:1">
      <c r="A1364" s="339"/>
    </row>
    <row r="1365" spans="1:1">
      <c r="A1365" s="339"/>
    </row>
    <row r="1366" spans="1:1">
      <c r="A1366" s="339"/>
    </row>
    <row r="1367" spans="1:1">
      <c r="A1367" s="339"/>
    </row>
    <row r="1368" spans="1:1">
      <c r="A1368" s="339"/>
    </row>
    <row r="1369" spans="1:1">
      <c r="A1369" s="339"/>
    </row>
    <row r="1370" spans="1:1">
      <c r="A1370" s="339"/>
    </row>
    <row r="1371" spans="1:1">
      <c r="A1371" s="339"/>
    </row>
    <row r="1372" spans="1:1">
      <c r="A1372" s="339"/>
    </row>
    <row r="1373" spans="1:1">
      <c r="A1373" s="339"/>
    </row>
    <row r="1374" spans="1:1">
      <c r="A1374" s="339"/>
    </row>
    <row r="1375" spans="1:1">
      <c r="A1375" s="339"/>
    </row>
    <row r="1376" spans="1:1">
      <c r="A1376" s="339"/>
    </row>
    <row r="1377" spans="1:1">
      <c r="A1377" s="339"/>
    </row>
    <row r="1378" spans="1:1">
      <c r="A1378" s="339"/>
    </row>
    <row r="1379" spans="1:1">
      <c r="A1379" s="339"/>
    </row>
    <row r="1380" spans="1:1">
      <c r="A1380" s="339"/>
    </row>
    <row r="1381" spans="1:1">
      <c r="A1381" s="339"/>
    </row>
    <row r="1382" spans="1:1">
      <c r="A1382" s="339"/>
    </row>
    <row r="1383" spans="1:1">
      <c r="A1383" s="339"/>
    </row>
    <row r="1384" spans="1:1">
      <c r="A1384" s="339"/>
    </row>
    <row r="1385" spans="1:1">
      <c r="A1385" s="339"/>
    </row>
    <row r="1386" spans="1:1">
      <c r="A1386" s="339"/>
    </row>
    <row r="1387" spans="1:1">
      <c r="A1387" s="339"/>
    </row>
    <row r="1388" spans="1:1">
      <c r="A1388" s="339"/>
    </row>
    <row r="1389" spans="1:1">
      <c r="A1389" s="339"/>
    </row>
    <row r="1390" spans="1:1">
      <c r="A1390" s="339"/>
    </row>
    <row r="1391" spans="1:1">
      <c r="A1391" s="339"/>
    </row>
    <row r="1392" spans="1:1">
      <c r="A1392" s="339"/>
    </row>
    <row r="1393" spans="1:1">
      <c r="A1393" s="339"/>
    </row>
    <row r="1394" spans="1:1">
      <c r="A1394" s="339"/>
    </row>
    <row r="1395" spans="1:1">
      <c r="A1395" s="339"/>
    </row>
    <row r="1396" spans="1:1">
      <c r="A1396" s="339"/>
    </row>
    <row r="1397" spans="1:1">
      <c r="A1397" s="339"/>
    </row>
    <row r="1398" spans="1:1">
      <c r="A1398" s="339"/>
    </row>
    <row r="1399" spans="1:1">
      <c r="A1399" s="339"/>
    </row>
    <row r="1400" spans="1:1">
      <c r="A1400" s="339"/>
    </row>
    <row r="1401" spans="1:1">
      <c r="A1401" s="339"/>
    </row>
    <row r="1402" spans="1:1">
      <c r="A1402" s="339"/>
    </row>
    <row r="1403" spans="1:1">
      <c r="A1403" s="339"/>
    </row>
    <row r="1404" spans="1:1">
      <c r="A1404" s="339"/>
    </row>
    <row r="1405" spans="1:1">
      <c r="A1405" s="339"/>
    </row>
    <row r="1406" spans="1:1">
      <c r="A1406" s="339"/>
    </row>
    <row r="1407" spans="1:1">
      <c r="A1407" s="339"/>
    </row>
    <row r="1408" spans="1:1">
      <c r="A1408" s="339"/>
    </row>
    <row r="1409" spans="1:1">
      <c r="A1409" s="339"/>
    </row>
    <row r="1410" spans="1:1">
      <c r="A1410" s="339"/>
    </row>
    <row r="1411" spans="1:1">
      <c r="A1411" s="339"/>
    </row>
    <row r="1412" spans="1:1">
      <c r="A1412" s="339"/>
    </row>
    <row r="1413" spans="1:1">
      <c r="A1413" s="339"/>
    </row>
    <row r="1414" spans="1:1">
      <c r="A1414" s="339"/>
    </row>
    <row r="1415" spans="1:1">
      <c r="A1415" s="339"/>
    </row>
    <row r="1416" spans="1:1">
      <c r="A1416" s="339"/>
    </row>
    <row r="1417" spans="1:1">
      <c r="A1417" s="339"/>
    </row>
    <row r="1418" spans="1:1">
      <c r="A1418" s="339"/>
    </row>
    <row r="1419" spans="1:1">
      <c r="A1419" s="339"/>
    </row>
    <row r="1420" spans="1:1">
      <c r="A1420" s="339"/>
    </row>
    <row r="1421" spans="1:1">
      <c r="A1421" s="339"/>
    </row>
    <row r="1422" spans="1:1">
      <c r="A1422" s="339"/>
    </row>
    <row r="1423" spans="1:1">
      <c r="A1423" s="339"/>
    </row>
    <row r="1424" spans="1:1">
      <c r="A1424" s="339"/>
    </row>
    <row r="1425" spans="1:1">
      <c r="A1425" s="339"/>
    </row>
    <row r="1426" spans="1:1">
      <c r="A1426" s="339"/>
    </row>
    <row r="1427" spans="1:1">
      <c r="A1427" s="339"/>
    </row>
    <row r="1428" spans="1:1">
      <c r="A1428" s="339"/>
    </row>
    <row r="1429" spans="1:1">
      <c r="A1429" s="339"/>
    </row>
    <row r="1430" spans="1:1">
      <c r="A1430" s="339"/>
    </row>
    <row r="1431" spans="1:1">
      <c r="A1431" s="339"/>
    </row>
    <row r="1432" spans="1:1">
      <c r="A1432" s="339"/>
    </row>
    <row r="1433" spans="1:1">
      <c r="A1433" s="339"/>
    </row>
    <row r="1434" spans="1:1">
      <c r="A1434" s="339"/>
    </row>
    <row r="1435" spans="1:1">
      <c r="A1435" s="339"/>
    </row>
    <row r="1436" spans="1:1">
      <c r="A1436" s="339"/>
    </row>
    <row r="1437" spans="1:1">
      <c r="A1437" s="339"/>
    </row>
    <row r="1438" spans="1:1">
      <c r="A1438" s="339"/>
    </row>
    <row r="1439" spans="1:1">
      <c r="A1439" s="339"/>
    </row>
    <row r="1440" spans="1:1">
      <c r="A1440" s="339"/>
    </row>
    <row r="1441" spans="1:1">
      <c r="A1441" s="339"/>
    </row>
    <row r="1442" spans="1:1">
      <c r="A1442" s="339"/>
    </row>
    <row r="1443" spans="1:1">
      <c r="A1443" s="339"/>
    </row>
    <row r="1444" spans="1:1">
      <c r="A1444" s="339"/>
    </row>
    <row r="1445" spans="1:1">
      <c r="A1445" s="339"/>
    </row>
    <row r="1446" spans="1:1">
      <c r="A1446" s="339"/>
    </row>
    <row r="1447" spans="1:1">
      <c r="A1447" s="339"/>
    </row>
    <row r="1448" spans="1:1">
      <c r="A1448" s="339"/>
    </row>
    <row r="1449" spans="1:1">
      <c r="A1449" s="339"/>
    </row>
    <row r="1450" spans="1:1">
      <c r="A1450" s="339"/>
    </row>
    <row r="1451" spans="1:1">
      <c r="A1451" s="339"/>
    </row>
    <row r="1452" spans="1:1">
      <c r="A1452" s="339"/>
    </row>
    <row r="1453" spans="1:1">
      <c r="A1453" s="339"/>
    </row>
    <row r="1454" spans="1:1">
      <c r="A1454" s="339"/>
    </row>
    <row r="1455" spans="1:1">
      <c r="A1455" s="339"/>
    </row>
    <row r="1456" spans="1:1">
      <c r="A1456" s="339"/>
    </row>
    <row r="1457" spans="1:1">
      <c r="A1457" s="339"/>
    </row>
    <row r="1458" spans="1:1">
      <c r="A1458" s="339"/>
    </row>
    <row r="1459" spans="1:1">
      <c r="A1459" s="339"/>
    </row>
    <row r="1460" spans="1:1">
      <c r="A1460" s="339"/>
    </row>
    <row r="1461" spans="1:1">
      <c r="A1461" s="339"/>
    </row>
    <row r="1462" spans="1:1">
      <c r="A1462" s="339"/>
    </row>
    <row r="1463" spans="1:1">
      <c r="A1463" s="339"/>
    </row>
    <row r="1464" spans="1:1">
      <c r="A1464" s="339"/>
    </row>
    <row r="1465" spans="1:1">
      <c r="A1465" s="339"/>
    </row>
    <row r="1466" spans="1:1">
      <c r="A1466" s="339"/>
    </row>
    <row r="1467" spans="1:1">
      <c r="A1467" s="339"/>
    </row>
    <row r="1468" spans="1:1">
      <c r="A1468" s="339"/>
    </row>
    <row r="1469" spans="1:1">
      <c r="A1469" s="339"/>
    </row>
    <row r="1470" spans="1:1">
      <c r="A1470" s="339"/>
    </row>
    <row r="1471" spans="1:1">
      <c r="A1471" s="339"/>
    </row>
    <row r="1472" spans="1:1">
      <c r="A1472" s="339"/>
    </row>
    <row r="1473" spans="1:1">
      <c r="A1473" s="339"/>
    </row>
    <row r="1474" spans="1:1">
      <c r="A1474" s="339"/>
    </row>
    <row r="1475" spans="1:1">
      <c r="A1475" s="339"/>
    </row>
    <row r="1476" spans="1:1">
      <c r="A1476" s="339"/>
    </row>
    <row r="1477" spans="1:1">
      <c r="A1477" s="339"/>
    </row>
    <row r="1478" spans="1:1">
      <c r="A1478" s="339"/>
    </row>
    <row r="1479" spans="1:1">
      <c r="A1479" s="339"/>
    </row>
    <row r="1480" spans="1:1">
      <c r="A1480" s="339"/>
    </row>
    <row r="1481" spans="1:1">
      <c r="A1481" s="339"/>
    </row>
    <row r="1482" spans="1:1">
      <c r="A1482" s="339"/>
    </row>
    <row r="1483" spans="1:1">
      <c r="A1483" s="339"/>
    </row>
    <row r="1484" spans="1:1">
      <c r="A1484" s="339"/>
    </row>
    <row r="1485" spans="1:1">
      <c r="A1485" s="339"/>
    </row>
    <row r="1486" spans="1:1">
      <c r="A1486" s="339"/>
    </row>
    <row r="1487" spans="1:1">
      <c r="A1487" s="339"/>
    </row>
    <row r="1488" spans="1:1">
      <c r="A1488" s="339"/>
    </row>
    <row r="1489" spans="1:1">
      <c r="A1489" s="339"/>
    </row>
    <row r="1490" spans="1:1">
      <c r="A1490" s="339"/>
    </row>
    <row r="1491" spans="1:1">
      <c r="A1491" s="339"/>
    </row>
    <row r="1492" spans="1:1">
      <c r="A1492" s="339"/>
    </row>
    <row r="1493" spans="1:1">
      <c r="A1493" s="339"/>
    </row>
    <row r="1494" spans="1:1">
      <c r="A1494" s="339"/>
    </row>
    <row r="1495" spans="1:1">
      <c r="A1495" s="339"/>
    </row>
    <row r="1496" spans="1:1">
      <c r="A1496" s="339"/>
    </row>
    <row r="1497" spans="1:1">
      <c r="A1497" s="339"/>
    </row>
    <row r="1498" spans="1:1">
      <c r="A1498" s="339"/>
    </row>
    <row r="1499" spans="1:1">
      <c r="A1499" s="339"/>
    </row>
    <row r="1500" spans="1:1">
      <c r="A1500" s="339"/>
    </row>
    <row r="1501" spans="1:1">
      <c r="A1501" s="339"/>
    </row>
    <row r="1502" spans="1:1">
      <c r="A1502" s="339"/>
    </row>
    <row r="1503" spans="1:1">
      <c r="A1503" s="339"/>
    </row>
    <row r="1504" spans="1:1">
      <c r="A1504" s="339"/>
    </row>
    <row r="1505" spans="1:1">
      <c r="A1505" s="339"/>
    </row>
    <row r="1506" spans="1:1">
      <c r="A1506" s="339"/>
    </row>
    <row r="1507" spans="1:1">
      <c r="A1507" s="339"/>
    </row>
    <row r="1508" spans="1:1">
      <c r="A1508" s="339"/>
    </row>
    <row r="1509" spans="1:1">
      <c r="A1509" s="339"/>
    </row>
    <row r="1510" spans="1:1">
      <c r="A1510" s="339"/>
    </row>
    <row r="1511" spans="1:1">
      <c r="A1511" s="339"/>
    </row>
    <row r="1512" spans="1:1">
      <c r="A1512" s="339"/>
    </row>
    <row r="1513" spans="1:1">
      <c r="A1513" s="339"/>
    </row>
    <row r="1514" spans="1:1">
      <c r="A1514" s="339"/>
    </row>
    <row r="1515" spans="1:1">
      <c r="A1515" s="339"/>
    </row>
    <row r="1516" spans="1:1">
      <c r="A1516" s="339"/>
    </row>
    <row r="1517" spans="1:1">
      <c r="A1517" s="339"/>
    </row>
    <row r="1518" spans="1:1">
      <c r="A1518" s="339"/>
    </row>
    <row r="1519" spans="1:1">
      <c r="A1519" s="339"/>
    </row>
    <row r="1520" spans="1:1">
      <c r="A1520" s="339"/>
    </row>
    <row r="1521" spans="1:1">
      <c r="A1521" s="339"/>
    </row>
    <row r="1522" spans="1:1">
      <c r="A1522" s="339"/>
    </row>
    <row r="1523" spans="1:1">
      <c r="A1523" s="339"/>
    </row>
    <row r="1524" spans="1:1">
      <c r="A1524" s="339"/>
    </row>
    <row r="1525" spans="1:1">
      <c r="A1525" s="339"/>
    </row>
    <row r="1526" spans="1:1">
      <c r="A1526" s="339"/>
    </row>
    <row r="1527" spans="1:1">
      <c r="A1527" s="339"/>
    </row>
    <row r="1528" spans="1:1">
      <c r="A1528" s="339"/>
    </row>
    <row r="1529" spans="1:1">
      <c r="A1529" s="339"/>
    </row>
    <row r="1530" spans="1:1">
      <c r="A1530" s="339"/>
    </row>
    <row r="1531" spans="1:1">
      <c r="A1531" s="339"/>
    </row>
    <row r="1532" spans="1:1">
      <c r="A1532" s="339"/>
    </row>
    <row r="1533" spans="1:1">
      <c r="A1533" s="339"/>
    </row>
    <row r="1534" spans="1:1">
      <c r="A1534" s="339"/>
    </row>
    <row r="1535" spans="1:1">
      <c r="A1535" s="339"/>
    </row>
    <row r="1536" spans="1:1">
      <c r="A1536" s="339"/>
    </row>
    <row r="1537" spans="1:1">
      <c r="A1537" s="339"/>
    </row>
    <row r="1538" spans="1:1">
      <c r="A1538" s="339"/>
    </row>
    <row r="1539" spans="1:1">
      <c r="A1539" s="339"/>
    </row>
    <row r="1540" spans="1:1">
      <c r="A1540" s="339"/>
    </row>
    <row r="1541" spans="1:1">
      <c r="A1541" s="339"/>
    </row>
    <row r="1542" spans="1:1">
      <c r="A1542" s="339"/>
    </row>
    <row r="1543" spans="1:1">
      <c r="A1543" s="339"/>
    </row>
    <row r="1544" spans="1:1">
      <c r="A1544" s="339"/>
    </row>
    <row r="1545" spans="1:1">
      <c r="A1545" s="339"/>
    </row>
    <row r="1546" spans="1:1">
      <c r="A1546" s="339"/>
    </row>
    <row r="1547" spans="1:1">
      <c r="A1547" s="339"/>
    </row>
    <row r="1548" spans="1:1">
      <c r="A1548" s="339"/>
    </row>
    <row r="1549" spans="1:1">
      <c r="A1549" s="339"/>
    </row>
    <row r="1550" spans="1:1">
      <c r="A1550" s="339"/>
    </row>
    <row r="1551" spans="1:1">
      <c r="A1551" s="339"/>
    </row>
    <row r="1552" spans="1:1">
      <c r="A1552" s="339"/>
    </row>
    <row r="1553" spans="1:1">
      <c r="A1553" s="339"/>
    </row>
    <row r="1554" spans="1:1">
      <c r="A1554" s="339"/>
    </row>
    <row r="1555" spans="1:1">
      <c r="A1555" s="339"/>
    </row>
    <row r="1556" spans="1:1">
      <c r="A1556" s="339"/>
    </row>
    <row r="1557" spans="1:1">
      <c r="A1557" s="339"/>
    </row>
    <row r="1558" spans="1:1">
      <c r="A1558" s="339"/>
    </row>
    <row r="1559" spans="1:1">
      <c r="A1559" s="339"/>
    </row>
    <row r="1560" spans="1:1">
      <c r="A1560" s="339"/>
    </row>
    <row r="1561" spans="1:1">
      <c r="A1561" s="339"/>
    </row>
    <row r="1562" spans="1:1">
      <c r="A1562" s="339"/>
    </row>
    <row r="1563" spans="1:1">
      <c r="A1563" s="339"/>
    </row>
    <row r="1564" spans="1:1">
      <c r="A1564" s="339"/>
    </row>
    <row r="1565" spans="1:1">
      <c r="A1565" s="339"/>
    </row>
    <row r="1566" spans="1:1">
      <c r="A1566" s="339"/>
    </row>
    <row r="1567" spans="1:1">
      <c r="A1567" s="339"/>
    </row>
    <row r="1568" spans="1:1">
      <c r="A1568" s="339"/>
    </row>
    <row r="1569" spans="1:1">
      <c r="A1569" s="339"/>
    </row>
    <row r="1570" spans="1:1">
      <c r="A1570" s="339"/>
    </row>
    <row r="1571" spans="1:1">
      <c r="A1571" s="339"/>
    </row>
    <row r="1572" spans="1:1">
      <c r="A1572" s="339"/>
    </row>
    <row r="1573" spans="1:1">
      <c r="A1573" s="339"/>
    </row>
    <row r="1574" spans="1:1">
      <c r="A1574" s="339"/>
    </row>
    <row r="1575" spans="1:1">
      <c r="A1575" s="339"/>
    </row>
    <row r="1576" spans="1:1">
      <c r="A1576" s="339"/>
    </row>
    <row r="1577" spans="1:1">
      <c r="A1577" s="339"/>
    </row>
    <row r="1578" spans="1:1">
      <c r="A1578" s="339"/>
    </row>
    <row r="1579" spans="1:1">
      <c r="A1579" s="339"/>
    </row>
    <row r="1580" spans="1:1">
      <c r="A1580" s="339"/>
    </row>
    <row r="1581" spans="1:1">
      <c r="A1581" s="339"/>
    </row>
    <row r="1582" spans="1:1">
      <c r="A1582" s="339"/>
    </row>
    <row r="1583" spans="1:1">
      <c r="A1583" s="339"/>
    </row>
    <row r="1584" spans="1:1">
      <c r="A1584" s="339"/>
    </row>
    <row r="1585" spans="1:1">
      <c r="A1585" s="339"/>
    </row>
    <row r="1586" spans="1:1">
      <c r="A1586" s="339"/>
    </row>
    <row r="1587" spans="1:1">
      <c r="A1587" s="339"/>
    </row>
    <row r="1588" spans="1:1">
      <c r="A1588" s="339"/>
    </row>
    <row r="1589" spans="1:1">
      <c r="A1589" s="339"/>
    </row>
    <row r="1590" spans="1:1">
      <c r="A1590" s="339"/>
    </row>
    <row r="1591" spans="1:1">
      <c r="A1591" s="339"/>
    </row>
    <row r="1592" spans="1:1">
      <c r="A1592" s="339"/>
    </row>
    <row r="1593" spans="1:1">
      <c r="A1593" s="339"/>
    </row>
    <row r="1594" spans="1:1">
      <c r="A1594" s="339"/>
    </row>
    <row r="1595" spans="1:1">
      <c r="A1595" s="339"/>
    </row>
    <row r="1596" spans="1:1">
      <c r="A1596" s="339"/>
    </row>
    <row r="1597" spans="1:1">
      <c r="A1597" s="339"/>
    </row>
    <row r="1598" spans="1:1">
      <c r="A1598" s="339"/>
    </row>
    <row r="1599" spans="1:1">
      <c r="A1599" s="339"/>
    </row>
    <row r="1600" spans="1:1">
      <c r="A1600" s="339"/>
    </row>
    <row r="1601" spans="1:1">
      <c r="A1601" s="339"/>
    </row>
    <row r="1602" spans="1:1">
      <c r="A1602" s="339"/>
    </row>
    <row r="1603" spans="1:1">
      <c r="A1603" s="339"/>
    </row>
    <row r="1604" spans="1:1">
      <c r="A1604" s="339"/>
    </row>
    <row r="1605" spans="1:1">
      <c r="A1605" s="339"/>
    </row>
    <row r="1606" spans="1:1">
      <c r="A1606" s="339"/>
    </row>
    <row r="1607" spans="1:1">
      <c r="A1607" s="339"/>
    </row>
    <row r="1608" spans="1:1">
      <c r="A1608" s="339"/>
    </row>
    <row r="1609" spans="1:1">
      <c r="A1609" s="339"/>
    </row>
    <row r="1610" spans="1:1">
      <c r="A1610" s="339"/>
    </row>
    <row r="1611" spans="1:1">
      <c r="A1611" s="339"/>
    </row>
    <row r="1612" spans="1:1">
      <c r="A1612" s="339"/>
    </row>
    <row r="1613" spans="1:1">
      <c r="A1613" s="339"/>
    </row>
    <row r="1614" spans="1:1">
      <c r="A1614" s="339"/>
    </row>
    <row r="1615" spans="1:1">
      <c r="A1615" s="339"/>
    </row>
    <row r="1616" spans="1:1">
      <c r="A1616" s="339"/>
    </row>
    <row r="1617" spans="1:1">
      <c r="A1617" s="339"/>
    </row>
    <row r="1618" spans="1:1">
      <c r="A1618" s="339"/>
    </row>
    <row r="1619" spans="1:1">
      <c r="A1619" s="339"/>
    </row>
    <row r="1620" spans="1:1">
      <c r="A1620" s="339"/>
    </row>
    <row r="1621" spans="1:1">
      <c r="A1621" s="339"/>
    </row>
    <row r="1622" spans="1:1">
      <c r="A1622" s="339"/>
    </row>
    <row r="1623" spans="1:1">
      <c r="A1623" s="339"/>
    </row>
    <row r="1624" spans="1:1">
      <c r="A1624" s="339"/>
    </row>
    <row r="1625" spans="1:1">
      <c r="A1625" s="339"/>
    </row>
    <row r="1626" spans="1:1">
      <c r="A1626" s="339"/>
    </row>
    <row r="1627" spans="1:1">
      <c r="A1627" s="339"/>
    </row>
    <row r="1628" spans="1:1">
      <c r="A1628" s="339"/>
    </row>
    <row r="1629" spans="1:1">
      <c r="A1629" s="339"/>
    </row>
    <row r="1630" spans="1:1">
      <c r="A1630" s="339"/>
    </row>
    <row r="1631" spans="1:1">
      <c r="A1631" s="339"/>
    </row>
    <row r="1632" spans="1:1">
      <c r="A1632" s="339"/>
    </row>
    <row r="1633" spans="1:1">
      <c r="A1633" s="339"/>
    </row>
    <row r="1634" spans="1:1">
      <c r="A1634" s="339"/>
    </row>
    <row r="1635" spans="1:1">
      <c r="A1635" s="339"/>
    </row>
    <row r="1636" spans="1:1">
      <c r="A1636" s="339"/>
    </row>
    <row r="1637" spans="1:1">
      <c r="A1637" s="339"/>
    </row>
    <row r="1638" spans="1:1">
      <c r="A1638" s="339"/>
    </row>
    <row r="1639" spans="1:1">
      <c r="A1639" s="339"/>
    </row>
    <row r="1640" spans="1:1">
      <c r="A1640" s="339"/>
    </row>
    <row r="1641" spans="1:1">
      <c r="A1641" s="339"/>
    </row>
    <row r="1642" spans="1:1">
      <c r="A1642" s="339"/>
    </row>
    <row r="1643" spans="1:1">
      <c r="A1643" s="339"/>
    </row>
    <row r="1644" spans="1:1">
      <c r="A1644" s="339"/>
    </row>
    <row r="1645" spans="1:1">
      <c r="A1645" s="339"/>
    </row>
    <row r="1646" spans="1:1">
      <c r="A1646" s="339"/>
    </row>
    <row r="1647" spans="1:1">
      <c r="A1647" s="339"/>
    </row>
    <row r="1648" spans="1:1">
      <c r="A1648" s="339"/>
    </row>
    <row r="1649" spans="1:1">
      <c r="A1649" s="339"/>
    </row>
    <row r="1650" spans="1:1">
      <c r="A1650" s="339"/>
    </row>
    <row r="1651" spans="1:1">
      <c r="A1651" s="339"/>
    </row>
    <row r="1652" spans="1:1">
      <c r="A1652" s="339"/>
    </row>
    <row r="1653" spans="1:1">
      <c r="A1653" s="339"/>
    </row>
    <row r="1654" spans="1:1">
      <c r="A1654" s="339"/>
    </row>
    <row r="1655" spans="1:1">
      <c r="A1655" s="339"/>
    </row>
    <row r="1656" spans="1:1">
      <c r="A1656" s="339"/>
    </row>
    <row r="1657" spans="1:1">
      <c r="A1657" s="339"/>
    </row>
    <row r="1658" spans="1:1">
      <c r="A1658" s="339"/>
    </row>
    <row r="1659" spans="1:1">
      <c r="A1659" s="339"/>
    </row>
    <row r="1660" spans="1:1">
      <c r="A1660" s="339"/>
    </row>
    <row r="1661" spans="1:1">
      <c r="A1661" s="339"/>
    </row>
    <row r="1662" spans="1:1">
      <c r="A1662" s="339"/>
    </row>
    <row r="1663" spans="1:1">
      <c r="A1663" s="339"/>
    </row>
    <row r="1664" spans="1:1">
      <c r="A1664" s="339"/>
    </row>
    <row r="1665" spans="1:1">
      <c r="A1665" s="339"/>
    </row>
    <row r="1666" spans="1:1">
      <c r="A1666" s="339"/>
    </row>
    <row r="1667" spans="1:1">
      <c r="A1667" s="339"/>
    </row>
    <row r="1668" spans="1:1">
      <c r="A1668" s="339"/>
    </row>
    <row r="1669" spans="1:1">
      <c r="A1669" s="339"/>
    </row>
    <row r="1670" spans="1:1">
      <c r="A1670" s="339"/>
    </row>
    <row r="1671" spans="1:1">
      <c r="A1671" s="339"/>
    </row>
    <row r="1672" spans="1:1">
      <c r="A1672" s="339"/>
    </row>
    <row r="1673" spans="1:1">
      <c r="A1673" s="339"/>
    </row>
    <row r="1674" spans="1:1">
      <c r="A1674" s="339"/>
    </row>
    <row r="1675" spans="1:1">
      <c r="A1675" s="339"/>
    </row>
    <row r="1676" spans="1:1">
      <c r="A1676" s="339"/>
    </row>
    <row r="1677" spans="1:1">
      <c r="A1677" s="339"/>
    </row>
    <row r="1678" spans="1:1">
      <c r="A1678" s="339"/>
    </row>
    <row r="1679" spans="1:1">
      <c r="A1679" s="339"/>
    </row>
    <row r="1680" spans="1:1">
      <c r="A1680" s="339"/>
    </row>
    <row r="1681" spans="1:1">
      <c r="A1681" s="339"/>
    </row>
    <row r="1682" spans="1:1">
      <c r="A1682" s="339"/>
    </row>
    <row r="1683" spans="1:1">
      <c r="A1683" s="339"/>
    </row>
    <row r="1684" spans="1:1">
      <c r="A1684" s="339"/>
    </row>
    <row r="1685" spans="1:1">
      <c r="A1685" s="339"/>
    </row>
    <row r="1686" spans="1:1">
      <c r="A1686" s="339"/>
    </row>
    <row r="1687" spans="1:1">
      <c r="A1687" s="339"/>
    </row>
    <row r="1688" spans="1:1">
      <c r="A1688" s="339"/>
    </row>
    <row r="1689" spans="1:1">
      <c r="A1689" s="339"/>
    </row>
    <row r="1690" spans="1:1">
      <c r="A1690" s="339"/>
    </row>
    <row r="1691" spans="1:1">
      <c r="A1691" s="339"/>
    </row>
    <row r="1692" spans="1:1">
      <c r="A1692" s="339"/>
    </row>
    <row r="1693" spans="1:1">
      <c r="A1693" s="339"/>
    </row>
    <row r="1694" spans="1:1">
      <c r="A1694" s="339"/>
    </row>
    <row r="1695" spans="1:1">
      <c r="A1695" s="339"/>
    </row>
    <row r="1696" spans="1:1">
      <c r="A1696" s="339"/>
    </row>
    <row r="1697" spans="1:1">
      <c r="A1697" s="339"/>
    </row>
    <row r="1698" spans="1:1">
      <c r="A1698" s="339"/>
    </row>
    <row r="1699" spans="1:1">
      <c r="A1699" s="339"/>
    </row>
    <row r="1700" spans="1:1">
      <c r="A1700" s="339"/>
    </row>
    <row r="1701" spans="1:1">
      <c r="A1701" s="339"/>
    </row>
    <row r="1702" spans="1:1">
      <c r="A1702" s="339"/>
    </row>
    <row r="1703" spans="1:1">
      <c r="A1703" s="339"/>
    </row>
    <row r="1704" spans="1:1">
      <c r="A1704" s="339"/>
    </row>
    <row r="1705" spans="1:1">
      <c r="A1705" s="339"/>
    </row>
    <row r="1706" spans="1:1">
      <c r="A1706" s="339"/>
    </row>
    <row r="1707" spans="1:1">
      <c r="A1707" s="339"/>
    </row>
    <row r="1708" spans="1:1">
      <c r="A1708" s="339"/>
    </row>
    <row r="1709" spans="1:1">
      <c r="A1709" s="339"/>
    </row>
    <row r="1710" spans="1:1">
      <c r="A1710" s="339"/>
    </row>
    <row r="1711" spans="1:1">
      <c r="A1711" s="339"/>
    </row>
    <row r="1712" spans="1:1">
      <c r="A1712" s="339"/>
    </row>
    <row r="1713" spans="1:1">
      <c r="A1713" s="339"/>
    </row>
    <row r="1714" spans="1:1">
      <c r="A1714" s="339"/>
    </row>
    <row r="1715" spans="1:1">
      <c r="A1715" s="339"/>
    </row>
    <row r="1716" spans="1:1">
      <c r="A1716" s="339"/>
    </row>
    <row r="1717" spans="1:1">
      <c r="A1717" s="339"/>
    </row>
    <row r="1718" spans="1:1">
      <c r="A1718" s="339"/>
    </row>
    <row r="1719" spans="1:1">
      <c r="A1719" s="339"/>
    </row>
    <row r="1720" spans="1:1">
      <c r="A1720" s="339"/>
    </row>
    <row r="1721" spans="1:1">
      <c r="A1721" s="339"/>
    </row>
    <row r="1722" spans="1:1">
      <c r="A1722" s="339"/>
    </row>
    <row r="1723" spans="1:1">
      <c r="A1723" s="339"/>
    </row>
    <row r="1724" spans="1:1">
      <c r="A1724" s="339"/>
    </row>
    <row r="1725" spans="1:1">
      <c r="A1725" s="339"/>
    </row>
    <row r="1726" spans="1:1">
      <c r="A1726" s="339"/>
    </row>
    <row r="1727" spans="1:1">
      <c r="A1727" s="339"/>
    </row>
    <row r="1728" spans="1:1">
      <c r="A1728" s="339"/>
    </row>
    <row r="1729" spans="1:1">
      <c r="A1729" s="339"/>
    </row>
    <row r="1730" spans="1:1">
      <c r="A1730" s="339"/>
    </row>
    <row r="1731" spans="1:1">
      <c r="A1731" s="339"/>
    </row>
    <row r="1732" spans="1:1">
      <c r="A1732" s="339"/>
    </row>
    <row r="1733" spans="1:1">
      <c r="A1733" s="339"/>
    </row>
    <row r="1734" spans="1:1">
      <c r="A1734" s="339"/>
    </row>
    <row r="1735" spans="1:1">
      <c r="A1735" s="339"/>
    </row>
    <row r="1736" spans="1:1">
      <c r="A1736" s="339"/>
    </row>
    <row r="1737" spans="1:1">
      <c r="A1737" s="339"/>
    </row>
    <row r="1738" spans="1:1">
      <c r="A1738" s="339"/>
    </row>
    <row r="1739" spans="1:1">
      <c r="A1739" s="339"/>
    </row>
    <row r="1740" spans="1:1">
      <c r="A1740" s="339"/>
    </row>
    <row r="1741" spans="1:1">
      <c r="A1741" s="339"/>
    </row>
    <row r="1742" spans="1:1">
      <c r="A1742" s="339"/>
    </row>
    <row r="1743" spans="1:1">
      <c r="A1743" s="339"/>
    </row>
    <row r="1744" spans="1:1">
      <c r="A1744" s="339"/>
    </row>
    <row r="1745" spans="1:1">
      <c r="A1745" s="339"/>
    </row>
    <row r="1746" spans="1:1">
      <c r="A1746" s="339"/>
    </row>
    <row r="1747" spans="1:1">
      <c r="A1747" s="339"/>
    </row>
    <row r="1748" spans="1:1">
      <c r="A1748" s="339"/>
    </row>
    <row r="1749" spans="1:1">
      <c r="A1749" s="339"/>
    </row>
    <row r="1750" spans="1:1">
      <c r="A1750" s="339"/>
    </row>
    <row r="1751" spans="1:1">
      <c r="A1751" s="339"/>
    </row>
    <row r="1752" spans="1:1">
      <c r="A1752" s="339"/>
    </row>
    <row r="1753" spans="1:1">
      <c r="A1753" s="339"/>
    </row>
    <row r="1754" spans="1:1">
      <c r="A1754" s="339"/>
    </row>
    <row r="1755" spans="1:1">
      <c r="A1755" s="339"/>
    </row>
    <row r="1756" spans="1:1">
      <c r="A1756" s="339"/>
    </row>
    <row r="1757" spans="1:1">
      <c r="A1757" s="339"/>
    </row>
    <row r="1758" spans="1:1">
      <c r="A1758" s="339"/>
    </row>
    <row r="1759" spans="1:1">
      <c r="A1759" s="339"/>
    </row>
    <row r="1760" spans="1:1">
      <c r="A1760" s="339"/>
    </row>
    <row r="1761" spans="1:1">
      <c r="A1761" s="339"/>
    </row>
    <row r="1762" spans="1:1">
      <c r="A1762" s="339"/>
    </row>
    <row r="1763" spans="1:1">
      <c r="A1763" s="339"/>
    </row>
    <row r="1764" spans="1:1">
      <c r="A1764" s="339"/>
    </row>
    <row r="1765" spans="1:1">
      <c r="A1765" s="339"/>
    </row>
    <row r="1766" spans="1:1">
      <c r="A1766" s="339"/>
    </row>
    <row r="1767" spans="1:1">
      <c r="A1767" s="339"/>
    </row>
    <row r="1768" spans="1:1">
      <c r="A1768" s="339"/>
    </row>
    <row r="1769" spans="1:1">
      <c r="A1769" s="339"/>
    </row>
    <row r="1770" spans="1:1">
      <c r="A1770" s="339"/>
    </row>
    <row r="1771" spans="1:1">
      <c r="A1771" s="339"/>
    </row>
    <row r="1772" spans="1:1">
      <c r="A1772" s="339"/>
    </row>
    <row r="1773" spans="1:1">
      <c r="A1773" s="339"/>
    </row>
    <row r="1774" spans="1:1">
      <c r="A1774" s="339"/>
    </row>
    <row r="1775" spans="1:1">
      <c r="A1775" s="339"/>
    </row>
    <row r="1776" spans="1:1">
      <c r="A1776" s="339"/>
    </row>
    <row r="1777" spans="1:1">
      <c r="A1777" s="339"/>
    </row>
    <row r="1778" spans="1:1">
      <c r="A1778" s="339"/>
    </row>
    <row r="1779" spans="1:1">
      <c r="A1779" s="339"/>
    </row>
    <row r="1780" spans="1:1">
      <c r="A1780" s="339"/>
    </row>
    <row r="1781" spans="1:1">
      <c r="A1781" s="339"/>
    </row>
    <row r="1782" spans="1:1">
      <c r="A1782" s="339"/>
    </row>
    <row r="1783" spans="1:1">
      <c r="A1783" s="339"/>
    </row>
    <row r="1784" spans="1:1">
      <c r="A1784" s="339"/>
    </row>
    <row r="1785" spans="1:1">
      <c r="A1785" s="339"/>
    </row>
    <row r="1786" spans="1:1">
      <c r="A1786" s="339"/>
    </row>
    <row r="1787" spans="1:1">
      <c r="A1787" s="339"/>
    </row>
    <row r="1788" spans="1:1">
      <c r="A1788" s="339"/>
    </row>
    <row r="1789" spans="1:1">
      <c r="A1789" s="339"/>
    </row>
    <row r="1790" spans="1:1">
      <c r="A1790" s="339"/>
    </row>
    <row r="1791" spans="1:1">
      <c r="A1791" s="339"/>
    </row>
    <row r="1792" spans="1:1">
      <c r="A1792" s="339"/>
    </row>
    <row r="1793" spans="1:1">
      <c r="A1793" s="339"/>
    </row>
    <row r="1794" spans="1:1">
      <c r="A1794" s="339"/>
    </row>
    <row r="1795" spans="1:1">
      <c r="A1795" s="339"/>
    </row>
    <row r="1796" spans="1:1">
      <c r="A1796" s="339"/>
    </row>
    <row r="1797" spans="1:1">
      <c r="A1797" s="339"/>
    </row>
    <row r="1798" spans="1:1">
      <c r="A1798" s="339"/>
    </row>
    <row r="1799" spans="1:1">
      <c r="A1799" s="339"/>
    </row>
    <row r="1800" spans="1:1">
      <c r="A1800" s="339"/>
    </row>
    <row r="1801" spans="1:1">
      <c r="A1801" s="339"/>
    </row>
    <row r="1802" spans="1:1">
      <c r="A1802" s="339"/>
    </row>
    <row r="1803" spans="1:1">
      <c r="A1803" s="339"/>
    </row>
    <row r="1804" spans="1:1">
      <c r="A1804" s="339"/>
    </row>
    <row r="1805" spans="1:1">
      <c r="A1805" s="339"/>
    </row>
    <row r="1806" spans="1:1">
      <c r="A1806" s="339"/>
    </row>
    <row r="1807" spans="1:1">
      <c r="A1807" s="339"/>
    </row>
    <row r="1808" spans="1:1">
      <c r="A1808" s="339"/>
    </row>
    <row r="1809" spans="1:1">
      <c r="A1809" s="339"/>
    </row>
    <row r="1810" spans="1:1">
      <c r="A1810" s="339"/>
    </row>
    <row r="1811" spans="1:1">
      <c r="A1811" s="339"/>
    </row>
    <row r="1812" spans="1:1">
      <c r="A1812" s="339"/>
    </row>
    <row r="1813" spans="1:1">
      <c r="A1813" s="339"/>
    </row>
    <row r="1814" spans="1:1">
      <c r="A1814" s="339"/>
    </row>
    <row r="1815" spans="1:1">
      <c r="A1815" s="339"/>
    </row>
    <row r="1816" spans="1:1">
      <c r="A1816" s="339"/>
    </row>
    <row r="1817" spans="1:1">
      <c r="A1817" s="339"/>
    </row>
    <row r="1818" spans="1:1">
      <c r="A1818" s="339"/>
    </row>
    <row r="1819" spans="1:1">
      <c r="A1819" s="339"/>
    </row>
    <row r="1820" spans="1:1">
      <c r="A1820" s="339"/>
    </row>
    <row r="1821" spans="1:1">
      <c r="A1821" s="339"/>
    </row>
    <row r="1822" spans="1:1">
      <c r="A1822" s="339"/>
    </row>
    <row r="1823" spans="1:1">
      <c r="A1823" s="339"/>
    </row>
    <row r="1824" spans="1:1">
      <c r="A1824" s="339"/>
    </row>
    <row r="1825" spans="1:1">
      <c r="A1825" s="339"/>
    </row>
    <row r="1826" spans="1:1">
      <c r="A1826" s="339"/>
    </row>
    <row r="1827" spans="1:1">
      <c r="A1827" s="339"/>
    </row>
    <row r="1828" spans="1:1">
      <c r="A1828" s="339"/>
    </row>
    <row r="1829" spans="1:1">
      <c r="A1829" s="339"/>
    </row>
    <row r="1830" spans="1:1">
      <c r="A1830" s="339"/>
    </row>
    <row r="1831" spans="1:1">
      <c r="A1831" s="339"/>
    </row>
    <row r="1832" spans="1:1">
      <c r="A1832" s="339"/>
    </row>
    <row r="1833" spans="1:1">
      <c r="A1833" s="339"/>
    </row>
    <row r="1834" spans="1:1">
      <c r="A1834" s="339"/>
    </row>
    <row r="1835" spans="1:1">
      <c r="A1835" s="339"/>
    </row>
    <row r="1836" spans="1:1">
      <c r="A1836" s="339"/>
    </row>
    <row r="1837" spans="1:1">
      <c r="A1837" s="339"/>
    </row>
    <row r="1838" spans="1:1">
      <c r="A1838" s="339"/>
    </row>
    <row r="1839" spans="1:1">
      <c r="A1839" s="339"/>
    </row>
    <row r="1840" spans="1:1">
      <c r="A1840" s="339"/>
    </row>
    <row r="1841" spans="1:1">
      <c r="A1841" s="339"/>
    </row>
    <row r="1842" spans="1:1">
      <c r="A1842" s="339"/>
    </row>
    <row r="1843" spans="1:1">
      <c r="A1843" s="339"/>
    </row>
    <row r="1844" spans="1:1">
      <c r="A1844" s="339"/>
    </row>
    <row r="1845" spans="1:1">
      <c r="A1845" s="339"/>
    </row>
    <row r="1846" spans="1:1">
      <c r="A1846" s="339"/>
    </row>
    <row r="1847" spans="1:1">
      <c r="A1847" s="339"/>
    </row>
    <row r="1848" spans="1:1">
      <c r="A1848" s="339"/>
    </row>
    <row r="1849" spans="1:1">
      <c r="A1849" s="339"/>
    </row>
    <row r="1850" spans="1:1">
      <c r="A1850" s="339"/>
    </row>
    <row r="1851" spans="1:1">
      <c r="A1851" s="339"/>
    </row>
    <row r="1852" spans="1:1">
      <c r="A1852" s="339"/>
    </row>
    <row r="1853" spans="1:1">
      <c r="A1853" s="339"/>
    </row>
    <row r="1854" spans="1:1">
      <c r="A1854" s="339"/>
    </row>
    <row r="1855" spans="1:1">
      <c r="A1855" s="339"/>
    </row>
    <row r="1856" spans="1:1">
      <c r="A1856" s="339"/>
    </row>
    <row r="1857" spans="1:1">
      <c r="A1857" s="339"/>
    </row>
    <row r="1858" spans="1:1">
      <c r="A1858" s="339"/>
    </row>
    <row r="1859" spans="1:1">
      <c r="A1859" s="339"/>
    </row>
    <row r="1860" spans="1:1">
      <c r="A1860" s="339"/>
    </row>
    <row r="1861" spans="1:1">
      <c r="A1861" s="339"/>
    </row>
    <row r="1862" spans="1:1">
      <c r="A1862" s="339"/>
    </row>
    <row r="1863" spans="1:1">
      <c r="A1863" s="339"/>
    </row>
    <row r="1864" spans="1:1">
      <c r="A1864" s="339"/>
    </row>
    <row r="1865" spans="1:1">
      <c r="A1865" s="339"/>
    </row>
    <row r="1866" spans="1:1">
      <c r="A1866" s="339"/>
    </row>
    <row r="1867" spans="1:1">
      <c r="A1867" s="339"/>
    </row>
    <row r="1868" spans="1:1">
      <c r="A1868" s="339"/>
    </row>
    <row r="1869" spans="1:1">
      <c r="A1869" s="339"/>
    </row>
    <row r="1870" spans="1:1">
      <c r="A1870" s="339"/>
    </row>
    <row r="1871" spans="1:1">
      <c r="A1871" s="339"/>
    </row>
    <row r="1872" spans="1:1">
      <c r="A1872" s="339"/>
    </row>
    <row r="1873" spans="1:1">
      <c r="A1873" s="339"/>
    </row>
    <row r="1874" spans="1:1">
      <c r="A1874" s="339"/>
    </row>
    <row r="1875" spans="1:1">
      <c r="A1875" s="339"/>
    </row>
    <row r="1876" spans="1:1">
      <c r="A1876" s="339"/>
    </row>
    <row r="1877" spans="1:1">
      <c r="A1877" s="339"/>
    </row>
    <row r="1878" spans="1:1">
      <c r="A1878" s="339"/>
    </row>
    <row r="1879" spans="1:1">
      <c r="A1879" s="339"/>
    </row>
    <row r="1880" spans="1:1">
      <c r="A1880" s="339"/>
    </row>
    <row r="1881" spans="1:1">
      <c r="A1881" s="339"/>
    </row>
    <row r="1882" spans="1:1">
      <c r="A1882" s="339"/>
    </row>
    <row r="1883" spans="1:1">
      <c r="A1883" s="339"/>
    </row>
    <row r="1884" spans="1:1">
      <c r="A1884" s="339"/>
    </row>
    <row r="1885" spans="1:1">
      <c r="A1885" s="339"/>
    </row>
    <row r="1886" spans="1:1">
      <c r="A1886" s="339"/>
    </row>
    <row r="1887" spans="1:1">
      <c r="A1887" s="339"/>
    </row>
    <row r="1888" spans="1:1">
      <c r="A1888" s="339"/>
    </row>
    <row r="1889" spans="1:1">
      <c r="A1889" s="339"/>
    </row>
    <row r="1890" spans="1:1">
      <c r="A1890" s="339"/>
    </row>
    <row r="1891" spans="1:1">
      <c r="A1891" s="339"/>
    </row>
    <row r="1892" spans="1:1">
      <c r="A1892" s="339"/>
    </row>
    <row r="1893" spans="1:1">
      <c r="A1893" s="339"/>
    </row>
    <row r="1894" spans="1:1">
      <c r="A1894" s="339"/>
    </row>
    <row r="1895" spans="1:1">
      <c r="A1895" s="339"/>
    </row>
    <row r="1896" spans="1:1">
      <c r="A1896" s="339"/>
    </row>
    <row r="1897" spans="1:1">
      <c r="A1897" s="339"/>
    </row>
    <row r="1898" spans="1:1">
      <c r="A1898" s="339"/>
    </row>
    <row r="1899" spans="1:1">
      <c r="A1899" s="339"/>
    </row>
    <row r="1900" spans="1:1">
      <c r="A1900" s="339"/>
    </row>
    <row r="1901" spans="1:1">
      <c r="A1901" s="339"/>
    </row>
    <row r="1902" spans="1:1">
      <c r="A1902" s="339"/>
    </row>
    <row r="1903" spans="1:1">
      <c r="A1903" s="339"/>
    </row>
    <row r="1904" spans="1:1">
      <c r="A1904" s="339"/>
    </row>
    <row r="1905" spans="1:1">
      <c r="A1905" s="339"/>
    </row>
    <row r="1906" spans="1:1">
      <c r="A1906" s="339"/>
    </row>
    <row r="1907" spans="1:1">
      <c r="A1907" s="339"/>
    </row>
    <row r="1908" spans="1:1">
      <c r="A1908" s="339"/>
    </row>
    <row r="1909" spans="1:1">
      <c r="A1909" s="339"/>
    </row>
    <row r="1910" spans="1:1">
      <c r="A1910" s="339"/>
    </row>
    <row r="1911" spans="1:1">
      <c r="A1911" s="339"/>
    </row>
    <row r="1912" spans="1:1">
      <c r="A1912" s="339"/>
    </row>
    <row r="1913" spans="1:1">
      <c r="A1913" s="339"/>
    </row>
    <row r="1914" spans="1:1">
      <c r="A1914" s="339"/>
    </row>
    <row r="1915" spans="1:1">
      <c r="A1915" s="339"/>
    </row>
    <row r="1916" spans="1:1">
      <c r="A1916" s="339"/>
    </row>
    <row r="1917" spans="1:1">
      <c r="A1917" s="339"/>
    </row>
    <row r="1918" spans="1:1">
      <c r="A1918" s="339"/>
    </row>
    <row r="1919" spans="1:1">
      <c r="A1919" s="339"/>
    </row>
    <row r="1920" spans="1:1">
      <c r="A1920" s="339"/>
    </row>
    <row r="1921" spans="1:1">
      <c r="A1921" s="339"/>
    </row>
    <row r="1922" spans="1:1">
      <c r="A1922" s="339"/>
    </row>
    <row r="1923" spans="1:1">
      <c r="A1923" s="339"/>
    </row>
    <row r="1924" spans="1:1">
      <c r="A1924" s="339"/>
    </row>
    <row r="1925" spans="1:1">
      <c r="A1925" s="339"/>
    </row>
    <row r="1926" spans="1:1">
      <c r="A1926" s="339"/>
    </row>
    <row r="1927" spans="1:1">
      <c r="A1927" s="339"/>
    </row>
    <row r="1928" spans="1:1">
      <c r="A1928" s="339"/>
    </row>
    <row r="1929" spans="1:1">
      <c r="A1929" s="339"/>
    </row>
    <row r="1930" spans="1:1">
      <c r="A1930" s="339"/>
    </row>
    <row r="1931" spans="1:1">
      <c r="A1931" s="339"/>
    </row>
    <row r="1932" spans="1:1">
      <c r="A1932" s="339"/>
    </row>
    <row r="1933" spans="1:1">
      <c r="A1933" s="339"/>
    </row>
    <row r="1934" spans="1:1">
      <c r="A1934" s="339"/>
    </row>
    <row r="1935" spans="1:1">
      <c r="A1935" s="339"/>
    </row>
    <row r="1936" spans="1:1">
      <c r="A1936" s="339"/>
    </row>
    <row r="1937" spans="1:1">
      <c r="A1937" s="339"/>
    </row>
    <row r="1938" spans="1:1">
      <c r="A1938" s="339"/>
    </row>
    <row r="1939" spans="1:1">
      <c r="A1939" s="339"/>
    </row>
    <row r="1940" spans="1:1">
      <c r="A1940" s="339"/>
    </row>
    <row r="1941" spans="1:1">
      <c r="A1941" s="339"/>
    </row>
    <row r="1942" spans="1:1">
      <c r="A1942" s="339"/>
    </row>
    <row r="1943" spans="1:1">
      <c r="A1943" s="339"/>
    </row>
    <row r="1944" spans="1:1">
      <c r="A1944" s="339"/>
    </row>
    <row r="1945" spans="1:1">
      <c r="A1945" s="339"/>
    </row>
    <row r="1946" spans="1:1">
      <c r="A1946" s="339"/>
    </row>
    <row r="1947" spans="1:1">
      <c r="A1947" s="339"/>
    </row>
    <row r="1948" spans="1:1">
      <c r="A1948" s="339"/>
    </row>
    <row r="1949" spans="1:1">
      <c r="A1949" s="339"/>
    </row>
    <row r="1950" spans="1:1">
      <c r="A1950" s="339"/>
    </row>
    <row r="1951" spans="1:1">
      <c r="A1951" s="339"/>
    </row>
    <row r="1952" spans="1:1">
      <c r="A1952" s="339"/>
    </row>
    <row r="1953" spans="1:1">
      <c r="A1953" s="339"/>
    </row>
    <row r="1954" spans="1:1">
      <c r="A1954" s="339"/>
    </row>
    <row r="1955" spans="1:1">
      <c r="A1955" s="339"/>
    </row>
    <row r="1956" spans="1:1">
      <c r="A1956" s="339"/>
    </row>
    <row r="1957" spans="1:1">
      <c r="A1957" s="339"/>
    </row>
    <row r="1958" spans="1:1">
      <c r="A1958" s="339"/>
    </row>
    <row r="1959" spans="1:1">
      <c r="A1959" s="339"/>
    </row>
    <row r="1960" spans="1:1">
      <c r="A1960" s="339"/>
    </row>
    <row r="1961" spans="1:1">
      <c r="A1961" s="339"/>
    </row>
    <row r="1962" spans="1:1">
      <c r="A1962" s="339"/>
    </row>
    <row r="1963" spans="1:1">
      <c r="A1963" s="339"/>
    </row>
    <row r="1964" spans="1:1">
      <c r="A1964" s="339"/>
    </row>
    <row r="1965" spans="1:1">
      <c r="A1965" s="339"/>
    </row>
    <row r="1966" spans="1:1">
      <c r="A1966" s="339"/>
    </row>
    <row r="1967" spans="1:1">
      <c r="A1967" s="339"/>
    </row>
    <row r="1968" spans="1:1">
      <c r="A1968" s="339"/>
    </row>
    <row r="1969" spans="1:1">
      <c r="A1969" s="339"/>
    </row>
    <row r="1970" spans="1:1">
      <c r="A1970" s="339"/>
    </row>
    <row r="1971" spans="1:1">
      <c r="A1971" s="339"/>
    </row>
    <row r="1972" spans="1:1">
      <c r="A1972" s="339"/>
    </row>
    <row r="1973" spans="1:1">
      <c r="A1973" s="339"/>
    </row>
    <row r="1974" spans="1:1">
      <c r="A1974" s="339"/>
    </row>
    <row r="1975" spans="1:1">
      <c r="A1975" s="339"/>
    </row>
    <row r="1976" spans="1:1">
      <c r="A1976" s="339"/>
    </row>
    <row r="1977" spans="1:1">
      <c r="A1977" s="339"/>
    </row>
    <row r="1978" spans="1:1">
      <c r="A1978" s="339"/>
    </row>
    <row r="1979" spans="1:1">
      <c r="A1979" s="339"/>
    </row>
    <row r="1980" spans="1:1">
      <c r="A1980" s="339"/>
    </row>
    <row r="1981" spans="1:1">
      <c r="A1981" s="339"/>
    </row>
    <row r="1982" spans="1:1">
      <c r="A1982" s="339"/>
    </row>
    <row r="1983" spans="1:1">
      <c r="A1983" s="339"/>
    </row>
    <row r="1984" spans="1:1">
      <c r="A1984" s="339"/>
    </row>
    <row r="1985" spans="1:1">
      <c r="A1985" s="339"/>
    </row>
    <row r="1986" spans="1:1">
      <c r="A1986" s="339"/>
    </row>
    <row r="1987" spans="1:1">
      <c r="A1987" s="339"/>
    </row>
    <row r="1988" spans="1:1">
      <c r="A1988" s="339"/>
    </row>
    <row r="1989" spans="1:1">
      <c r="A1989" s="339"/>
    </row>
    <row r="1990" spans="1:1">
      <c r="A1990" s="339"/>
    </row>
    <row r="1991" spans="1:1">
      <c r="A1991" s="339"/>
    </row>
    <row r="1992" spans="1:1">
      <c r="A1992" s="339"/>
    </row>
    <row r="1993" spans="1:1">
      <c r="A1993" s="339"/>
    </row>
    <row r="1994" spans="1:1">
      <c r="A1994" s="339"/>
    </row>
    <row r="1995" spans="1:1">
      <c r="A1995" s="339"/>
    </row>
    <row r="1996" spans="1:1">
      <c r="A1996" s="339"/>
    </row>
    <row r="1997" spans="1:1">
      <c r="A1997" s="339"/>
    </row>
    <row r="1998" spans="1:1">
      <c r="A1998" s="339"/>
    </row>
    <row r="1999" spans="1:1">
      <c r="A1999" s="339"/>
    </row>
    <row r="2000" spans="1:1">
      <c r="A2000" s="339"/>
    </row>
    <row r="2001" spans="1:1">
      <c r="A2001" s="339"/>
    </row>
    <row r="2002" spans="1:1">
      <c r="A2002" s="339"/>
    </row>
    <row r="2003" spans="1:1">
      <c r="A2003" s="339"/>
    </row>
    <row r="2004" spans="1:1">
      <c r="A2004" s="339"/>
    </row>
    <row r="2005" spans="1:1">
      <c r="A2005" s="339"/>
    </row>
    <row r="2006" spans="1:1">
      <c r="A2006" s="339"/>
    </row>
    <row r="2007" spans="1:1">
      <c r="A2007" s="339"/>
    </row>
    <row r="2008" spans="1:1">
      <c r="A2008" s="339"/>
    </row>
    <row r="2009" spans="1:1">
      <c r="A2009" s="339"/>
    </row>
    <row r="2010" spans="1:1">
      <c r="A2010" s="339"/>
    </row>
    <row r="2011" spans="1:1">
      <c r="A2011" s="339"/>
    </row>
    <row r="2012" spans="1:1">
      <c r="A2012" s="339"/>
    </row>
    <row r="2013" spans="1:1">
      <c r="A2013" s="339"/>
    </row>
    <row r="2014" spans="1:1">
      <c r="A2014" s="339"/>
    </row>
    <row r="2015" spans="1:1">
      <c r="A2015" s="339"/>
    </row>
    <row r="2016" spans="1:1">
      <c r="A2016" s="339"/>
    </row>
    <row r="2017" spans="1:1">
      <c r="A2017" s="339"/>
    </row>
    <row r="2018" spans="1:1">
      <c r="A2018" s="339"/>
    </row>
    <row r="2019" spans="1:1">
      <c r="A2019" s="339"/>
    </row>
    <row r="2020" spans="1:1">
      <c r="A2020" s="339"/>
    </row>
    <row r="2021" spans="1:1">
      <c r="A2021" s="339"/>
    </row>
    <row r="2022" spans="1:1">
      <c r="A2022" s="339"/>
    </row>
    <row r="2023" spans="1:1">
      <c r="A2023" s="339"/>
    </row>
    <row r="2024" spans="1:1">
      <c r="A2024" s="339"/>
    </row>
    <row r="2025" spans="1:1">
      <c r="A2025" s="339"/>
    </row>
    <row r="2026" spans="1:1">
      <c r="A2026" s="339"/>
    </row>
    <row r="2027" spans="1:1">
      <c r="A2027" s="339"/>
    </row>
    <row r="2028" spans="1:1">
      <c r="A2028" s="339"/>
    </row>
    <row r="2029" spans="1:1">
      <c r="A2029" s="339"/>
    </row>
    <row r="2030" spans="1:1">
      <c r="A2030" s="339"/>
    </row>
    <row r="2031" spans="1:1">
      <c r="A2031" s="339"/>
    </row>
    <row r="2032" spans="1:1">
      <c r="A2032" s="339"/>
    </row>
    <row r="2033" spans="1:1">
      <c r="A2033" s="339"/>
    </row>
    <row r="2034" spans="1:1">
      <c r="A2034" s="339"/>
    </row>
    <row r="2035" spans="1:1">
      <c r="A2035" s="339"/>
    </row>
    <row r="2036" spans="1:1">
      <c r="A2036" s="339"/>
    </row>
    <row r="2037" spans="1:1">
      <c r="A2037" s="339"/>
    </row>
    <row r="2038" spans="1:1">
      <c r="A2038" s="339"/>
    </row>
    <row r="2039" spans="1:1">
      <c r="A2039" s="339"/>
    </row>
    <row r="2040" spans="1:1">
      <c r="A2040" s="339"/>
    </row>
    <row r="2041" spans="1:1">
      <c r="A2041" s="339"/>
    </row>
    <row r="2042" spans="1:1">
      <c r="A2042" s="339"/>
    </row>
    <row r="2043" spans="1:1">
      <c r="A2043" s="339"/>
    </row>
    <row r="2044" spans="1:1">
      <c r="A2044" s="339"/>
    </row>
    <row r="2045" spans="1:1">
      <c r="A2045" s="339"/>
    </row>
    <row r="2046" spans="1:1">
      <c r="A2046" s="339"/>
    </row>
    <row r="2047" spans="1:1">
      <c r="A2047" s="339"/>
    </row>
    <row r="2048" spans="1:1">
      <c r="A2048" s="339"/>
    </row>
    <row r="2049" spans="1:1">
      <c r="A2049" s="339"/>
    </row>
    <row r="2050" spans="1:1">
      <c r="A2050" s="339"/>
    </row>
    <row r="2051" spans="1:1">
      <c r="A2051" s="339"/>
    </row>
    <row r="2052" spans="1:1">
      <c r="A2052" s="339"/>
    </row>
    <row r="2053" spans="1:1">
      <c r="A2053" s="339"/>
    </row>
    <row r="2054" spans="1:1">
      <c r="A2054" s="339"/>
    </row>
    <row r="2055" spans="1:1">
      <c r="A2055" s="339"/>
    </row>
    <row r="2056" spans="1:1">
      <c r="A2056" s="339"/>
    </row>
    <row r="2057" spans="1:1">
      <c r="A2057" s="339"/>
    </row>
    <row r="2058" spans="1:1">
      <c r="A2058" s="339"/>
    </row>
    <row r="2059" spans="1:1">
      <c r="A2059" s="339"/>
    </row>
    <row r="2060" spans="1:1">
      <c r="A2060" s="339"/>
    </row>
    <row r="2061" spans="1:1">
      <c r="A2061" s="339"/>
    </row>
    <row r="2062" spans="1:1">
      <c r="A2062" s="339"/>
    </row>
    <row r="2063" spans="1:1">
      <c r="A2063" s="339"/>
    </row>
    <row r="2064" spans="1:1">
      <c r="A2064" s="339"/>
    </row>
    <row r="2065" spans="1:1">
      <c r="A2065" s="339"/>
    </row>
    <row r="2066" spans="1:1">
      <c r="A2066" s="339"/>
    </row>
    <row r="2067" spans="1:1">
      <c r="A2067" s="339"/>
    </row>
    <row r="2068" spans="1:1">
      <c r="A2068" s="339"/>
    </row>
    <row r="2069" spans="1:1">
      <c r="A2069" s="339"/>
    </row>
    <row r="2070" spans="1:1">
      <c r="A2070" s="339"/>
    </row>
    <row r="2071" spans="1:1">
      <c r="A2071" s="339"/>
    </row>
    <row r="2072" spans="1:1">
      <c r="A2072" s="339"/>
    </row>
    <row r="2073" spans="1:1">
      <c r="A2073" s="339"/>
    </row>
    <row r="2074" spans="1:1">
      <c r="A2074" s="339"/>
    </row>
    <row r="2075" spans="1:1">
      <c r="A2075" s="339"/>
    </row>
    <row r="2076" spans="1:1">
      <c r="A2076" s="339"/>
    </row>
    <row r="2077" spans="1:1">
      <c r="A2077" s="339"/>
    </row>
    <row r="2078" spans="1:1">
      <c r="A2078" s="339"/>
    </row>
    <row r="2079" spans="1:1">
      <c r="A2079" s="339"/>
    </row>
    <row r="2080" spans="1:1">
      <c r="A2080" s="339"/>
    </row>
    <row r="2081" spans="1:1">
      <c r="A2081" s="339"/>
    </row>
    <row r="2082" spans="1:1">
      <c r="A2082" s="339"/>
    </row>
    <row r="2083" spans="1:1">
      <c r="A2083" s="339"/>
    </row>
    <row r="2084" spans="1:1">
      <c r="A2084" s="339"/>
    </row>
    <row r="2085" spans="1:1">
      <c r="A2085" s="339"/>
    </row>
    <row r="2086" spans="1:1">
      <c r="A2086" s="339"/>
    </row>
    <row r="2087" spans="1:1">
      <c r="A2087" s="339"/>
    </row>
    <row r="2088" spans="1:1">
      <c r="A2088" s="339"/>
    </row>
    <row r="2089" spans="1:1">
      <c r="A2089" s="339"/>
    </row>
    <row r="2090" spans="1:1">
      <c r="A2090" s="339"/>
    </row>
    <row r="2091" spans="1:1">
      <c r="A2091" s="339"/>
    </row>
    <row r="2092" spans="1:1">
      <c r="A2092" s="339"/>
    </row>
    <row r="2093" spans="1:1">
      <c r="A2093" s="339"/>
    </row>
    <row r="2094" spans="1:1">
      <c r="A2094" s="339"/>
    </row>
    <row r="2095" spans="1:1">
      <c r="A2095" s="339"/>
    </row>
    <row r="2096" spans="1:1">
      <c r="A2096" s="339"/>
    </row>
    <row r="2097" spans="1:1">
      <c r="A2097" s="339"/>
    </row>
    <row r="2098" spans="1:1">
      <c r="A2098" s="339"/>
    </row>
    <row r="2099" spans="1:1">
      <c r="A2099" s="339"/>
    </row>
    <row r="2100" spans="1:1">
      <c r="A2100" s="339"/>
    </row>
    <row r="2101" spans="1:1">
      <c r="A2101" s="339"/>
    </row>
    <row r="2102" spans="1:1">
      <c r="A2102" s="339"/>
    </row>
    <row r="2103" spans="1:1">
      <c r="A2103" s="339"/>
    </row>
    <row r="2104" spans="1:1">
      <c r="A2104" s="339"/>
    </row>
    <row r="2105" spans="1:1">
      <c r="A2105" s="339"/>
    </row>
    <row r="2106" spans="1:1">
      <c r="A2106" s="339"/>
    </row>
    <row r="2107" spans="1:1">
      <c r="A2107" s="339"/>
    </row>
    <row r="2108" spans="1:1">
      <c r="A2108" s="339"/>
    </row>
    <row r="2109" spans="1:1">
      <c r="A2109" s="339"/>
    </row>
    <row r="2110" spans="1:1">
      <c r="A2110" s="339"/>
    </row>
    <row r="2111" spans="1:1">
      <c r="A2111" s="339"/>
    </row>
    <row r="2112" spans="1:1">
      <c r="A2112" s="339"/>
    </row>
    <row r="2113" spans="1:1">
      <c r="A2113" s="339"/>
    </row>
    <row r="2114" spans="1:1">
      <c r="A2114" s="339"/>
    </row>
    <row r="2115" spans="1:1">
      <c r="A2115" s="339"/>
    </row>
    <row r="2116" spans="1:1">
      <c r="A2116" s="339"/>
    </row>
    <row r="2117" spans="1:1">
      <c r="A2117" s="339"/>
    </row>
    <row r="2118" spans="1:1">
      <c r="A2118" s="339"/>
    </row>
    <row r="2119" spans="1:1">
      <c r="A2119" s="339"/>
    </row>
    <row r="2120" spans="1:1">
      <c r="A2120" s="339"/>
    </row>
    <row r="2121" spans="1:1">
      <c r="A2121" s="339"/>
    </row>
    <row r="2122" spans="1:1">
      <c r="A2122" s="339"/>
    </row>
    <row r="2123" spans="1:1">
      <c r="A2123" s="339"/>
    </row>
    <row r="2124" spans="1:1">
      <c r="A2124" s="339"/>
    </row>
    <row r="2125" spans="1:1">
      <c r="A2125" s="339"/>
    </row>
    <row r="2126" spans="1:1">
      <c r="A2126" s="339"/>
    </row>
    <row r="2127" spans="1:1">
      <c r="A2127" s="339"/>
    </row>
    <row r="2128" spans="1:1">
      <c r="A2128" s="339"/>
    </row>
    <row r="2129" spans="1:1">
      <c r="A2129" s="339"/>
    </row>
    <row r="2130" spans="1:1">
      <c r="A2130" s="339"/>
    </row>
    <row r="2131" spans="1:1">
      <c r="A2131" s="339"/>
    </row>
    <row r="2132" spans="1:1">
      <c r="A2132" s="339"/>
    </row>
    <row r="2133" spans="1:1">
      <c r="A2133" s="339"/>
    </row>
    <row r="2134" spans="1:1">
      <c r="A2134" s="339"/>
    </row>
    <row r="2135" spans="1:1">
      <c r="A2135" s="339"/>
    </row>
    <row r="2136" spans="1:1">
      <c r="A2136" s="339"/>
    </row>
    <row r="2137" spans="1:1">
      <c r="A2137" s="339"/>
    </row>
    <row r="2138" spans="1:1">
      <c r="A2138" s="339"/>
    </row>
    <row r="2139" spans="1:1">
      <c r="A2139" s="339"/>
    </row>
    <row r="2140" spans="1:1">
      <c r="A2140" s="339"/>
    </row>
    <row r="2141" spans="1:1">
      <c r="A2141" s="339"/>
    </row>
    <row r="2142" spans="1:1">
      <c r="A2142" s="339"/>
    </row>
    <row r="2143" spans="1:1">
      <c r="A2143" s="339"/>
    </row>
    <row r="2144" spans="1:1">
      <c r="A2144" s="339"/>
    </row>
    <row r="2145" spans="1:1">
      <c r="A2145" s="339"/>
    </row>
    <row r="2146" spans="1:1">
      <c r="A2146" s="339"/>
    </row>
    <row r="2147" spans="1:1">
      <c r="A2147" s="339"/>
    </row>
    <row r="2148" spans="1:1">
      <c r="A2148" s="339"/>
    </row>
    <row r="2149" spans="1:1">
      <c r="A2149" s="339"/>
    </row>
    <row r="2150" spans="1:1">
      <c r="A2150" s="339"/>
    </row>
    <row r="2151" spans="1:1">
      <c r="A2151" s="339"/>
    </row>
    <row r="2152" spans="1:1">
      <c r="A2152" s="339"/>
    </row>
    <row r="2153" spans="1:1">
      <c r="A2153" s="339"/>
    </row>
    <row r="2154" spans="1:1">
      <c r="A2154" s="339"/>
    </row>
    <row r="2155" spans="1:1">
      <c r="A2155" s="339"/>
    </row>
    <row r="2156" spans="1:1">
      <c r="A2156" s="339"/>
    </row>
    <row r="2157" spans="1:1">
      <c r="A2157" s="339"/>
    </row>
    <row r="2158" spans="1:1">
      <c r="A2158" s="339"/>
    </row>
    <row r="2159" spans="1:1">
      <c r="A2159" s="339"/>
    </row>
    <row r="2160" spans="1:1">
      <c r="A2160" s="339"/>
    </row>
    <row r="2161" spans="1:1">
      <c r="A2161" s="339"/>
    </row>
    <row r="2162" spans="1:1">
      <c r="A2162" s="339"/>
    </row>
    <row r="2163" spans="1:1">
      <c r="A2163" s="339"/>
    </row>
    <row r="2164" spans="1:1">
      <c r="A2164" s="339"/>
    </row>
    <row r="2165" spans="1:1">
      <c r="A2165" s="339"/>
    </row>
    <row r="2166" spans="1:1">
      <c r="A2166" s="339"/>
    </row>
    <row r="2167" spans="1:1">
      <c r="A2167" s="339"/>
    </row>
    <row r="2168" spans="1:1">
      <c r="A2168" s="339"/>
    </row>
    <row r="2169" spans="1:1">
      <c r="A2169" s="339"/>
    </row>
    <row r="2170" spans="1:1">
      <c r="A2170" s="339"/>
    </row>
    <row r="2171" spans="1:1">
      <c r="A2171" s="339"/>
    </row>
    <row r="2172" spans="1:1">
      <c r="A2172" s="339"/>
    </row>
    <row r="2173" spans="1:1">
      <c r="A2173" s="339"/>
    </row>
    <row r="2174" spans="1:1">
      <c r="A2174" s="339"/>
    </row>
    <row r="2175" spans="1:1">
      <c r="A2175" s="339"/>
    </row>
    <row r="2176" spans="1:1">
      <c r="A2176" s="339"/>
    </row>
    <row r="2177" spans="1:1">
      <c r="A2177" s="339"/>
    </row>
    <row r="2178" spans="1:1">
      <c r="A2178" s="339"/>
    </row>
    <row r="2179" spans="1:1">
      <c r="A2179" s="339"/>
    </row>
    <row r="2180" spans="1:1">
      <c r="A2180" s="339"/>
    </row>
    <row r="2181" spans="1:1">
      <c r="A2181" s="339"/>
    </row>
    <row r="2182" spans="1:1">
      <c r="A2182" s="339"/>
    </row>
    <row r="2183" spans="1:1">
      <c r="A2183" s="339"/>
    </row>
    <row r="2184" spans="1:1">
      <c r="A2184" s="339"/>
    </row>
    <row r="2185" spans="1:1">
      <c r="A2185" s="339"/>
    </row>
    <row r="2186" spans="1:1">
      <c r="A2186" s="339"/>
    </row>
    <row r="2187" spans="1:1">
      <c r="A2187" s="339"/>
    </row>
    <row r="2188" spans="1:1">
      <c r="A2188" s="339"/>
    </row>
    <row r="2189" spans="1:1">
      <c r="A2189" s="339"/>
    </row>
    <row r="2190" spans="1:1">
      <c r="A2190" s="339"/>
    </row>
    <row r="2191" spans="1:1">
      <c r="A2191" s="339"/>
    </row>
    <row r="2192" spans="1:1">
      <c r="A2192" s="339"/>
    </row>
    <row r="2193" spans="1:1">
      <c r="A2193" s="339"/>
    </row>
    <row r="2194" spans="1:1">
      <c r="A2194" s="339"/>
    </row>
    <row r="2195" spans="1:1">
      <c r="A2195" s="339"/>
    </row>
    <row r="2196" spans="1:1">
      <c r="A2196" s="339"/>
    </row>
    <row r="2197" spans="1:1">
      <c r="A2197" s="339"/>
    </row>
    <row r="2198" spans="1:1">
      <c r="A2198" s="339"/>
    </row>
    <row r="2199" spans="1:1">
      <c r="A2199" s="339"/>
    </row>
    <row r="2200" spans="1:1">
      <c r="A2200" s="339"/>
    </row>
    <row r="2201" spans="1:1">
      <c r="A2201" s="339"/>
    </row>
    <row r="2202" spans="1:1">
      <c r="A2202" s="339"/>
    </row>
    <row r="2203" spans="1:1">
      <c r="A2203" s="339"/>
    </row>
    <row r="2204" spans="1:1">
      <c r="A2204" s="339"/>
    </row>
    <row r="2205" spans="1:1">
      <c r="A2205" s="339"/>
    </row>
    <row r="2206" spans="1:1">
      <c r="A2206" s="339"/>
    </row>
    <row r="2207" spans="1:1">
      <c r="A2207" s="339"/>
    </row>
    <row r="2208" spans="1:1">
      <c r="A2208" s="339"/>
    </row>
    <row r="2209" spans="1:1">
      <c r="A2209" s="339"/>
    </row>
    <row r="2210" spans="1:1">
      <c r="A2210" s="339"/>
    </row>
    <row r="2211" spans="1:1">
      <c r="A2211" s="339"/>
    </row>
    <row r="2212" spans="1:1">
      <c r="A2212" s="339"/>
    </row>
    <row r="2213" spans="1:1">
      <c r="A2213" s="339"/>
    </row>
    <row r="2214" spans="1:1">
      <c r="A2214" s="339"/>
    </row>
    <row r="2215" spans="1:1">
      <c r="A2215" s="339"/>
    </row>
    <row r="2216" spans="1:1">
      <c r="A2216" s="339"/>
    </row>
    <row r="2217" spans="1:1">
      <c r="A2217" s="339"/>
    </row>
    <row r="2218" spans="1:1">
      <c r="A2218" s="339"/>
    </row>
    <row r="2219" spans="1:1">
      <c r="A2219" s="339"/>
    </row>
    <row r="2220" spans="1:1">
      <c r="A2220" s="339"/>
    </row>
    <row r="2221" spans="1:1">
      <c r="A2221" s="339"/>
    </row>
    <row r="2222" spans="1:1">
      <c r="A2222" s="339"/>
    </row>
    <row r="2223" spans="1:1">
      <c r="A2223" s="339"/>
    </row>
    <row r="2224" spans="1:1">
      <c r="A2224" s="339"/>
    </row>
    <row r="2225" spans="1:1">
      <c r="A2225" s="339"/>
    </row>
    <row r="2226" spans="1:1">
      <c r="A2226" s="339"/>
    </row>
    <row r="2227" spans="1:1">
      <c r="A2227" s="339"/>
    </row>
    <row r="2228" spans="1:1">
      <c r="A2228" s="339"/>
    </row>
    <row r="2229" spans="1:1">
      <c r="A2229" s="339"/>
    </row>
    <row r="2230" spans="1:1">
      <c r="A2230" s="339"/>
    </row>
    <row r="2231" spans="1:1">
      <c r="A2231" s="339"/>
    </row>
    <row r="2232" spans="1:1">
      <c r="A2232" s="339"/>
    </row>
    <row r="2233" spans="1:1">
      <c r="A2233" s="339"/>
    </row>
    <row r="2234" spans="1:1">
      <c r="A2234" s="339"/>
    </row>
    <row r="2235" spans="1:1">
      <c r="A2235" s="339"/>
    </row>
    <row r="2236" spans="1:1">
      <c r="A2236" s="339"/>
    </row>
    <row r="2237" spans="1:1">
      <c r="A2237" s="339"/>
    </row>
    <row r="2238" spans="1:1">
      <c r="A2238" s="339"/>
    </row>
    <row r="2239" spans="1:1">
      <c r="A2239" s="339"/>
    </row>
    <row r="2240" spans="1:1">
      <c r="A2240" s="339"/>
    </row>
    <row r="2241" spans="1:1">
      <c r="A2241" s="339"/>
    </row>
    <row r="2242" spans="1:1">
      <c r="A2242" s="339"/>
    </row>
    <row r="2243" spans="1:1">
      <c r="A2243" s="339"/>
    </row>
    <row r="2244" spans="1:1">
      <c r="A2244" s="339"/>
    </row>
    <row r="2245" spans="1:1">
      <c r="A2245" s="339"/>
    </row>
    <row r="2246" spans="1:1">
      <c r="A2246" s="339"/>
    </row>
    <row r="2247" spans="1:1">
      <c r="A2247" s="339"/>
    </row>
    <row r="2248" spans="1:1">
      <c r="A2248" s="339"/>
    </row>
    <row r="2249" spans="1:1">
      <c r="A2249" s="339"/>
    </row>
    <row r="2250" spans="1:1">
      <c r="A2250" s="339"/>
    </row>
    <row r="2251" spans="1:1">
      <c r="A2251" s="339"/>
    </row>
    <row r="2252" spans="1:1">
      <c r="A2252" s="339"/>
    </row>
    <row r="2253" spans="1:1">
      <c r="A2253" s="339"/>
    </row>
    <row r="2254" spans="1:1">
      <c r="A2254" s="339"/>
    </row>
    <row r="2255" spans="1:1">
      <c r="A2255" s="339"/>
    </row>
    <row r="2256" spans="1:1">
      <c r="A2256" s="339"/>
    </row>
    <row r="2257" spans="1:1">
      <c r="A2257" s="339"/>
    </row>
    <row r="2258" spans="1:1">
      <c r="A2258" s="339"/>
    </row>
    <row r="2259" spans="1:1">
      <c r="A2259" s="339"/>
    </row>
    <row r="2260" spans="1:1">
      <c r="A2260" s="339"/>
    </row>
    <row r="2261" spans="1:1">
      <c r="A2261" s="339"/>
    </row>
    <row r="2262" spans="1:1">
      <c r="A2262" s="339"/>
    </row>
    <row r="2263" spans="1:1">
      <c r="A2263" s="339"/>
    </row>
    <row r="2264" spans="1:1">
      <c r="A2264" s="339"/>
    </row>
    <row r="2265" spans="1:1">
      <c r="A2265" s="339"/>
    </row>
    <row r="2266" spans="1:1">
      <c r="A2266" s="339"/>
    </row>
    <row r="2267" spans="1:1">
      <c r="A2267" s="339"/>
    </row>
    <row r="2268" spans="1:1">
      <c r="A2268" s="339"/>
    </row>
    <row r="2269" spans="1:1">
      <c r="A2269" s="339"/>
    </row>
    <row r="2270" spans="1:1">
      <c r="A2270" s="339"/>
    </row>
    <row r="2271" spans="1:1">
      <c r="A2271" s="339"/>
    </row>
    <row r="2272" spans="1:1">
      <c r="A2272" s="339"/>
    </row>
    <row r="2273" spans="1:1">
      <c r="A2273" s="339"/>
    </row>
    <row r="2274" spans="1:1">
      <c r="A2274" s="339"/>
    </row>
    <row r="2275" spans="1:1">
      <c r="A2275" s="339"/>
    </row>
    <row r="2276" spans="1:1">
      <c r="A2276" s="339"/>
    </row>
    <row r="2277" spans="1:1">
      <c r="A2277" s="339"/>
    </row>
    <row r="2278" spans="1:1">
      <c r="A2278" s="339"/>
    </row>
    <row r="2279" spans="1:1">
      <c r="A2279" s="339"/>
    </row>
    <row r="2280" spans="1:1">
      <c r="A2280" s="339"/>
    </row>
    <row r="2281" spans="1:1">
      <c r="A2281" s="339"/>
    </row>
    <row r="2282" spans="1:1">
      <c r="A2282" s="339"/>
    </row>
    <row r="2283" spans="1:1">
      <c r="A2283" s="339"/>
    </row>
    <row r="2284" spans="1:1">
      <c r="A2284" s="339"/>
    </row>
    <row r="2285" spans="1:1">
      <c r="A2285" s="339"/>
    </row>
    <row r="2286" spans="1:1">
      <c r="A2286" s="339"/>
    </row>
    <row r="2287" spans="1:1">
      <c r="A2287" s="339"/>
    </row>
    <row r="2288" spans="1:1">
      <c r="A2288" s="339"/>
    </row>
    <row r="2289" spans="1:1">
      <c r="A2289" s="339"/>
    </row>
    <row r="2290" spans="1:1">
      <c r="A2290" s="339"/>
    </row>
    <row r="2291" spans="1:1">
      <c r="A2291" s="339"/>
    </row>
    <row r="2292" spans="1:1">
      <c r="A2292" s="339"/>
    </row>
    <row r="2293" spans="1:1">
      <c r="A2293" s="339"/>
    </row>
    <row r="2294" spans="1:1">
      <c r="A2294" s="339"/>
    </row>
    <row r="2295" spans="1:1">
      <c r="A2295" s="339"/>
    </row>
    <row r="2296" spans="1:1">
      <c r="A2296" s="339"/>
    </row>
    <row r="2297" spans="1:1">
      <c r="A2297" s="339"/>
    </row>
    <row r="2298" spans="1:1">
      <c r="A2298" s="339"/>
    </row>
    <row r="2299" spans="1:1">
      <c r="A2299" s="339"/>
    </row>
    <row r="2300" spans="1:1">
      <c r="A2300" s="339"/>
    </row>
    <row r="2301" spans="1:1">
      <c r="A2301" s="339"/>
    </row>
    <row r="2302" spans="1:1">
      <c r="A2302" s="339"/>
    </row>
    <row r="2303" spans="1:1">
      <c r="A2303" s="339"/>
    </row>
    <row r="2304" spans="1:1">
      <c r="A2304" s="339"/>
    </row>
    <row r="2305" spans="1:1">
      <c r="A2305" s="339"/>
    </row>
    <row r="2306" spans="1:1">
      <c r="A2306" s="339"/>
    </row>
    <row r="2307" spans="1:1">
      <c r="A2307" s="339"/>
    </row>
    <row r="2308" spans="1:1">
      <c r="A2308" s="339"/>
    </row>
    <row r="2309" spans="1:1">
      <c r="A2309" s="339"/>
    </row>
    <row r="2310" spans="1:1">
      <c r="A2310" s="339"/>
    </row>
    <row r="2311" spans="1:1">
      <c r="A2311" s="339"/>
    </row>
    <row r="2312" spans="1:1">
      <c r="A2312" s="339"/>
    </row>
    <row r="2313" spans="1:1">
      <c r="A2313" s="339"/>
    </row>
    <row r="2314" spans="1:1">
      <c r="A2314" s="339"/>
    </row>
    <row r="2315" spans="1:1">
      <c r="A2315" s="339"/>
    </row>
    <row r="2316" spans="1:1">
      <c r="A2316" s="339"/>
    </row>
    <row r="2317" spans="1:1">
      <c r="A2317" s="339"/>
    </row>
    <row r="2318" spans="1:1">
      <c r="A2318" s="339"/>
    </row>
    <row r="2319" spans="1:1">
      <c r="A2319" s="339"/>
    </row>
    <row r="2320" spans="1:1">
      <c r="A2320" s="339"/>
    </row>
    <row r="2321" spans="1:1">
      <c r="A2321" s="339"/>
    </row>
    <row r="2322" spans="1:1">
      <c r="A2322" s="339"/>
    </row>
    <row r="2323" spans="1:1">
      <c r="A2323" s="339"/>
    </row>
    <row r="2324" spans="1:1">
      <c r="A2324" s="339"/>
    </row>
    <row r="2325" spans="1:1">
      <c r="A2325" s="339"/>
    </row>
    <row r="2326" spans="1:1">
      <c r="A2326" s="339"/>
    </row>
    <row r="2327" spans="1:1">
      <c r="A2327" s="339"/>
    </row>
    <row r="2328" spans="1:1">
      <c r="A2328" s="339"/>
    </row>
    <row r="2329" spans="1:1">
      <c r="A2329" s="339"/>
    </row>
    <row r="2330" spans="1:1">
      <c r="A2330" s="339"/>
    </row>
    <row r="2331" spans="1:1">
      <c r="A2331" s="339"/>
    </row>
    <row r="2332" spans="1:1">
      <c r="A2332" s="339"/>
    </row>
    <row r="2333" spans="1:1">
      <c r="A2333" s="339"/>
    </row>
    <row r="2334" spans="1:1">
      <c r="A2334" s="339"/>
    </row>
    <row r="2335" spans="1:1">
      <c r="A2335" s="339"/>
    </row>
    <row r="2336" spans="1:1">
      <c r="A2336" s="339"/>
    </row>
    <row r="2337" spans="1:1">
      <c r="A2337" s="339"/>
    </row>
    <row r="2338" spans="1:1">
      <c r="A2338" s="339"/>
    </row>
    <row r="2339" spans="1:1">
      <c r="A2339" s="339"/>
    </row>
    <row r="2340" spans="1:1">
      <c r="A2340" s="339"/>
    </row>
    <row r="2341" spans="1:1">
      <c r="A2341" s="339"/>
    </row>
    <row r="2342" spans="1:1">
      <c r="A2342" s="339"/>
    </row>
    <row r="2343" spans="1:1">
      <c r="A2343" s="339"/>
    </row>
    <row r="2344" spans="1:1">
      <c r="A2344" s="339"/>
    </row>
    <row r="2345" spans="1:1">
      <c r="A2345" s="339"/>
    </row>
    <row r="2346" spans="1:1">
      <c r="A2346" s="339"/>
    </row>
    <row r="2347" spans="1:1">
      <c r="A2347" s="339"/>
    </row>
    <row r="2348" spans="1:1">
      <c r="A2348" s="339"/>
    </row>
    <row r="2349" spans="1:1">
      <c r="A2349" s="339"/>
    </row>
    <row r="2350" spans="1:1">
      <c r="A2350" s="339"/>
    </row>
    <row r="2351" spans="1:1">
      <c r="A2351" s="339"/>
    </row>
    <row r="2352" spans="1:1">
      <c r="A2352" s="339"/>
    </row>
    <row r="2353" spans="1:1">
      <c r="A2353" s="339"/>
    </row>
    <row r="2354" spans="1:1">
      <c r="A2354" s="339"/>
    </row>
    <row r="2355" spans="1:1">
      <c r="A2355" s="339"/>
    </row>
    <row r="2356" spans="1:1">
      <c r="A2356" s="339"/>
    </row>
    <row r="2357" spans="1:1">
      <c r="A2357" s="339"/>
    </row>
    <row r="2358" spans="1:1">
      <c r="A2358" s="339"/>
    </row>
    <row r="2359" spans="1:1">
      <c r="A2359" s="339"/>
    </row>
    <row r="2360" spans="1:1">
      <c r="A2360" s="339"/>
    </row>
    <row r="2361" spans="1:1">
      <c r="A2361" s="339"/>
    </row>
    <row r="2362" spans="1:1">
      <c r="A2362" s="339"/>
    </row>
    <row r="2363" spans="1:1">
      <c r="A2363" s="339"/>
    </row>
    <row r="2364" spans="1:1">
      <c r="A2364" s="339"/>
    </row>
    <row r="2365" spans="1:1">
      <c r="A2365" s="339"/>
    </row>
    <row r="2366" spans="1:1">
      <c r="A2366" s="339"/>
    </row>
    <row r="2367" spans="1:1">
      <c r="A2367" s="339"/>
    </row>
    <row r="2368" spans="1:1">
      <c r="A2368" s="339"/>
    </row>
    <row r="2369" spans="1:1">
      <c r="A2369" s="339"/>
    </row>
    <row r="2370" spans="1:1">
      <c r="A2370" s="339"/>
    </row>
    <row r="2371" spans="1:1">
      <c r="A2371" s="339"/>
    </row>
    <row r="2372" spans="1:1">
      <c r="A2372" s="339"/>
    </row>
    <row r="2373" spans="1:1">
      <c r="A2373" s="339"/>
    </row>
    <row r="2374" spans="1:1">
      <c r="A2374" s="339"/>
    </row>
    <row r="2375" spans="1:1">
      <c r="A2375" s="339"/>
    </row>
    <row r="2376" spans="1:1">
      <c r="A2376" s="339"/>
    </row>
    <row r="2377" spans="1:1">
      <c r="A2377" s="339"/>
    </row>
    <row r="2378" spans="1:1">
      <c r="A2378" s="339"/>
    </row>
    <row r="2379" spans="1:1">
      <c r="A2379" s="339"/>
    </row>
    <row r="2380" spans="1:1">
      <c r="A2380" s="339"/>
    </row>
    <row r="2381" spans="1:1">
      <c r="A2381" s="339"/>
    </row>
    <row r="2382" spans="1:1">
      <c r="A2382" s="339"/>
    </row>
    <row r="2383" spans="1:1">
      <c r="A2383" s="339"/>
    </row>
    <row r="2384" spans="1:1">
      <c r="A2384" s="339"/>
    </row>
    <row r="2385" spans="1:1">
      <c r="A2385" s="339"/>
    </row>
    <row r="2386" spans="1:1">
      <c r="A2386" s="339"/>
    </row>
    <row r="2387" spans="1:1">
      <c r="A2387" s="339"/>
    </row>
    <row r="2388" spans="1:1">
      <c r="A2388" s="339"/>
    </row>
    <row r="2389" spans="1:1">
      <c r="A2389" s="339"/>
    </row>
    <row r="2390" spans="1:1">
      <c r="A2390" s="339"/>
    </row>
    <row r="2391" spans="1:1">
      <c r="A2391" s="339"/>
    </row>
    <row r="2392" spans="1:1">
      <c r="A2392" s="339"/>
    </row>
    <row r="2393" spans="1:1">
      <c r="A2393" s="339"/>
    </row>
    <row r="2394" spans="1:1">
      <c r="A2394" s="339"/>
    </row>
    <row r="2395" spans="1:1">
      <c r="A2395" s="339"/>
    </row>
    <row r="2396" spans="1:1">
      <c r="A2396" s="339"/>
    </row>
    <row r="2397" spans="1:1">
      <c r="A2397" s="339"/>
    </row>
    <row r="2398" spans="1:1">
      <c r="A2398" s="339"/>
    </row>
    <row r="2399" spans="1:1">
      <c r="A2399" s="339"/>
    </row>
    <row r="2400" spans="1:1">
      <c r="A2400" s="339"/>
    </row>
    <row r="2401" spans="1:1">
      <c r="A2401" s="339"/>
    </row>
    <row r="2402" spans="1:1">
      <c r="A2402" s="339"/>
    </row>
    <row r="2403" spans="1:1">
      <c r="A2403" s="339"/>
    </row>
    <row r="2404" spans="1:1">
      <c r="A2404" s="339"/>
    </row>
    <row r="2405" spans="1:1">
      <c r="A2405" s="339"/>
    </row>
    <row r="2406" spans="1:1">
      <c r="A2406" s="339"/>
    </row>
    <row r="2407" spans="1:1">
      <c r="A2407" s="339"/>
    </row>
    <row r="2408" spans="1:1">
      <c r="A2408" s="339"/>
    </row>
    <row r="2409" spans="1:1">
      <c r="A2409" s="339"/>
    </row>
    <row r="2410" spans="1:1">
      <c r="A2410" s="339"/>
    </row>
    <row r="2411" spans="1:1">
      <c r="A2411" s="339"/>
    </row>
    <row r="2412" spans="1:1">
      <c r="A2412" s="339"/>
    </row>
    <row r="2413" spans="1:1">
      <c r="A2413" s="339"/>
    </row>
    <row r="2414" spans="1:1">
      <c r="A2414" s="339"/>
    </row>
    <row r="2415" spans="1:1">
      <c r="A2415" s="339"/>
    </row>
    <row r="2416" spans="1:1">
      <c r="A2416" s="339"/>
    </row>
    <row r="2417" spans="1:1">
      <c r="A2417" s="339"/>
    </row>
    <row r="2418" spans="1:1">
      <c r="A2418" s="339"/>
    </row>
    <row r="2419" spans="1:1">
      <c r="A2419" s="339"/>
    </row>
    <row r="2420" spans="1:1">
      <c r="A2420" s="339"/>
    </row>
    <row r="2421" spans="1:1">
      <c r="A2421" s="339"/>
    </row>
    <row r="2422" spans="1:1">
      <c r="A2422" s="339"/>
    </row>
    <row r="2423" spans="1:1">
      <c r="A2423" s="339"/>
    </row>
    <row r="2424" spans="1:1">
      <c r="A2424" s="339"/>
    </row>
    <row r="2425" spans="1:1">
      <c r="A2425" s="339"/>
    </row>
    <row r="2426" spans="1:1">
      <c r="A2426" s="339"/>
    </row>
    <row r="2427" spans="1:1">
      <c r="A2427" s="339"/>
    </row>
    <row r="2428" spans="1:1">
      <c r="A2428" s="339"/>
    </row>
    <row r="2429" spans="1:1">
      <c r="A2429" s="339"/>
    </row>
    <row r="2430" spans="1:1">
      <c r="A2430" s="339"/>
    </row>
    <row r="2431" spans="1:1">
      <c r="A2431" s="339"/>
    </row>
    <row r="2432" spans="1:1">
      <c r="A2432" s="339"/>
    </row>
    <row r="2433" spans="1:1">
      <c r="A2433" s="339"/>
    </row>
    <row r="2434" spans="1:1">
      <c r="A2434" s="339"/>
    </row>
    <row r="2435" spans="1:1">
      <c r="A2435" s="339"/>
    </row>
    <row r="2436" spans="1:1">
      <c r="A2436" s="339"/>
    </row>
    <row r="2437" spans="1:1">
      <c r="A2437" s="339"/>
    </row>
    <row r="2438" spans="1:1">
      <c r="A2438" s="339"/>
    </row>
    <row r="2439" spans="1:1">
      <c r="A2439" s="339"/>
    </row>
    <row r="2440" spans="1:1">
      <c r="A2440" s="339"/>
    </row>
    <row r="2441" spans="1:1">
      <c r="A2441" s="339"/>
    </row>
    <row r="2442" spans="1:1">
      <c r="A2442" s="339"/>
    </row>
    <row r="2443" spans="1:1">
      <c r="A2443" s="339"/>
    </row>
    <row r="2444" spans="1:1">
      <c r="A2444" s="339"/>
    </row>
    <row r="2445" spans="1:1">
      <c r="A2445" s="339"/>
    </row>
    <row r="2446" spans="1:1">
      <c r="A2446" s="339"/>
    </row>
    <row r="2447" spans="1:1">
      <c r="A2447" s="339"/>
    </row>
    <row r="2448" spans="1:1">
      <c r="A2448" s="339"/>
    </row>
    <row r="2449" spans="1:1">
      <c r="A2449" s="339"/>
    </row>
    <row r="2450" spans="1:1">
      <c r="A2450" s="339"/>
    </row>
    <row r="2451" spans="1:1">
      <c r="A2451" s="339"/>
    </row>
    <row r="2452" spans="1:1">
      <c r="A2452" s="339"/>
    </row>
    <row r="2453" spans="1:1">
      <c r="A2453" s="339"/>
    </row>
    <row r="2454" spans="1:1">
      <c r="A2454" s="339"/>
    </row>
    <row r="2455" spans="1:1">
      <c r="A2455" s="339"/>
    </row>
    <row r="2456" spans="1:1">
      <c r="A2456" s="339"/>
    </row>
    <row r="2457" spans="1:1">
      <c r="A2457" s="339"/>
    </row>
    <row r="2458" spans="1:1">
      <c r="A2458" s="339"/>
    </row>
    <row r="2459" spans="1:1">
      <c r="A2459" s="339"/>
    </row>
    <row r="2460" spans="1:1">
      <c r="A2460" s="339"/>
    </row>
    <row r="2461" spans="1:1">
      <c r="A2461" s="339"/>
    </row>
    <row r="2462" spans="1:1">
      <c r="A2462" s="339"/>
    </row>
    <row r="2463" spans="1:1">
      <c r="A2463" s="339"/>
    </row>
    <row r="2464" spans="1:1">
      <c r="A2464" s="339"/>
    </row>
    <row r="2465" spans="1:1">
      <c r="A2465" s="339"/>
    </row>
    <row r="2466" spans="1:1">
      <c r="A2466" s="339"/>
    </row>
    <row r="2467" spans="1:1">
      <c r="A2467" s="339"/>
    </row>
    <row r="2468" spans="1:1">
      <c r="A2468" s="339"/>
    </row>
    <row r="2469" spans="1:1">
      <c r="A2469" s="339"/>
    </row>
    <row r="2470" spans="1:1">
      <c r="A2470" s="339"/>
    </row>
    <row r="2471" spans="1:1">
      <c r="A2471" s="339"/>
    </row>
    <row r="2472" spans="1:1">
      <c r="A2472" s="339"/>
    </row>
    <row r="2473" spans="1:1">
      <c r="A2473" s="339"/>
    </row>
    <row r="2474" spans="1:1">
      <c r="A2474" s="339"/>
    </row>
    <row r="2475" spans="1:1">
      <c r="A2475" s="339"/>
    </row>
    <row r="2476" spans="1:1">
      <c r="A2476" s="339"/>
    </row>
    <row r="2477" spans="1:1">
      <c r="A2477" s="339"/>
    </row>
    <row r="2478" spans="1:1">
      <c r="A2478" s="339"/>
    </row>
    <row r="2479" spans="1:1">
      <c r="A2479" s="339"/>
    </row>
    <row r="2480" spans="1:1">
      <c r="A2480" s="339"/>
    </row>
    <row r="2481" spans="1:1">
      <c r="A2481" s="339"/>
    </row>
    <row r="2482" spans="1:1">
      <c r="A2482" s="339"/>
    </row>
    <row r="2483" spans="1:1">
      <c r="A2483" s="339"/>
    </row>
    <row r="2484" spans="1:1">
      <c r="A2484" s="339"/>
    </row>
    <row r="2485" spans="1:1">
      <c r="A2485" s="339"/>
    </row>
    <row r="2486" spans="1:1">
      <c r="A2486" s="339"/>
    </row>
    <row r="2487" spans="1:1">
      <c r="A2487" s="339"/>
    </row>
    <row r="2488" spans="1:1">
      <c r="A2488" s="339"/>
    </row>
    <row r="2489" spans="1:1">
      <c r="A2489" s="339"/>
    </row>
    <row r="2490" spans="1:1">
      <c r="A2490" s="339"/>
    </row>
    <row r="2491" spans="1:1">
      <c r="A2491" s="339"/>
    </row>
    <row r="2492" spans="1:1">
      <c r="A2492" s="339"/>
    </row>
    <row r="2493" spans="1:1">
      <c r="A2493" s="339"/>
    </row>
    <row r="2494" spans="1:1">
      <c r="A2494" s="339"/>
    </row>
    <row r="2495" spans="1:1">
      <c r="A2495" s="339"/>
    </row>
    <row r="2496" spans="1:1">
      <c r="A2496" s="339"/>
    </row>
    <row r="2497" spans="1:1">
      <c r="A2497" s="339"/>
    </row>
    <row r="2498" spans="1:1">
      <c r="A2498" s="339"/>
    </row>
    <row r="2499" spans="1:1">
      <c r="A2499" s="339"/>
    </row>
    <row r="2500" spans="1:1">
      <c r="A2500" s="339"/>
    </row>
    <row r="2501" spans="1:1">
      <c r="A2501" s="339"/>
    </row>
    <row r="2502" spans="1:1">
      <c r="A2502" s="339"/>
    </row>
    <row r="2503" spans="1:1">
      <c r="A2503" s="339"/>
    </row>
    <row r="2504" spans="1:1">
      <c r="A2504" s="339"/>
    </row>
    <row r="2505" spans="1:1">
      <c r="A2505" s="339"/>
    </row>
    <row r="2506" spans="1:1">
      <c r="A2506" s="339"/>
    </row>
    <row r="2507" spans="1:1">
      <c r="A2507" s="339"/>
    </row>
    <row r="2508" spans="1:1">
      <c r="A2508" s="339"/>
    </row>
    <row r="2509" spans="1:1">
      <c r="A2509" s="339"/>
    </row>
    <row r="2510" spans="1:1">
      <c r="A2510" s="339"/>
    </row>
    <row r="2511" spans="1:1">
      <c r="A2511" s="339"/>
    </row>
    <row r="2512" spans="1:1">
      <c r="A2512" s="339"/>
    </row>
    <row r="2513" spans="1:1">
      <c r="A2513" s="339"/>
    </row>
    <row r="2514" spans="1:1">
      <c r="A2514" s="339"/>
    </row>
    <row r="2515" spans="1:1">
      <c r="A2515" s="339"/>
    </row>
    <row r="2516" spans="1:1">
      <c r="A2516" s="339"/>
    </row>
    <row r="2517" spans="1:1">
      <c r="A2517" s="339"/>
    </row>
    <row r="2518" spans="1:1">
      <c r="A2518" s="339"/>
    </row>
    <row r="2519" spans="1:1">
      <c r="A2519" s="339"/>
    </row>
    <row r="2520" spans="1:1">
      <c r="A2520" s="339"/>
    </row>
    <row r="2521" spans="1:1">
      <c r="A2521" s="339"/>
    </row>
    <row r="2522" spans="1:1">
      <c r="A2522" s="339"/>
    </row>
    <row r="2523" spans="1:1">
      <c r="A2523" s="339"/>
    </row>
    <row r="2524" spans="1:1">
      <c r="A2524" s="339"/>
    </row>
    <row r="2525" spans="1:1">
      <c r="A2525" s="339"/>
    </row>
    <row r="2526" spans="1:1">
      <c r="A2526" s="339"/>
    </row>
    <row r="2527" spans="1:1">
      <c r="A2527" s="339"/>
    </row>
    <row r="2528" spans="1:1">
      <c r="A2528" s="339"/>
    </row>
    <row r="2529" spans="1:1">
      <c r="A2529" s="339"/>
    </row>
    <row r="2530" spans="1:1">
      <c r="A2530" s="339"/>
    </row>
    <row r="2531" spans="1:1">
      <c r="A2531" s="339"/>
    </row>
    <row r="2532" spans="1:1">
      <c r="A2532" s="339"/>
    </row>
    <row r="2533" spans="1:1">
      <c r="A2533" s="339"/>
    </row>
    <row r="2534" spans="1:1">
      <c r="A2534" s="339"/>
    </row>
    <row r="2535" spans="1:1">
      <c r="A2535" s="339"/>
    </row>
    <row r="2536" spans="1:1">
      <c r="A2536" s="339"/>
    </row>
    <row r="2537" spans="1:1">
      <c r="A2537" s="339"/>
    </row>
    <row r="2538" spans="1:1">
      <c r="A2538" s="339"/>
    </row>
    <row r="2539" spans="1:1">
      <c r="A2539" s="339"/>
    </row>
    <row r="2540" spans="1:1">
      <c r="A2540" s="339"/>
    </row>
    <row r="2541" spans="1:1">
      <c r="A2541" s="339"/>
    </row>
    <row r="2542" spans="1:1">
      <c r="A2542" s="339"/>
    </row>
    <row r="2543" spans="1:1">
      <c r="A2543" s="339"/>
    </row>
    <row r="2544" spans="1:1">
      <c r="A2544" s="339"/>
    </row>
    <row r="2545" spans="1:1">
      <c r="A2545" s="339"/>
    </row>
    <row r="2546" spans="1:1">
      <c r="A2546" s="339"/>
    </row>
    <row r="2547" spans="1:1">
      <c r="A2547" s="339"/>
    </row>
    <row r="2548" spans="1:1">
      <c r="A2548" s="339"/>
    </row>
    <row r="2549" spans="1:1">
      <c r="A2549" s="339"/>
    </row>
    <row r="2550" spans="1:1">
      <c r="A2550" s="339"/>
    </row>
    <row r="2551" spans="1:1">
      <c r="A2551" s="339"/>
    </row>
    <row r="2552" spans="1:1">
      <c r="A2552" s="339"/>
    </row>
    <row r="2553" spans="1:1">
      <c r="A2553" s="339"/>
    </row>
    <row r="2554" spans="1:1">
      <c r="A2554" s="339"/>
    </row>
    <row r="2555" spans="1:1">
      <c r="A2555" s="339"/>
    </row>
    <row r="2556" spans="1:1">
      <c r="A2556" s="339"/>
    </row>
    <row r="2557" spans="1:1">
      <c r="A2557" s="339"/>
    </row>
    <row r="2558" spans="1:1">
      <c r="A2558" s="339"/>
    </row>
    <row r="2559" spans="1:1">
      <c r="A2559" s="339"/>
    </row>
    <row r="2560" spans="1:1">
      <c r="A2560" s="339"/>
    </row>
    <row r="2561" spans="1:1">
      <c r="A2561" s="339"/>
    </row>
    <row r="2562" spans="1:1">
      <c r="A2562" s="339"/>
    </row>
    <row r="2563" spans="1:1">
      <c r="A2563" s="339"/>
    </row>
    <row r="2564" spans="1:1">
      <c r="A2564" s="339"/>
    </row>
    <row r="2565" spans="1:1">
      <c r="A2565" s="339"/>
    </row>
    <row r="2566" spans="1:1">
      <c r="A2566" s="339"/>
    </row>
    <row r="2567" spans="1:1">
      <c r="A2567" s="339"/>
    </row>
    <row r="2568" spans="1:1">
      <c r="A2568" s="339"/>
    </row>
    <row r="2569" spans="1:1">
      <c r="A2569" s="339"/>
    </row>
    <row r="2570" spans="1:1">
      <c r="A2570" s="339"/>
    </row>
    <row r="2571" spans="1:1">
      <c r="A2571" s="339"/>
    </row>
    <row r="2572" spans="1:1">
      <c r="A2572" s="339"/>
    </row>
    <row r="2573" spans="1:1">
      <c r="A2573" s="339"/>
    </row>
    <row r="2574" spans="1:1">
      <c r="A2574" s="339"/>
    </row>
    <row r="2575" spans="1:1">
      <c r="A2575" s="339"/>
    </row>
    <row r="2576" spans="1:1">
      <c r="A2576" s="339"/>
    </row>
    <row r="2577" spans="1:1">
      <c r="A2577" s="339"/>
    </row>
    <row r="2578" spans="1:1">
      <c r="A2578" s="339"/>
    </row>
    <row r="2579" spans="1:1">
      <c r="A2579" s="339"/>
    </row>
    <row r="2580" spans="1:1">
      <c r="A2580" s="339"/>
    </row>
    <row r="2581" spans="1:1">
      <c r="A2581" s="339"/>
    </row>
    <row r="2582" spans="1:1">
      <c r="A2582" s="339"/>
    </row>
    <row r="2583" spans="1:1">
      <c r="A2583" s="339"/>
    </row>
    <row r="2584" spans="1:1">
      <c r="A2584" s="339"/>
    </row>
    <row r="2585" spans="1:1">
      <c r="A2585" s="339"/>
    </row>
    <row r="2586" spans="1:1">
      <c r="A2586" s="339"/>
    </row>
    <row r="2587" spans="1:1">
      <c r="A2587" s="339"/>
    </row>
    <row r="2588" spans="1:1">
      <c r="A2588" s="339"/>
    </row>
    <row r="2589" spans="1:1">
      <c r="A2589" s="339"/>
    </row>
    <row r="2590" spans="1:1">
      <c r="A2590" s="339"/>
    </row>
    <row r="2591" spans="1:1">
      <c r="A2591" s="339"/>
    </row>
    <row r="2592" spans="1:1">
      <c r="A2592" s="339"/>
    </row>
    <row r="2593" spans="1:1">
      <c r="A2593" s="339"/>
    </row>
    <row r="2594" spans="1:1">
      <c r="A2594" s="339"/>
    </row>
    <row r="2595" spans="1:1">
      <c r="A2595" s="339"/>
    </row>
    <row r="2596" spans="1:1">
      <c r="A2596" s="339"/>
    </row>
    <row r="2597" spans="1:1">
      <c r="A2597" s="339"/>
    </row>
    <row r="2598" spans="1:1">
      <c r="A2598" s="339"/>
    </row>
    <row r="2599" spans="1:1">
      <c r="A2599" s="339"/>
    </row>
    <row r="2600" spans="1:1">
      <c r="A2600" s="339"/>
    </row>
    <row r="2601" spans="1:1">
      <c r="A2601" s="339"/>
    </row>
    <row r="2602" spans="1:1">
      <c r="A2602" s="339"/>
    </row>
    <row r="2603" spans="1:1">
      <c r="A2603" s="339"/>
    </row>
    <row r="2604" spans="1:1">
      <c r="A2604" s="339"/>
    </row>
    <row r="2605" spans="1:1">
      <c r="A2605" s="339"/>
    </row>
    <row r="2606" spans="1:1">
      <c r="A2606" s="339"/>
    </row>
    <row r="2607" spans="1:1">
      <c r="A2607" s="339"/>
    </row>
    <row r="2608" spans="1:1">
      <c r="A2608" s="339"/>
    </row>
    <row r="2609" spans="1:1">
      <c r="A2609" s="339"/>
    </row>
    <row r="2610" spans="1:1">
      <c r="A2610" s="339"/>
    </row>
    <row r="2611" spans="1:1">
      <c r="A2611" s="339"/>
    </row>
    <row r="2612" spans="1:1">
      <c r="A2612" s="339"/>
    </row>
    <row r="2613" spans="1:1">
      <c r="A2613" s="339"/>
    </row>
    <row r="2614" spans="1:1">
      <c r="A2614" s="339"/>
    </row>
    <row r="2615" spans="1:1">
      <c r="A2615" s="339"/>
    </row>
    <row r="2616" spans="1:1">
      <c r="A2616" s="339"/>
    </row>
    <row r="2617" spans="1:1">
      <c r="A2617" s="339"/>
    </row>
    <row r="2618" spans="1:1">
      <c r="A2618" s="339"/>
    </row>
    <row r="2619" spans="1:1">
      <c r="A2619" s="339"/>
    </row>
    <row r="2620" spans="1:1">
      <c r="A2620" s="339"/>
    </row>
    <row r="2621" spans="1:1">
      <c r="A2621" s="339"/>
    </row>
    <row r="2622" spans="1:1">
      <c r="A2622" s="339"/>
    </row>
    <row r="2623" spans="1:1">
      <c r="A2623" s="339"/>
    </row>
    <row r="2624" spans="1:1">
      <c r="A2624" s="339"/>
    </row>
    <row r="2625" spans="1:1">
      <c r="A2625" s="339"/>
    </row>
    <row r="2626" spans="1:1">
      <c r="A2626" s="339"/>
    </row>
    <row r="2627" spans="1:1">
      <c r="A2627" s="339"/>
    </row>
  </sheetData>
  <sheetProtection password="C468" sheet="1" objects="1" scenarios="1" formatColumns="0"/>
  <protectedRanges>
    <protectedRange sqref="E6:E20 E23:E38" name="Range2"/>
    <protectedRange sqref="G6:H20 G23:H38" name="Range1"/>
  </protectedRanges>
  <mergeCells count="8">
    <mergeCell ref="X4:X5"/>
    <mergeCell ref="Z4:Z5"/>
    <mergeCell ref="A1:K1"/>
    <mergeCell ref="A2:K2"/>
    <mergeCell ref="E4:F4"/>
    <mergeCell ref="O4:R4"/>
    <mergeCell ref="T4:W4"/>
    <mergeCell ref="S4:S5"/>
  </mergeCells>
  <dataValidations count="1">
    <dataValidation type="whole" allowBlank="1" showInputMessage="1" showErrorMessage="1" sqref="R6:R20 R23:R38 V6:V20 V23:V38 G6:H20 G23:H38" xr:uid="{00000000-0002-0000-0400-000000000000}">
      <formula1>0</formula1>
      <formula2>1000000000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00FF"/>
  </sheetPr>
  <dimension ref="A1:IS69"/>
  <sheetViews>
    <sheetView tabSelected="1" zoomScale="80" zoomScaleNormal="80" workbookViewId="0">
      <selection activeCell="H19" sqref="H19:I19"/>
    </sheetView>
  </sheetViews>
  <sheetFormatPr defaultColWidth="9.109375" defaultRowHeight="13.2"/>
  <cols>
    <col min="1" max="1" width="4.88671875" style="154" customWidth="1"/>
    <col min="2" max="2" width="15.109375" style="154" hidden="1" customWidth="1"/>
    <col min="3" max="3" width="16.5546875" style="154" hidden="1" customWidth="1"/>
    <col min="4" max="5" width="11.44140625" style="154" customWidth="1"/>
    <col min="6" max="6" width="8.44140625" style="154" customWidth="1"/>
    <col min="7" max="7" width="22" style="154" customWidth="1"/>
    <col min="8" max="8" width="21.44140625" style="154" customWidth="1"/>
    <col min="9" max="9" width="21.109375" style="154" customWidth="1"/>
    <col min="10" max="10" width="25.5546875" style="154" customWidth="1"/>
    <col min="11" max="11" width="20.5546875" style="154" customWidth="1"/>
    <col min="12" max="12" width="21.6640625" style="154" customWidth="1"/>
    <col min="13" max="13" width="21.109375" style="154" customWidth="1"/>
    <col min="14" max="14" width="21" style="154" customWidth="1"/>
    <col min="15" max="15" width="13.33203125" style="154" customWidth="1"/>
    <col min="16" max="16" width="16.33203125" style="154" customWidth="1"/>
    <col min="17" max="17" width="15.6640625" style="154" customWidth="1"/>
    <col min="18" max="18" width="12.5546875" style="154" customWidth="1"/>
    <col min="19" max="19" width="1.44140625" style="154" customWidth="1"/>
    <col min="20" max="20" width="22.33203125" style="154" customWidth="1"/>
    <col min="21" max="21" width="20.88671875" style="154" customWidth="1"/>
    <col min="22" max="22" width="11.5546875" style="154" customWidth="1"/>
    <col min="23" max="23" width="18" style="154" customWidth="1"/>
    <col min="24" max="24" width="20.33203125" style="154" customWidth="1"/>
    <col min="25" max="25" width="18.88671875" style="154" customWidth="1"/>
    <col min="26" max="26" width="10.5546875" style="154" customWidth="1"/>
    <col min="27" max="27" width="17.6640625" style="154" customWidth="1"/>
    <col min="28" max="28" width="19.5546875" style="154" customWidth="1"/>
    <col min="29" max="29" width="18.5546875" style="154" customWidth="1"/>
    <col min="30" max="30" width="3.109375" style="154" customWidth="1"/>
    <col min="31" max="32" width="20.6640625" style="154" customWidth="1"/>
    <col min="33" max="33" width="18.6640625" style="154" customWidth="1"/>
    <col min="34" max="34" width="1.33203125" style="154" customWidth="1"/>
    <col min="35" max="35" width="16.33203125" style="154" customWidth="1"/>
    <col min="36" max="36" width="15.88671875" style="154" customWidth="1"/>
    <col min="37" max="37" width="10.5546875" style="154" customWidth="1"/>
    <col min="38" max="38" width="14.44140625" style="154" customWidth="1"/>
    <col min="39" max="39" width="15.109375" style="154" customWidth="1"/>
    <col min="40" max="40" width="10.5546875" style="154" customWidth="1"/>
    <col min="41" max="41" width="17.5546875" style="154" customWidth="1"/>
    <col min="42" max="42" width="17" style="154" customWidth="1"/>
    <col min="43" max="43" width="10.5546875" style="154" customWidth="1"/>
    <col min="44" max="44" width="0.6640625" style="154" customWidth="1"/>
    <col min="45" max="47" width="12.6640625" style="154" customWidth="1"/>
    <col min="48" max="48" width="13.88671875" style="154" customWidth="1"/>
    <col min="49" max="49" width="14" style="154" customWidth="1"/>
    <col min="50" max="50" width="12.6640625" style="154" customWidth="1"/>
    <col min="51" max="52" width="14.33203125" style="154" customWidth="1"/>
    <col min="53" max="53" width="12.6640625" style="154" customWidth="1"/>
    <col min="54" max="54" width="1.6640625" style="154" customWidth="1"/>
    <col min="55" max="57" width="12.6640625" style="154" customWidth="1"/>
    <col min="58" max="58" width="1.88671875" style="154" customWidth="1"/>
    <col min="59" max="64" width="12.6640625" style="155" customWidth="1"/>
    <col min="65" max="66" width="14" style="155" customWidth="1"/>
    <col min="67" max="67" width="12.6640625" style="155" customWidth="1"/>
    <col min="68" max="68" width="2.109375" style="155" customWidth="1"/>
    <col min="69" max="70" width="9.109375" style="154"/>
    <col min="71" max="71" width="10.5546875" style="154" customWidth="1"/>
    <col min="72" max="16384" width="9.109375" style="154"/>
  </cols>
  <sheetData>
    <row r="1" spans="1:253" ht="15" customHeight="1">
      <c r="D1" s="156" t="s">
        <v>88</v>
      </c>
      <c r="G1" s="157"/>
      <c r="H1" s="157"/>
      <c r="I1" s="157"/>
      <c r="J1" s="157"/>
      <c r="L1" s="160"/>
      <c r="M1" s="160"/>
      <c r="N1" s="160"/>
      <c r="O1" s="160"/>
      <c r="T1" s="160"/>
      <c r="U1" s="160"/>
      <c r="V1" s="160"/>
    </row>
    <row r="2" spans="1:253" ht="15" hidden="1" customHeight="1">
      <c r="D2" s="156"/>
      <c r="G2" s="157"/>
      <c r="H2" s="157"/>
      <c r="I2" s="157"/>
      <c r="J2" s="157"/>
      <c r="L2" s="160"/>
      <c r="M2" s="160"/>
      <c r="N2" s="183" t="s">
        <v>89</v>
      </c>
      <c r="O2" s="160"/>
      <c r="T2" s="160"/>
      <c r="U2" s="160"/>
      <c r="V2" s="160"/>
    </row>
    <row r="3" spans="1:253" ht="15" hidden="1" customHeight="1">
      <c r="D3" s="156"/>
      <c r="G3" s="157"/>
      <c r="H3" s="157"/>
      <c r="I3" s="157"/>
      <c r="J3" s="157"/>
      <c r="L3" s="160"/>
      <c r="M3" s="160"/>
      <c r="N3" s="184" t="s">
        <v>90</v>
      </c>
      <c r="O3" s="160"/>
      <c r="T3" s="160"/>
      <c r="U3" s="160"/>
      <c r="V3" s="160"/>
    </row>
    <row r="4" spans="1:253" ht="25.5" hidden="1" customHeight="1">
      <c r="D4" s="156"/>
      <c r="G4" s="157"/>
      <c r="H4" s="157"/>
      <c r="I4" s="157"/>
      <c r="J4" s="157"/>
      <c r="L4" s="160"/>
      <c r="M4" s="160"/>
      <c r="N4" s="184" t="s">
        <v>91</v>
      </c>
      <c r="O4" s="160"/>
      <c r="T4" s="160"/>
      <c r="U4" s="160"/>
      <c r="V4" s="160"/>
    </row>
    <row r="5" spans="1:253" ht="25.5" hidden="1" customHeight="1">
      <c r="D5" s="156"/>
      <c r="G5" s="157"/>
      <c r="H5" s="157"/>
      <c r="I5" s="157"/>
      <c r="J5" s="157"/>
      <c r="L5" s="160"/>
      <c r="M5" s="160"/>
      <c r="N5" s="184" t="s">
        <v>92</v>
      </c>
      <c r="O5" s="160"/>
      <c r="T5" s="160"/>
      <c r="U5" s="160"/>
      <c r="V5" s="160"/>
    </row>
    <row r="6" spans="1:253" ht="25.5" hidden="1" customHeight="1">
      <c r="D6" s="156"/>
      <c r="G6" s="157"/>
      <c r="H6" s="157"/>
      <c r="I6" s="157"/>
      <c r="J6" s="157"/>
      <c r="L6" s="160"/>
      <c r="M6" s="160"/>
      <c r="N6" s="184" t="s">
        <v>93</v>
      </c>
      <c r="O6" s="160"/>
      <c r="T6" s="160"/>
      <c r="U6" s="160"/>
      <c r="V6" s="160"/>
    </row>
    <row r="7" spans="1:253" ht="25.5" hidden="1" customHeight="1">
      <c r="D7" s="156"/>
      <c r="G7" s="157"/>
      <c r="H7" s="157"/>
      <c r="I7" s="157"/>
      <c r="J7" s="157"/>
      <c r="L7" s="160"/>
      <c r="M7" s="160"/>
      <c r="N7" s="160"/>
      <c r="O7" s="160"/>
      <c r="T7" s="160"/>
      <c r="U7" s="160"/>
      <c r="V7" s="160"/>
    </row>
    <row r="8" spans="1:253" ht="25.5" hidden="1" customHeight="1">
      <c r="D8" s="156"/>
      <c r="G8" s="157"/>
      <c r="H8" s="157"/>
      <c r="I8" s="157"/>
      <c r="J8" s="157"/>
      <c r="L8" s="160"/>
      <c r="M8" s="160"/>
      <c r="N8" s="160"/>
      <c r="O8" s="160"/>
      <c r="T8" s="160"/>
      <c r="U8" s="160"/>
      <c r="V8" s="160"/>
    </row>
    <row r="9" spans="1:253" ht="25.5" hidden="1" customHeight="1">
      <c r="D9" s="156"/>
      <c r="G9" s="157"/>
      <c r="H9" s="157"/>
      <c r="I9" s="157"/>
      <c r="J9" s="157"/>
      <c r="L9" s="160"/>
      <c r="M9" s="160"/>
      <c r="N9" s="160"/>
      <c r="O9" s="160"/>
      <c r="T9" s="160"/>
      <c r="U9" s="160"/>
      <c r="V9" s="160"/>
    </row>
    <row r="10" spans="1:253" ht="15" hidden="1" customHeight="1">
      <c r="D10" s="156"/>
      <c r="G10" s="157"/>
      <c r="H10" s="157"/>
      <c r="I10" s="157"/>
      <c r="J10" s="157"/>
      <c r="L10" s="160"/>
      <c r="M10" s="160"/>
      <c r="N10" s="160"/>
      <c r="O10" s="160"/>
      <c r="T10" s="160"/>
      <c r="U10" s="160"/>
      <c r="V10" s="160"/>
    </row>
    <row r="11" spans="1:253" ht="21.75" customHeight="1">
      <c r="D11" s="156"/>
      <c r="G11" s="157"/>
      <c r="H11" s="157"/>
      <c r="I11" s="157"/>
      <c r="J11" s="157"/>
      <c r="L11" s="160"/>
      <c r="M11" s="160"/>
      <c r="N11" s="160"/>
      <c r="O11" s="160"/>
      <c r="T11" s="160"/>
      <c r="U11" s="160"/>
      <c r="V11" s="160"/>
    </row>
    <row r="12" spans="1:253" s="145" customFormat="1" ht="24" customHeight="1" thickBot="1">
      <c r="A12" s="145" t="s">
        <v>38</v>
      </c>
      <c r="D12" s="158" t="s">
        <v>94</v>
      </c>
      <c r="E12" s="918" t="s">
        <v>252</v>
      </c>
      <c r="F12" s="918"/>
      <c r="G12" s="918"/>
      <c r="H12" s="159"/>
      <c r="I12" s="159"/>
      <c r="J12" s="159"/>
      <c r="L12" s="185"/>
      <c r="M12" s="185"/>
      <c r="N12" s="185"/>
      <c r="O12" s="185"/>
      <c r="T12" s="185"/>
      <c r="U12" s="185"/>
      <c r="V12" s="185"/>
    </row>
    <row r="13" spans="1:253" s="146" customFormat="1" ht="17.399999999999999" thickBot="1">
      <c r="A13" s="145"/>
      <c r="B13" s="145"/>
      <c r="C13" s="145"/>
      <c r="D13" s="158" t="s">
        <v>95</v>
      </c>
      <c r="E13" s="919" t="s">
        <v>284</v>
      </c>
      <c r="F13" s="918"/>
      <c r="G13" s="918"/>
      <c r="H13" s="159"/>
      <c r="I13" s="159"/>
      <c r="J13" s="159"/>
      <c r="K13" s="145"/>
      <c r="L13" s="185"/>
      <c r="M13" s="185"/>
      <c r="N13" s="185"/>
      <c r="S13" s="145"/>
      <c r="T13" s="185"/>
      <c r="U13" s="185"/>
      <c r="V13" s="18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5"/>
      <c r="BD13" s="145"/>
      <c r="BE13" s="145"/>
      <c r="BF13" s="145"/>
      <c r="BG13" s="145"/>
      <c r="BH13" s="145"/>
      <c r="BI13" s="145"/>
      <c r="BJ13" s="145"/>
      <c r="BK13" s="145"/>
      <c r="BL13" s="145"/>
      <c r="BM13" s="145"/>
      <c r="BN13" s="145"/>
      <c r="BO13" s="145"/>
      <c r="BP13" s="145"/>
      <c r="BQ13" s="145"/>
      <c r="BR13" s="145"/>
      <c r="BS13" s="145"/>
      <c r="BT13" s="145"/>
      <c r="BU13" s="145"/>
      <c r="BV13" s="145"/>
      <c r="BW13" s="145"/>
      <c r="BX13" s="145"/>
      <c r="BY13" s="145"/>
      <c r="BZ13" s="145"/>
      <c r="CA13" s="145"/>
      <c r="CB13" s="145"/>
      <c r="CC13" s="145"/>
      <c r="CD13" s="145"/>
      <c r="CE13" s="145"/>
      <c r="CF13" s="145"/>
      <c r="CG13" s="145"/>
      <c r="CH13" s="145"/>
      <c r="CI13" s="145"/>
      <c r="CJ13" s="145"/>
      <c r="CK13" s="145"/>
      <c r="CL13" s="145"/>
      <c r="CM13" s="145"/>
      <c r="CN13" s="145"/>
      <c r="CO13" s="145"/>
      <c r="CP13" s="145"/>
      <c r="CQ13" s="145"/>
      <c r="CR13" s="145"/>
      <c r="CS13" s="145"/>
      <c r="CT13" s="145"/>
      <c r="CU13" s="145"/>
      <c r="CV13" s="145"/>
      <c r="CW13" s="145"/>
      <c r="CX13" s="145"/>
      <c r="CY13" s="145"/>
      <c r="CZ13" s="145"/>
      <c r="DA13" s="145"/>
      <c r="DB13" s="145"/>
      <c r="DC13" s="145"/>
      <c r="DD13" s="145"/>
      <c r="DE13" s="145"/>
      <c r="DF13" s="145"/>
      <c r="DG13" s="145"/>
      <c r="DH13" s="145"/>
      <c r="DI13" s="145"/>
      <c r="DJ13" s="145"/>
      <c r="DK13" s="145"/>
      <c r="DL13" s="145"/>
      <c r="DM13" s="145"/>
      <c r="DN13" s="145"/>
      <c r="DO13" s="145"/>
      <c r="DP13" s="145"/>
      <c r="DQ13" s="145"/>
      <c r="DR13" s="145"/>
      <c r="DS13" s="145"/>
      <c r="DT13" s="145"/>
      <c r="DU13" s="145"/>
      <c r="DV13" s="145"/>
      <c r="DW13" s="145"/>
      <c r="DX13" s="145"/>
      <c r="DY13" s="145"/>
      <c r="DZ13" s="145"/>
      <c r="EA13" s="145"/>
      <c r="EB13" s="145"/>
      <c r="EC13" s="145"/>
      <c r="ED13" s="145"/>
      <c r="EE13" s="145"/>
      <c r="EF13" s="145"/>
      <c r="EG13" s="145"/>
      <c r="EH13" s="145"/>
      <c r="EI13" s="145"/>
      <c r="EJ13" s="145"/>
      <c r="EK13" s="145"/>
      <c r="EL13" s="145"/>
      <c r="EM13" s="145"/>
      <c r="EN13" s="145"/>
      <c r="EO13" s="145"/>
      <c r="EP13" s="145"/>
      <c r="EQ13" s="145"/>
      <c r="ER13" s="145"/>
      <c r="ES13" s="145"/>
      <c r="ET13" s="145"/>
      <c r="EU13" s="145"/>
      <c r="EV13" s="145"/>
      <c r="EW13" s="145"/>
      <c r="EX13" s="145"/>
      <c r="EY13" s="145"/>
      <c r="EZ13" s="145"/>
      <c r="FA13" s="145"/>
      <c r="FB13" s="145"/>
      <c r="FC13" s="145"/>
      <c r="FD13" s="145"/>
      <c r="FE13" s="145"/>
      <c r="FF13" s="145"/>
      <c r="FG13" s="145"/>
      <c r="FH13" s="145"/>
      <c r="FI13" s="145"/>
      <c r="FJ13" s="145"/>
      <c r="FK13" s="145"/>
      <c r="FL13" s="145"/>
      <c r="FM13" s="145"/>
      <c r="FN13" s="145"/>
      <c r="FO13" s="145"/>
      <c r="FP13" s="145"/>
      <c r="FQ13" s="145"/>
      <c r="FR13" s="145"/>
      <c r="FS13" s="145"/>
      <c r="FT13" s="145"/>
      <c r="FU13" s="145"/>
      <c r="FV13" s="145"/>
      <c r="FW13" s="145"/>
      <c r="FX13" s="145"/>
      <c r="FY13" s="145"/>
      <c r="FZ13" s="145"/>
      <c r="GA13" s="145"/>
      <c r="GB13" s="145"/>
      <c r="GC13" s="145"/>
      <c r="GD13" s="145"/>
      <c r="GE13" s="145"/>
      <c r="GF13" s="145"/>
      <c r="GG13" s="145"/>
      <c r="GH13" s="145"/>
      <c r="GI13" s="145"/>
      <c r="GJ13" s="145"/>
      <c r="GK13" s="145"/>
      <c r="GL13" s="145"/>
      <c r="GM13" s="145"/>
      <c r="GN13" s="145"/>
      <c r="GO13" s="145"/>
      <c r="GP13" s="145"/>
      <c r="GQ13" s="145"/>
      <c r="GR13" s="145"/>
      <c r="GS13" s="145"/>
      <c r="GT13" s="145"/>
      <c r="GU13" s="145"/>
      <c r="GV13" s="145"/>
      <c r="GW13" s="145"/>
      <c r="GX13" s="145"/>
      <c r="GY13" s="145"/>
      <c r="GZ13" s="145"/>
      <c r="HA13" s="145"/>
      <c r="HB13" s="145"/>
      <c r="HC13" s="145"/>
      <c r="HD13" s="145"/>
      <c r="HE13" s="145"/>
      <c r="HF13" s="145"/>
      <c r="HG13" s="145"/>
      <c r="HH13" s="145"/>
      <c r="HI13" s="145"/>
      <c r="HJ13" s="145"/>
      <c r="HK13" s="145"/>
      <c r="HL13" s="145"/>
      <c r="HM13" s="145"/>
      <c r="HN13" s="145"/>
      <c r="HO13" s="145"/>
      <c r="HP13" s="145"/>
      <c r="HQ13" s="145"/>
      <c r="HR13" s="145"/>
      <c r="HS13" s="145"/>
      <c r="HT13" s="145"/>
      <c r="HU13" s="145"/>
      <c r="HV13" s="145"/>
      <c r="HW13" s="145"/>
      <c r="HX13" s="145"/>
      <c r="HY13" s="145"/>
      <c r="HZ13" s="145"/>
      <c r="IA13" s="145"/>
      <c r="IB13" s="145"/>
      <c r="IC13" s="145"/>
      <c r="ID13" s="145"/>
      <c r="IE13" s="145"/>
      <c r="IF13" s="145"/>
      <c r="IG13" s="145"/>
      <c r="IH13" s="145"/>
      <c r="II13" s="145"/>
      <c r="IJ13" s="145"/>
      <c r="IK13" s="145"/>
      <c r="IL13" s="145"/>
      <c r="IM13" s="145"/>
      <c r="IN13" s="145"/>
      <c r="IO13" s="145"/>
      <c r="IP13" s="145"/>
      <c r="IQ13" s="145"/>
      <c r="IR13" s="145"/>
      <c r="IS13" s="145"/>
    </row>
    <row r="14" spans="1:253" s="147" customFormat="1" ht="23.4" thickBot="1">
      <c r="A14" s="154"/>
      <c r="B14" s="154"/>
      <c r="C14" s="154"/>
      <c r="D14" s="154"/>
      <c r="E14" s="154"/>
      <c r="F14" s="154"/>
      <c r="G14" s="154"/>
      <c r="H14" s="160"/>
      <c r="I14" s="160"/>
      <c r="J14" s="160"/>
      <c r="K14" s="154"/>
      <c r="L14" s="160"/>
      <c r="M14" s="154"/>
      <c r="N14" s="154" t="s">
        <v>38</v>
      </c>
      <c r="O14" s="186" t="s">
        <v>96</v>
      </c>
      <c r="P14" s="187" t="s">
        <v>97</v>
      </c>
      <c r="Q14" s="187" t="s">
        <v>241</v>
      </c>
      <c r="R14" s="230" t="s">
        <v>98</v>
      </c>
      <c r="S14" s="231"/>
      <c r="T14" s="232" t="s">
        <v>96</v>
      </c>
      <c r="U14" s="233" t="s">
        <v>97</v>
      </c>
      <c r="V14" s="233" t="s">
        <v>99</v>
      </c>
      <c r="W14" s="234" t="s">
        <v>98</v>
      </c>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5"/>
      <c r="BH14" s="155"/>
      <c r="BI14" s="155"/>
      <c r="BJ14" s="155"/>
      <c r="BK14" s="155"/>
      <c r="BL14" s="155"/>
      <c r="BM14" s="155"/>
      <c r="BN14" s="155"/>
      <c r="BO14" s="155"/>
      <c r="BP14" s="155"/>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54"/>
      <c r="GS14" s="154"/>
      <c r="GT14" s="154"/>
      <c r="GU14" s="154"/>
      <c r="GV14" s="154"/>
      <c r="GW14" s="154"/>
      <c r="GX14" s="154"/>
      <c r="GY14" s="154"/>
      <c r="GZ14" s="154"/>
      <c r="HA14" s="154"/>
      <c r="HB14" s="154"/>
      <c r="HC14" s="154"/>
      <c r="HD14" s="154"/>
      <c r="HE14" s="154"/>
      <c r="HF14" s="154"/>
      <c r="HG14" s="154"/>
      <c r="HH14" s="154"/>
      <c r="HI14" s="154"/>
      <c r="HJ14" s="154"/>
      <c r="HK14" s="154"/>
      <c r="HL14" s="154"/>
      <c r="HM14" s="154"/>
      <c r="HN14" s="154"/>
      <c r="HO14" s="154"/>
      <c r="HP14" s="154"/>
      <c r="HQ14" s="154"/>
      <c r="HR14" s="154"/>
      <c r="HS14" s="154"/>
      <c r="HT14" s="154"/>
      <c r="HU14" s="154"/>
      <c r="HV14" s="154"/>
      <c r="HW14" s="154"/>
      <c r="HX14" s="154"/>
      <c r="HY14" s="154"/>
      <c r="HZ14" s="154"/>
      <c r="IA14" s="154"/>
      <c r="IB14" s="154"/>
      <c r="IC14" s="154"/>
      <c r="ID14" s="154"/>
      <c r="IE14" s="154"/>
      <c r="IF14" s="154"/>
      <c r="IG14" s="154"/>
      <c r="IH14" s="154"/>
      <c r="II14" s="154"/>
      <c r="IJ14" s="154"/>
      <c r="IK14" s="154"/>
      <c r="IL14" s="154"/>
      <c r="IM14" s="154"/>
      <c r="IN14" s="154"/>
      <c r="IO14" s="154"/>
      <c r="IP14" s="154"/>
      <c r="IQ14" s="154"/>
      <c r="IR14" s="154"/>
      <c r="IS14" s="154"/>
    </row>
    <row r="15" spans="1:253" s="147" customFormat="1" ht="26.4">
      <c r="A15" s="154"/>
      <c r="B15" s="154"/>
      <c r="C15" s="154"/>
      <c r="D15" s="920" t="s">
        <v>100</v>
      </c>
      <c r="E15" s="921"/>
      <c r="F15" s="921"/>
      <c r="G15" s="161">
        <v>8700000</v>
      </c>
      <c r="H15" s="922" t="s">
        <v>101</v>
      </c>
      <c r="I15" s="923"/>
      <c r="J15" s="654">
        <f>G16/J20</f>
        <v>241445.50909090909</v>
      </c>
      <c r="K15" s="924" t="s">
        <v>102</v>
      </c>
      <c r="L15" s="925"/>
      <c r="M15" s="659"/>
      <c r="O15" s="188" t="s">
        <v>103</v>
      </c>
      <c r="P15" s="189">
        <f>SUM(AI25:AI55)</f>
        <v>17825</v>
      </c>
      <c r="Q15" s="189">
        <f>SUM(AJ25:AJ55)</f>
        <v>6827</v>
      </c>
      <c r="R15" s="235">
        <f>Q15/P15-1</f>
        <v>-0.61699859747545582</v>
      </c>
      <c r="S15" s="236"/>
      <c r="T15" s="237" t="s">
        <v>104</v>
      </c>
      <c r="U15" s="189">
        <f>SUM(BG25:BG55)</f>
        <v>0</v>
      </c>
      <c r="V15" s="189">
        <f>BH56</f>
        <v>0</v>
      </c>
      <c r="W15" s="235" t="e">
        <f>V15/U15-1</f>
        <v>#DIV/0!</v>
      </c>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5"/>
      <c r="BH15" s="155"/>
      <c r="BI15" s="155"/>
      <c r="BJ15" s="155"/>
      <c r="BK15" s="155"/>
      <c r="BL15" s="155"/>
      <c r="BM15" s="155"/>
      <c r="BN15" s="155"/>
      <c r="BO15" s="155"/>
      <c r="BP15" s="155"/>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54"/>
      <c r="DL15" s="154"/>
      <c r="DM15" s="154"/>
      <c r="DN15" s="154"/>
      <c r="DO15" s="154"/>
      <c r="DP15" s="154"/>
      <c r="DQ15" s="154"/>
      <c r="DR15" s="154"/>
      <c r="DS15" s="154"/>
      <c r="DT15" s="154"/>
      <c r="DU15" s="154"/>
      <c r="DV15" s="154"/>
      <c r="DW15" s="154"/>
      <c r="DX15" s="154"/>
      <c r="DY15" s="154"/>
      <c r="DZ15" s="154"/>
      <c r="EA15" s="154"/>
      <c r="EB15" s="154"/>
      <c r="EC15" s="154"/>
      <c r="ED15" s="154"/>
      <c r="EE15" s="154"/>
      <c r="EF15" s="154"/>
      <c r="EG15" s="154"/>
      <c r="EH15" s="154"/>
      <c r="EI15" s="154"/>
      <c r="EJ15" s="154"/>
      <c r="EK15" s="154"/>
      <c r="EL15" s="154"/>
      <c r="EM15" s="154"/>
      <c r="EN15" s="154"/>
      <c r="EO15" s="154"/>
      <c r="EP15" s="154"/>
      <c r="EQ15" s="154"/>
      <c r="ER15" s="154"/>
      <c r="ES15" s="154"/>
      <c r="ET15" s="154"/>
      <c r="EU15" s="154"/>
      <c r="EV15" s="154"/>
      <c r="EW15" s="154"/>
      <c r="EX15" s="154"/>
      <c r="EY15" s="154"/>
      <c r="EZ15" s="154"/>
      <c r="FA15" s="154"/>
      <c r="FB15" s="154"/>
      <c r="FC15" s="154"/>
      <c r="FD15" s="154"/>
      <c r="FE15" s="154"/>
      <c r="FF15" s="154"/>
      <c r="FG15" s="154"/>
      <c r="FH15" s="154"/>
      <c r="FI15" s="154"/>
      <c r="FJ15" s="154"/>
      <c r="FK15" s="154"/>
      <c r="FL15" s="154"/>
      <c r="FM15" s="154"/>
      <c r="FN15" s="154"/>
      <c r="FO15" s="154"/>
      <c r="FP15" s="154"/>
      <c r="FQ15" s="154"/>
      <c r="FR15" s="154"/>
      <c r="FS15" s="154"/>
      <c r="FT15" s="154"/>
      <c r="FU15" s="154"/>
      <c r="FV15" s="154"/>
      <c r="FW15" s="154"/>
      <c r="FX15" s="154"/>
      <c r="FY15" s="154"/>
      <c r="FZ15" s="154"/>
      <c r="GA15" s="154"/>
      <c r="GB15" s="154"/>
      <c r="GC15" s="154"/>
      <c r="GD15" s="154"/>
      <c r="GE15" s="154"/>
      <c r="GF15" s="154"/>
      <c r="GG15" s="154"/>
      <c r="GH15" s="154"/>
      <c r="GI15" s="154"/>
      <c r="GJ15" s="154"/>
      <c r="GK15" s="154"/>
      <c r="GL15" s="154"/>
      <c r="GM15" s="154"/>
      <c r="GN15" s="154"/>
      <c r="GO15" s="154"/>
      <c r="GP15" s="154"/>
      <c r="GQ15" s="154"/>
      <c r="GR15" s="154"/>
      <c r="GS15" s="154"/>
      <c r="GT15" s="154"/>
      <c r="GU15" s="154"/>
      <c r="GV15" s="154"/>
      <c r="GW15" s="154"/>
      <c r="GX15" s="154"/>
      <c r="GY15" s="154"/>
      <c r="GZ15" s="154"/>
      <c r="HA15" s="154"/>
      <c r="HB15" s="154"/>
      <c r="HC15" s="154"/>
      <c r="HD15" s="154"/>
      <c r="HE15" s="154"/>
      <c r="HF15" s="154"/>
      <c r="HG15" s="154"/>
      <c r="HH15" s="154"/>
      <c r="HI15" s="154"/>
      <c r="HJ15" s="154"/>
      <c r="HK15" s="154"/>
      <c r="HL15" s="154"/>
      <c r="HM15" s="154"/>
      <c r="HN15" s="154"/>
      <c r="HO15" s="154"/>
      <c r="HP15" s="154"/>
      <c r="HQ15" s="154"/>
      <c r="HR15" s="154"/>
      <c r="HS15" s="154"/>
      <c r="HT15" s="154"/>
      <c r="HU15" s="154"/>
      <c r="HV15" s="154"/>
      <c r="HW15" s="154"/>
      <c r="HX15" s="154"/>
      <c r="HY15" s="154"/>
      <c r="HZ15" s="154"/>
      <c r="IA15" s="154"/>
      <c r="IB15" s="154"/>
      <c r="IC15" s="154"/>
      <c r="ID15" s="154"/>
      <c r="IE15" s="154"/>
      <c r="IF15" s="154"/>
      <c r="IG15" s="154"/>
      <c r="IH15" s="154"/>
      <c r="II15" s="154"/>
      <c r="IJ15" s="154"/>
      <c r="IK15" s="154"/>
      <c r="IL15" s="154"/>
      <c r="IM15" s="154"/>
      <c r="IN15" s="154"/>
      <c r="IO15" s="154"/>
      <c r="IP15" s="154"/>
      <c r="IQ15" s="154"/>
      <c r="IR15" s="154"/>
      <c r="IS15" s="154"/>
    </row>
    <row r="16" spans="1:253" s="147" customFormat="1" ht="26.4">
      <c r="A16" s="154"/>
      <c r="B16" s="154"/>
      <c r="C16" s="154"/>
      <c r="D16" s="926" t="s">
        <v>105</v>
      </c>
      <c r="E16" s="927"/>
      <c r="F16" s="927"/>
      <c r="G16" s="162">
        <f>K56</f>
        <v>2655900.6</v>
      </c>
      <c r="H16" s="928" t="s">
        <v>106</v>
      </c>
      <c r="I16" s="929"/>
      <c r="J16" s="655">
        <f>G15/G56-1</f>
        <v>8.1261793886319822E-2</v>
      </c>
      <c r="K16" s="930" t="s">
        <v>105</v>
      </c>
      <c r="L16" s="931"/>
      <c r="M16" s="660">
        <f>AB56</f>
        <v>796770.17999999993</v>
      </c>
      <c r="O16" s="188" t="s">
        <v>107</v>
      </c>
      <c r="P16" s="189">
        <f>SUM(AL25:AL55)</f>
        <v>3435</v>
      </c>
      <c r="Q16" s="189">
        <f>SUM(AM25:AM55)</f>
        <v>1013</v>
      </c>
      <c r="R16" s="235">
        <f>Q16/P16-1</f>
        <v>-0.70509461426491993</v>
      </c>
      <c r="S16" s="236"/>
      <c r="T16" s="237" t="s">
        <v>108</v>
      </c>
      <c r="U16" s="189">
        <f>SUM(BJ25:BJ55)</f>
        <v>0</v>
      </c>
      <c r="V16" s="189">
        <f>BK56</f>
        <v>0</v>
      </c>
      <c r="W16" s="235" t="e">
        <f>V16/U16-1</f>
        <v>#DIV/0!</v>
      </c>
      <c r="Y16" s="276"/>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c r="AY16" s="154"/>
      <c r="AZ16" s="154"/>
      <c r="BA16" s="154"/>
      <c r="BB16" s="154"/>
      <c r="BC16" s="154"/>
      <c r="BD16" s="154"/>
      <c r="BE16" s="154"/>
      <c r="BF16" s="154"/>
      <c r="BG16" s="155"/>
      <c r="BH16" s="155"/>
      <c r="BI16" s="155"/>
      <c r="BJ16" s="155"/>
      <c r="BK16" s="155"/>
      <c r="BL16" s="155"/>
      <c r="BM16" s="155"/>
      <c r="BN16" s="155"/>
      <c r="BO16" s="155"/>
      <c r="BP16" s="155"/>
      <c r="BQ16" s="154"/>
      <c r="BR16" s="154"/>
      <c r="BS16" s="154"/>
      <c r="BT16" s="154"/>
      <c r="BU16" s="154"/>
      <c r="BV16" s="154"/>
      <c r="BW16" s="154"/>
      <c r="BX16" s="154"/>
      <c r="BY16" s="154"/>
      <c r="BZ16" s="154"/>
      <c r="CA16" s="154"/>
      <c r="CB16" s="154"/>
      <c r="CC16" s="154"/>
      <c r="CD16" s="154"/>
      <c r="CE16" s="154"/>
      <c r="CF16" s="154"/>
      <c r="CG16" s="154"/>
      <c r="CH16" s="154"/>
      <c r="CI16" s="154"/>
      <c r="CJ16" s="154"/>
      <c r="CK16" s="154"/>
      <c r="CL16" s="154"/>
      <c r="CM16" s="154"/>
      <c r="CN16" s="154"/>
      <c r="CO16" s="154"/>
      <c r="CP16" s="154"/>
      <c r="CQ16" s="154"/>
      <c r="CR16" s="154"/>
      <c r="CS16" s="154"/>
      <c r="CT16" s="154"/>
      <c r="CU16" s="154"/>
      <c r="CV16" s="154"/>
      <c r="CW16" s="154"/>
      <c r="CX16" s="154"/>
      <c r="CY16" s="154"/>
      <c r="CZ16" s="154"/>
      <c r="DA16" s="154"/>
      <c r="DB16" s="154"/>
      <c r="DC16" s="154"/>
      <c r="DD16" s="154"/>
      <c r="DE16" s="154"/>
      <c r="DF16" s="154"/>
      <c r="DG16" s="154"/>
      <c r="DH16" s="154"/>
      <c r="DI16" s="154"/>
      <c r="DJ16" s="154"/>
      <c r="DK16" s="154"/>
      <c r="DL16" s="154"/>
      <c r="DM16" s="154"/>
      <c r="DN16" s="154"/>
      <c r="DO16" s="154"/>
      <c r="DP16" s="154"/>
      <c r="DQ16" s="154"/>
      <c r="DR16" s="154"/>
      <c r="DS16" s="154"/>
      <c r="DT16" s="154"/>
      <c r="DU16" s="154"/>
      <c r="DV16" s="154"/>
      <c r="DW16" s="154"/>
      <c r="DX16" s="154"/>
      <c r="DY16" s="154"/>
      <c r="DZ16" s="154"/>
      <c r="EA16" s="154"/>
      <c r="EB16" s="154"/>
      <c r="EC16" s="154"/>
      <c r="ED16" s="154"/>
      <c r="EE16" s="154"/>
      <c r="EF16" s="154"/>
      <c r="EG16" s="154"/>
      <c r="EH16" s="154"/>
      <c r="EI16" s="154"/>
      <c r="EJ16" s="154"/>
      <c r="EK16" s="154"/>
      <c r="EL16" s="154"/>
      <c r="EM16" s="154"/>
      <c r="EN16" s="154"/>
      <c r="EO16" s="154"/>
      <c r="EP16" s="154"/>
      <c r="EQ16" s="154"/>
      <c r="ER16" s="154"/>
      <c r="ES16" s="154"/>
      <c r="ET16" s="154"/>
      <c r="EU16" s="154"/>
      <c r="EV16" s="154"/>
      <c r="EW16" s="154"/>
      <c r="EX16" s="154"/>
      <c r="EY16" s="154"/>
      <c r="EZ16" s="154"/>
      <c r="FA16" s="154"/>
      <c r="FB16" s="154"/>
      <c r="FC16" s="154"/>
      <c r="FD16" s="154"/>
      <c r="FE16" s="154"/>
      <c r="FF16" s="154"/>
      <c r="FG16" s="154"/>
      <c r="FH16" s="154"/>
      <c r="FI16" s="154"/>
      <c r="FJ16" s="154"/>
      <c r="FK16" s="154"/>
      <c r="FL16" s="154"/>
      <c r="FM16" s="154"/>
      <c r="FN16" s="154"/>
      <c r="FO16" s="154"/>
      <c r="FP16" s="154"/>
      <c r="FQ16" s="154"/>
      <c r="FR16" s="154"/>
      <c r="FS16" s="154"/>
      <c r="FT16" s="154"/>
      <c r="FU16" s="154"/>
      <c r="FV16" s="154"/>
      <c r="FW16" s="154"/>
      <c r="FX16" s="154"/>
      <c r="FY16" s="154"/>
      <c r="FZ16" s="154"/>
      <c r="GA16" s="154"/>
      <c r="GB16" s="154"/>
      <c r="GC16" s="154"/>
      <c r="GD16" s="154"/>
      <c r="GE16" s="154"/>
      <c r="GF16" s="154"/>
      <c r="GG16" s="154"/>
      <c r="GH16" s="154"/>
      <c r="GI16" s="154"/>
      <c r="GJ16" s="154"/>
      <c r="GK16" s="154"/>
      <c r="GL16" s="154"/>
      <c r="GM16" s="154"/>
      <c r="GN16" s="154"/>
      <c r="GO16" s="154"/>
      <c r="GP16" s="154"/>
      <c r="GQ16" s="154"/>
      <c r="GR16" s="154"/>
      <c r="GS16" s="154"/>
      <c r="GT16" s="154"/>
      <c r="GU16" s="154"/>
      <c r="GV16" s="154"/>
      <c r="GW16" s="154"/>
      <c r="GX16" s="154"/>
      <c r="GY16" s="154"/>
      <c r="GZ16" s="154"/>
      <c r="HA16" s="154"/>
      <c r="HB16" s="154"/>
      <c r="HC16" s="154"/>
      <c r="HD16" s="154"/>
      <c r="HE16" s="154"/>
      <c r="HF16" s="154"/>
      <c r="HG16" s="154"/>
      <c r="HH16" s="154"/>
      <c r="HI16" s="154"/>
      <c r="HJ16" s="154"/>
      <c r="HK16" s="154"/>
      <c r="HL16" s="154"/>
      <c r="HM16" s="154"/>
      <c r="HN16" s="154"/>
      <c r="HO16" s="154"/>
      <c r="HP16" s="154"/>
      <c r="HQ16" s="154"/>
      <c r="HR16" s="154"/>
      <c r="HS16" s="154"/>
      <c r="HT16" s="154"/>
      <c r="HU16" s="154"/>
      <c r="HV16" s="154"/>
      <c r="HW16" s="154"/>
      <c r="HX16" s="154"/>
      <c r="HY16" s="154"/>
      <c r="HZ16" s="154"/>
      <c r="IA16" s="154"/>
      <c r="IB16" s="154"/>
      <c r="IC16" s="154"/>
      <c r="ID16" s="154"/>
      <c r="IE16" s="154"/>
      <c r="IF16" s="154"/>
      <c r="IG16" s="154"/>
      <c r="IH16" s="154"/>
      <c r="II16" s="154"/>
      <c r="IJ16" s="154"/>
      <c r="IK16" s="154"/>
      <c r="IL16" s="154"/>
      <c r="IM16" s="154"/>
      <c r="IN16" s="154"/>
      <c r="IO16" s="154"/>
      <c r="IP16" s="154"/>
      <c r="IQ16" s="154"/>
      <c r="IR16" s="154"/>
      <c r="IS16" s="154"/>
    </row>
    <row r="17" spans="1:253" s="147" customFormat="1" ht="26.4">
      <c r="A17" s="154"/>
      <c r="B17" s="154"/>
      <c r="C17" s="154"/>
      <c r="D17" s="926" t="s">
        <v>109</v>
      </c>
      <c r="E17" s="927"/>
      <c r="F17" s="927"/>
      <c r="G17" s="163">
        <f>G16-G15</f>
        <v>-6044099.4000000004</v>
      </c>
      <c r="H17" s="928" t="s">
        <v>110</v>
      </c>
      <c r="I17" s="929"/>
      <c r="J17" s="656">
        <f>SUM(H25:H35)</f>
        <v>0.33166509925341348</v>
      </c>
      <c r="K17" s="930" t="s">
        <v>109</v>
      </c>
      <c r="L17" s="931"/>
      <c r="M17" s="661">
        <f>M16-M15</f>
        <v>796770.17999999993</v>
      </c>
      <c r="O17" s="188" t="s">
        <v>111</v>
      </c>
      <c r="P17" s="190">
        <f>G56/AL56</f>
        <v>2342.4032052401744</v>
      </c>
      <c r="Q17" s="190">
        <f>G16/Q16</f>
        <v>2621.8169792694966</v>
      </c>
      <c r="R17" s="235">
        <f>Q17/P17-1</f>
        <v>0.11928508866630971</v>
      </c>
      <c r="S17" s="236"/>
      <c r="T17" s="237" t="s">
        <v>112</v>
      </c>
      <c r="U17" s="238" t="e">
        <f>U16/U15</f>
        <v>#DIV/0!</v>
      </c>
      <c r="V17" s="238" t="e">
        <f>V16/V15</f>
        <v>#DIV/0!</v>
      </c>
      <c r="W17" s="235" t="e">
        <f>V17-U17</f>
        <v>#DIV/0!</v>
      </c>
      <c r="Y17" s="276"/>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5"/>
      <c r="BH17" s="155"/>
      <c r="BI17" s="155"/>
      <c r="BJ17" s="155"/>
      <c r="BK17" s="155"/>
      <c r="BL17" s="155"/>
      <c r="BM17" s="155"/>
      <c r="BN17" s="155"/>
      <c r="BO17" s="155"/>
      <c r="BP17" s="155"/>
      <c r="BQ17" s="154"/>
      <c r="BR17" s="154"/>
      <c r="BS17" s="154"/>
      <c r="BT17" s="154"/>
      <c r="BU17" s="154"/>
      <c r="BV17" s="154"/>
      <c r="BW17" s="154"/>
      <c r="BX17" s="154"/>
      <c r="BY17" s="154"/>
      <c r="BZ17" s="154"/>
      <c r="CA17" s="154"/>
      <c r="CB17" s="154"/>
      <c r="CC17" s="154"/>
      <c r="CD17" s="154"/>
      <c r="CE17" s="154"/>
      <c r="CF17" s="154"/>
      <c r="CG17" s="154"/>
      <c r="CH17" s="154"/>
      <c r="CI17" s="154"/>
      <c r="CJ17" s="154"/>
      <c r="CK17" s="154"/>
      <c r="CL17" s="154"/>
      <c r="CM17" s="154"/>
      <c r="CN17" s="154"/>
      <c r="CO17" s="154"/>
      <c r="CP17" s="154"/>
      <c r="CQ17" s="154"/>
      <c r="CR17" s="154"/>
      <c r="CS17" s="154"/>
      <c r="CT17" s="154"/>
      <c r="CU17" s="154"/>
      <c r="CV17" s="154"/>
      <c r="CW17" s="154"/>
      <c r="CX17" s="154"/>
      <c r="CY17" s="154"/>
      <c r="CZ17" s="154"/>
      <c r="DA17" s="154"/>
      <c r="DB17" s="154"/>
      <c r="DC17" s="154"/>
      <c r="DD17" s="154"/>
      <c r="DE17" s="154"/>
      <c r="DF17" s="154"/>
      <c r="DG17" s="154"/>
      <c r="DH17" s="154"/>
      <c r="DI17" s="154"/>
      <c r="DJ17" s="154"/>
      <c r="DK17" s="154"/>
      <c r="DL17" s="154"/>
      <c r="DM17" s="154"/>
      <c r="DN17" s="154"/>
      <c r="DO17" s="154"/>
      <c r="DP17" s="154"/>
      <c r="DQ17" s="154"/>
      <c r="DR17" s="154"/>
      <c r="DS17" s="154"/>
      <c r="DT17" s="154"/>
      <c r="DU17" s="154"/>
      <c r="DV17" s="154"/>
      <c r="DW17" s="154"/>
      <c r="DX17" s="154"/>
      <c r="DY17" s="154"/>
      <c r="DZ17" s="154"/>
      <c r="EA17" s="154"/>
      <c r="EB17" s="154"/>
      <c r="EC17" s="154"/>
      <c r="ED17" s="154"/>
      <c r="EE17" s="154"/>
      <c r="EF17" s="154"/>
      <c r="EG17" s="154"/>
      <c r="EH17" s="154"/>
      <c r="EI17" s="154"/>
      <c r="EJ17" s="154"/>
      <c r="EK17" s="154"/>
      <c r="EL17" s="154"/>
      <c r="EM17" s="154"/>
      <c r="EN17" s="154"/>
      <c r="EO17" s="154"/>
      <c r="EP17" s="154"/>
      <c r="EQ17" s="154"/>
      <c r="ER17" s="154"/>
      <c r="ES17" s="154"/>
      <c r="ET17" s="154"/>
      <c r="EU17" s="154"/>
      <c r="EV17" s="154"/>
      <c r="EW17" s="154"/>
      <c r="EX17" s="154"/>
      <c r="EY17" s="154"/>
      <c r="EZ17" s="154"/>
      <c r="FA17" s="154"/>
      <c r="FB17" s="154"/>
      <c r="FC17" s="154"/>
      <c r="FD17" s="154"/>
      <c r="FE17" s="154"/>
      <c r="FF17" s="154"/>
      <c r="FG17" s="154"/>
      <c r="FH17" s="154"/>
      <c r="FI17" s="154"/>
      <c r="FJ17" s="154"/>
      <c r="FK17" s="154"/>
      <c r="FL17" s="154"/>
      <c r="FM17" s="154"/>
      <c r="FN17" s="154"/>
      <c r="FO17" s="154"/>
      <c r="FP17" s="154"/>
      <c r="FQ17" s="154"/>
      <c r="FR17" s="154"/>
      <c r="FS17" s="154"/>
      <c r="FT17" s="154"/>
      <c r="FU17" s="154"/>
      <c r="FV17" s="154"/>
      <c r="FW17" s="154"/>
      <c r="FX17" s="154"/>
      <c r="FY17" s="154"/>
      <c r="FZ17" s="154"/>
      <c r="GA17" s="154"/>
      <c r="GB17" s="154"/>
      <c r="GC17" s="154"/>
      <c r="GD17" s="154"/>
      <c r="GE17" s="154"/>
      <c r="GF17" s="154"/>
      <c r="GG17" s="154"/>
      <c r="GH17" s="154"/>
      <c r="GI17" s="154"/>
      <c r="GJ17" s="154"/>
      <c r="GK17" s="154"/>
      <c r="GL17" s="154"/>
      <c r="GM17" s="154"/>
      <c r="GN17" s="154"/>
      <c r="GO17" s="154"/>
      <c r="GP17" s="154"/>
      <c r="GQ17" s="154"/>
      <c r="GR17" s="154"/>
      <c r="GS17" s="154"/>
      <c r="GT17" s="154"/>
      <c r="GU17" s="154"/>
      <c r="GV17" s="154"/>
      <c r="GW17" s="154"/>
      <c r="GX17" s="154"/>
      <c r="GY17" s="154"/>
      <c r="GZ17" s="154"/>
      <c r="HA17" s="154"/>
      <c r="HB17" s="154"/>
      <c r="HC17" s="154"/>
      <c r="HD17" s="154"/>
      <c r="HE17" s="154"/>
      <c r="HF17" s="154"/>
      <c r="HG17" s="154"/>
      <c r="HH17" s="154"/>
      <c r="HI17" s="154"/>
      <c r="HJ17" s="154"/>
      <c r="HK17" s="154"/>
      <c r="HL17" s="154"/>
      <c r="HM17" s="154"/>
      <c r="HN17" s="154"/>
      <c r="HO17" s="154"/>
      <c r="HP17" s="154"/>
      <c r="HQ17" s="154"/>
      <c r="HR17" s="154"/>
      <c r="HS17" s="154"/>
      <c r="HT17" s="154"/>
      <c r="HU17" s="154"/>
      <c r="HV17" s="154"/>
      <c r="HW17" s="154"/>
      <c r="HX17" s="154"/>
      <c r="HY17" s="154"/>
      <c r="HZ17" s="154"/>
      <c r="IA17" s="154"/>
      <c r="IB17" s="154"/>
      <c r="IC17" s="154"/>
      <c r="ID17" s="154"/>
      <c r="IE17" s="154"/>
      <c r="IF17" s="154"/>
      <c r="IG17" s="154"/>
      <c r="IH17" s="154"/>
      <c r="II17" s="154"/>
      <c r="IJ17" s="154"/>
      <c r="IK17" s="154"/>
      <c r="IL17" s="154"/>
      <c r="IM17" s="154"/>
      <c r="IN17" s="154"/>
      <c r="IO17" s="154"/>
      <c r="IP17" s="154"/>
      <c r="IQ17" s="154"/>
      <c r="IR17" s="154"/>
      <c r="IS17" s="154"/>
    </row>
    <row r="18" spans="1:253" s="147" customFormat="1" ht="27" thickBot="1">
      <c r="A18" s="154"/>
      <c r="B18" s="154"/>
      <c r="C18" s="154"/>
      <c r="D18" s="932" t="s">
        <v>113</v>
      </c>
      <c r="E18" s="933"/>
      <c r="F18" s="933"/>
      <c r="G18" s="164">
        <f>N35</f>
        <v>-387695.7635046973</v>
      </c>
      <c r="H18" s="934" t="s">
        <v>114</v>
      </c>
      <c r="I18" s="935"/>
      <c r="J18" s="657">
        <f>(100%/31)*J20</f>
        <v>0.35483870967741937</v>
      </c>
      <c r="K18" s="936" t="s">
        <v>115</v>
      </c>
      <c r="L18" s="937"/>
      <c r="M18" s="754" t="e">
        <f>SUM(AC25:AC55)</f>
        <v>#DIV/0!</v>
      </c>
      <c r="N18" s="191"/>
      <c r="O18" s="192" t="s">
        <v>116</v>
      </c>
      <c r="P18" s="193">
        <f>P16/P15</f>
        <v>0.19270687237026649</v>
      </c>
      <c r="Q18" s="193">
        <f>Q16/Q15</f>
        <v>0.14838142668814999</v>
      </c>
      <c r="R18" s="235">
        <f>Q18-P18</f>
        <v>-4.4325445682116493E-2</v>
      </c>
      <c r="S18" s="236"/>
      <c r="T18" s="239" t="s">
        <v>117</v>
      </c>
      <c r="U18" s="240">
        <f>BQ56</f>
        <v>0</v>
      </c>
      <c r="V18" s="240">
        <f>BR56</f>
        <v>0</v>
      </c>
      <c r="W18" s="241" t="e">
        <f>V18/U18-1</f>
        <v>#DIV/0!</v>
      </c>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5"/>
      <c r="BH18" s="155"/>
      <c r="BI18" s="155"/>
      <c r="BJ18" s="155"/>
      <c r="BK18" s="155"/>
      <c r="BL18" s="155"/>
      <c r="BM18" s="155"/>
      <c r="BN18" s="155"/>
      <c r="BO18" s="155"/>
      <c r="BP18" s="155"/>
      <c r="BQ18" s="154"/>
      <c r="BR18" s="154"/>
      <c r="BS18" s="154"/>
      <c r="BT18" s="154"/>
      <c r="BU18" s="154"/>
      <c r="BV18" s="154"/>
      <c r="BW18" s="154"/>
      <c r="BX18" s="154"/>
      <c r="BY18" s="154"/>
      <c r="BZ18" s="154"/>
      <c r="CA18" s="154"/>
      <c r="CB18" s="154"/>
      <c r="CC18" s="154"/>
      <c r="CD18" s="154"/>
      <c r="CE18" s="154"/>
      <c r="CF18" s="154"/>
      <c r="CG18" s="154"/>
      <c r="CH18" s="154"/>
      <c r="CI18" s="154"/>
      <c r="CJ18" s="154"/>
      <c r="CK18" s="154"/>
      <c r="CL18" s="154"/>
      <c r="CM18" s="154"/>
      <c r="CN18" s="154"/>
      <c r="CO18" s="154"/>
      <c r="CP18" s="154"/>
      <c r="CQ18" s="154"/>
      <c r="CR18" s="154"/>
      <c r="CS18" s="154"/>
      <c r="CT18" s="154"/>
      <c r="CU18" s="154"/>
      <c r="CV18" s="154"/>
      <c r="CW18" s="154"/>
      <c r="CX18" s="154"/>
      <c r="CY18" s="154"/>
      <c r="CZ18" s="154"/>
      <c r="DA18" s="154"/>
      <c r="DB18" s="154"/>
      <c r="DC18" s="154"/>
      <c r="DD18" s="154"/>
      <c r="DE18" s="154"/>
      <c r="DF18" s="154"/>
      <c r="DG18" s="154"/>
      <c r="DH18" s="154"/>
      <c r="DI18" s="154"/>
      <c r="DJ18" s="154"/>
      <c r="DK18" s="154"/>
      <c r="DL18" s="154"/>
      <c r="DM18" s="154"/>
      <c r="DN18" s="154"/>
      <c r="DO18" s="154"/>
      <c r="DP18" s="154"/>
      <c r="DQ18" s="154"/>
      <c r="DR18" s="154"/>
      <c r="DS18" s="154"/>
      <c r="DT18" s="154"/>
      <c r="DU18" s="154"/>
      <c r="DV18" s="154"/>
      <c r="DW18" s="154"/>
      <c r="DX18" s="154"/>
      <c r="DY18" s="154"/>
      <c r="DZ18" s="154"/>
      <c r="EA18" s="154"/>
      <c r="EB18" s="154"/>
      <c r="EC18" s="154"/>
      <c r="ED18" s="154"/>
      <c r="EE18" s="154"/>
      <c r="EF18" s="154"/>
      <c r="EG18" s="154"/>
      <c r="EH18" s="154"/>
      <c r="EI18" s="154"/>
      <c r="EJ18" s="154"/>
      <c r="EK18" s="154"/>
      <c r="EL18" s="154"/>
      <c r="EM18" s="154"/>
      <c r="EN18" s="154"/>
      <c r="EO18" s="154"/>
      <c r="EP18" s="154"/>
      <c r="EQ18" s="154"/>
      <c r="ER18" s="154"/>
      <c r="ES18" s="154"/>
      <c r="ET18" s="154"/>
      <c r="EU18" s="154"/>
      <c r="EV18" s="154"/>
      <c r="EW18" s="154"/>
      <c r="EX18" s="154"/>
      <c r="EY18" s="154"/>
      <c r="EZ18" s="154"/>
      <c r="FA18" s="154"/>
      <c r="FB18" s="154"/>
      <c r="FC18" s="154"/>
      <c r="FD18" s="154"/>
      <c r="FE18" s="154"/>
      <c r="FF18" s="154"/>
      <c r="FG18" s="154"/>
      <c r="FH18" s="154"/>
      <c r="FI18" s="154"/>
      <c r="FJ18" s="154"/>
      <c r="FK18" s="154"/>
      <c r="FL18" s="154"/>
      <c r="FM18" s="154"/>
      <c r="FN18" s="154"/>
      <c r="FO18" s="154"/>
      <c r="FP18" s="154"/>
      <c r="FQ18" s="154"/>
      <c r="FR18" s="154"/>
      <c r="FS18" s="154"/>
      <c r="FT18" s="154"/>
      <c r="FU18" s="154"/>
      <c r="FV18" s="154"/>
      <c r="FW18" s="154"/>
      <c r="FX18" s="154"/>
      <c r="FY18" s="154"/>
      <c r="FZ18" s="154"/>
      <c r="GA18" s="154"/>
      <c r="GB18" s="154"/>
      <c r="GC18" s="154"/>
      <c r="GD18" s="154"/>
      <c r="GE18" s="154"/>
      <c r="GF18" s="154"/>
      <c r="GG18" s="154"/>
      <c r="GH18" s="154"/>
      <c r="GI18" s="154"/>
      <c r="GJ18" s="154"/>
      <c r="GK18" s="154"/>
      <c r="GL18" s="154"/>
      <c r="GM18" s="154"/>
      <c r="GN18" s="154"/>
      <c r="GO18" s="154"/>
      <c r="GP18" s="154"/>
      <c r="GQ18" s="154"/>
      <c r="GR18" s="154"/>
      <c r="GS18" s="154"/>
      <c r="GT18" s="154"/>
      <c r="GU18" s="154"/>
      <c r="GV18" s="154"/>
      <c r="GW18" s="154"/>
      <c r="GX18" s="154"/>
      <c r="GY18" s="154"/>
      <c r="GZ18" s="154"/>
      <c r="HA18" s="154"/>
      <c r="HB18" s="154"/>
      <c r="HC18" s="154"/>
      <c r="HD18" s="154"/>
      <c r="HE18" s="154"/>
      <c r="HF18" s="154"/>
      <c r="HG18" s="154"/>
      <c r="HH18" s="154"/>
      <c r="HI18" s="154"/>
      <c r="HJ18" s="154"/>
      <c r="HK18" s="154"/>
      <c r="HL18" s="154"/>
      <c r="HM18" s="154"/>
      <c r="HN18" s="154"/>
      <c r="HO18" s="154"/>
      <c r="HP18" s="154"/>
      <c r="HQ18" s="154"/>
      <c r="HR18" s="154"/>
      <c r="HS18" s="154"/>
      <c r="HT18" s="154"/>
      <c r="HU18" s="154"/>
      <c r="HV18" s="154"/>
      <c r="HW18" s="154"/>
      <c r="HX18" s="154"/>
      <c r="HY18" s="154"/>
      <c r="HZ18" s="154"/>
      <c r="IA18" s="154"/>
      <c r="IB18" s="154"/>
      <c r="IC18" s="154"/>
      <c r="ID18" s="154"/>
      <c r="IE18" s="154"/>
      <c r="IF18" s="154"/>
      <c r="IG18" s="154"/>
      <c r="IH18" s="154"/>
      <c r="II18" s="154"/>
      <c r="IJ18" s="154"/>
      <c r="IK18" s="154"/>
      <c r="IL18" s="154"/>
      <c r="IM18" s="154"/>
      <c r="IN18" s="154"/>
      <c r="IO18" s="154"/>
      <c r="IP18" s="154"/>
      <c r="IQ18" s="154"/>
      <c r="IR18" s="154"/>
      <c r="IS18" s="154"/>
    </row>
    <row r="19" spans="1:253" s="147" customFormat="1" ht="27" thickBot="1">
      <c r="A19" s="154"/>
      <c r="B19" s="154"/>
      <c r="C19" s="154"/>
      <c r="D19" s="938" t="s">
        <v>118</v>
      </c>
      <c r="E19" s="939"/>
      <c r="F19" s="940"/>
      <c r="G19" s="163">
        <f>G17/J21</f>
        <v>-302204.97000000003</v>
      </c>
      <c r="H19" s="928" t="s">
        <v>119</v>
      </c>
      <c r="I19" s="929"/>
      <c r="J19" s="658">
        <f>SUM(M25:M55)</f>
        <v>0.30527593103448275</v>
      </c>
      <c r="K19" s="941" t="s">
        <v>240</v>
      </c>
      <c r="L19" s="942"/>
      <c r="M19" s="662">
        <f>M16/G16</f>
        <v>0.3</v>
      </c>
      <c r="N19" s="154"/>
      <c r="O19" s="194" t="s">
        <v>120</v>
      </c>
      <c r="P19" s="195">
        <f>SUM(AY25:AY55)</f>
        <v>142</v>
      </c>
      <c r="Q19" s="195">
        <f>AZ56</f>
        <v>54</v>
      </c>
      <c r="R19" s="235">
        <f>Q19/P19-1</f>
        <v>-0.61971830985915499</v>
      </c>
      <c r="S19" s="236"/>
      <c r="T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c r="AY19" s="154"/>
      <c r="AZ19" s="154"/>
      <c r="BA19" s="154"/>
      <c r="BB19" s="154"/>
      <c r="BC19" s="154"/>
      <c r="BD19" s="154"/>
      <c r="BE19" s="154"/>
      <c r="BF19" s="154"/>
      <c r="BG19" s="155"/>
      <c r="BH19" s="155"/>
      <c r="BI19" s="155"/>
      <c r="BJ19" s="155"/>
      <c r="BK19" s="155"/>
      <c r="BL19" s="155"/>
      <c r="BM19" s="155"/>
      <c r="BN19" s="155"/>
      <c r="BO19" s="155"/>
      <c r="BP19" s="155"/>
      <c r="BQ19" s="154"/>
      <c r="BR19" s="154"/>
      <c r="BS19" s="154"/>
      <c r="BT19" s="154"/>
      <c r="BU19" s="154"/>
      <c r="BV19" s="154"/>
      <c r="BW19" s="154"/>
      <c r="BX19" s="154"/>
      <c r="BY19" s="154"/>
      <c r="BZ19" s="154"/>
      <c r="CA19" s="154"/>
      <c r="CB19" s="154"/>
      <c r="CC19" s="154"/>
      <c r="CD19" s="154"/>
      <c r="CE19" s="154"/>
      <c r="CF19" s="154"/>
      <c r="CG19" s="154"/>
      <c r="CH19" s="154"/>
      <c r="CI19" s="154"/>
      <c r="CJ19" s="154"/>
      <c r="CK19" s="154"/>
      <c r="CL19" s="154"/>
      <c r="CM19" s="154"/>
      <c r="CN19" s="154"/>
      <c r="CO19" s="154"/>
      <c r="CP19" s="154"/>
      <c r="CQ19" s="154"/>
      <c r="CR19" s="154"/>
      <c r="CS19" s="154"/>
      <c r="CT19" s="154"/>
      <c r="CU19" s="154"/>
      <c r="CV19" s="154"/>
      <c r="CW19" s="154"/>
      <c r="CX19" s="154"/>
      <c r="CY19" s="154"/>
      <c r="CZ19" s="154"/>
      <c r="DA19" s="154"/>
      <c r="DB19" s="154"/>
      <c r="DC19" s="154"/>
      <c r="DD19" s="154"/>
      <c r="DE19" s="154"/>
      <c r="DF19" s="154"/>
      <c r="DG19" s="154"/>
      <c r="DH19" s="154"/>
      <c r="DI19" s="154"/>
      <c r="DJ19" s="154"/>
      <c r="DK19" s="154"/>
      <c r="DL19" s="154"/>
      <c r="DM19" s="154"/>
      <c r="DN19" s="154"/>
      <c r="DO19" s="154"/>
      <c r="DP19" s="154"/>
      <c r="DQ19" s="154"/>
      <c r="DR19" s="154"/>
      <c r="DS19" s="154"/>
      <c r="DT19" s="154"/>
      <c r="DU19" s="154"/>
      <c r="DV19" s="154"/>
      <c r="DW19" s="154"/>
      <c r="DX19" s="154"/>
      <c r="DY19" s="154"/>
      <c r="DZ19" s="154"/>
      <c r="EA19" s="154"/>
      <c r="EB19" s="154"/>
      <c r="EC19" s="154"/>
      <c r="ED19" s="154"/>
      <c r="EE19" s="154"/>
      <c r="EF19" s="154"/>
      <c r="EG19" s="154"/>
      <c r="EH19" s="154"/>
      <c r="EI19" s="154"/>
      <c r="EJ19" s="154"/>
      <c r="EK19" s="154"/>
      <c r="EL19" s="154"/>
      <c r="EM19" s="154"/>
      <c r="EN19" s="154"/>
      <c r="EO19" s="154"/>
      <c r="EP19" s="154"/>
      <c r="EQ19" s="154"/>
      <c r="ER19" s="154"/>
      <c r="ES19" s="154"/>
      <c r="ET19" s="154"/>
      <c r="EU19" s="154"/>
      <c r="EV19" s="154"/>
      <c r="EW19" s="154"/>
      <c r="EX19" s="154"/>
      <c r="EY19" s="154"/>
      <c r="EZ19" s="154"/>
      <c r="FA19" s="154"/>
      <c r="FB19" s="154"/>
      <c r="FC19" s="154"/>
      <c r="FD19" s="154"/>
      <c r="FE19" s="154"/>
      <c r="FF19" s="154"/>
      <c r="FG19" s="154"/>
      <c r="FH19" s="154"/>
      <c r="FI19" s="154"/>
      <c r="FJ19" s="154"/>
      <c r="FK19" s="154"/>
      <c r="FL19" s="154"/>
      <c r="FM19" s="154"/>
      <c r="FN19" s="154"/>
      <c r="FO19" s="154"/>
      <c r="FP19" s="154"/>
      <c r="FQ19" s="154"/>
      <c r="FR19" s="154"/>
      <c r="FS19" s="154"/>
      <c r="FT19" s="154"/>
      <c r="FU19" s="154"/>
      <c r="FV19" s="154"/>
      <c r="FW19" s="154"/>
      <c r="FX19" s="154"/>
      <c r="FY19" s="154"/>
      <c r="FZ19" s="154"/>
      <c r="GA19" s="154"/>
      <c r="GB19" s="154"/>
      <c r="GC19" s="154"/>
      <c r="GD19" s="154"/>
      <c r="GE19" s="154"/>
      <c r="GF19" s="154"/>
      <c r="GG19" s="154"/>
      <c r="GH19" s="154"/>
      <c r="GI19" s="154"/>
      <c r="GJ19" s="154"/>
      <c r="GK19" s="154"/>
      <c r="GL19" s="154"/>
      <c r="GM19" s="154"/>
      <c r="GN19" s="154"/>
      <c r="GO19" s="154"/>
      <c r="GP19" s="154"/>
      <c r="GQ19" s="154"/>
      <c r="GR19" s="154"/>
      <c r="GS19" s="154"/>
      <c r="GT19" s="154"/>
      <c r="GU19" s="154"/>
      <c r="GV19" s="154"/>
      <c r="GW19" s="154"/>
      <c r="GX19" s="154"/>
      <c r="GY19" s="154"/>
      <c r="GZ19" s="154"/>
      <c r="HA19" s="154"/>
      <c r="HB19" s="154"/>
      <c r="HC19" s="154"/>
      <c r="HD19" s="154"/>
      <c r="HE19" s="154"/>
      <c r="HF19" s="154"/>
      <c r="HG19" s="154"/>
      <c r="HH19" s="154"/>
      <c r="HI19" s="154"/>
      <c r="HJ19" s="154"/>
      <c r="HK19" s="154"/>
      <c r="HL19" s="154"/>
      <c r="HM19" s="154"/>
      <c r="HN19" s="154"/>
      <c r="HO19" s="154"/>
      <c r="HP19" s="154"/>
      <c r="HQ19" s="154"/>
      <c r="HR19" s="154"/>
      <c r="HS19" s="154"/>
      <c r="HT19" s="154"/>
      <c r="HU19" s="154"/>
      <c r="HV19" s="154"/>
      <c r="HW19" s="154"/>
      <c r="HX19" s="154"/>
      <c r="HY19" s="154"/>
      <c r="HZ19" s="154"/>
      <c r="IA19" s="154"/>
      <c r="IB19" s="154"/>
      <c r="IC19" s="154"/>
      <c r="ID19" s="154"/>
      <c r="IE19" s="154"/>
      <c r="IF19" s="154"/>
      <c r="IG19" s="154"/>
      <c r="IH19" s="154"/>
      <c r="II19" s="154"/>
      <c r="IJ19" s="154"/>
      <c r="IK19" s="154"/>
      <c r="IL19" s="154"/>
      <c r="IM19" s="154"/>
      <c r="IN19" s="154"/>
      <c r="IO19" s="154"/>
      <c r="IP19" s="154"/>
      <c r="IQ19" s="154"/>
      <c r="IR19" s="154"/>
      <c r="IS19" s="154"/>
    </row>
    <row r="20" spans="1:253" s="147" customFormat="1" ht="18.75" customHeight="1" thickBot="1">
      <c r="A20" s="154"/>
      <c r="B20" s="154"/>
      <c r="C20" s="154"/>
      <c r="D20" s="926" t="s">
        <v>121</v>
      </c>
      <c r="E20" s="927"/>
      <c r="F20" s="927"/>
      <c r="G20" s="163">
        <f>J15*J21+G16</f>
        <v>7484810.7818181813</v>
      </c>
      <c r="H20" s="927" t="s">
        <v>122</v>
      </c>
      <c r="I20" s="943"/>
      <c r="J20" s="196">
        <v>11</v>
      </c>
      <c r="K20" s="154"/>
      <c r="L20" s="197"/>
      <c r="M20" s="849"/>
      <c r="N20" s="160"/>
      <c r="O20" s="199" t="s">
        <v>123</v>
      </c>
      <c r="P20" s="200">
        <f>BC56</f>
        <v>0</v>
      </c>
      <c r="Q20" s="200">
        <f>BD56</f>
        <v>0</v>
      </c>
      <c r="R20" s="242" t="e">
        <f>Q20/P20-1</f>
        <v>#DIV/0!</v>
      </c>
      <c r="S20" s="236"/>
      <c r="T20" s="160"/>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c r="AY20" s="154"/>
      <c r="AZ20" s="154"/>
      <c r="BA20" s="154"/>
      <c r="BB20" s="154"/>
      <c r="BC20" s="154"/>
      <c r="BD20" s="154"/>
      <c r="BE20" s="154"/>
      <c r="BF20" s="154"/>
      <c r="BG20" s="155"/>
      <c r="BH20" s="155"/>
      <c r="BI20" s="155"/>
      <c r="BJ20" s="155"/>
      <c r="BK20" s="155"/>
      <c r="BL20" s="155"/>
      <c r="BM20" s="155"/>
      <c r="BN20" s="155"/>
      <c r="BO20" s="155"/>
      <c r="BP20" s="155"/>
      <c r="BQ20" s="154"/>
      <c r="BR20" s="154"/>
      <c r="BS20" s="154"/>
      <c r="BT20" s="154"/>
      <c r="BU20" s="154"/>
      <c r="BV20" s="154"/>
      <c r="BW20" s="154"/>
      <c r="BX20" s="154"/>
      <c r="BY20" s="154"/>
      <c r="BZ20" s="154"/>
      <c r="CA20" s="154"/>
      <c r="CB20" s="154"/>
      <c r="CC20" s="154"/>
      <c r="CD20" s="154"/>
      <c r="CE20" s="154"/>
      <c r="CF20" s="154"/>
      <c r="CG20" s="154"/>
      <c r="CH20" s="154"/>
      <c r="CI20" s="154"/>
      <c r="CJ20" s="154"/>
      <c r="CK20" s="154"/>
      <c r="CL20" s="154"/>
      <c r="CM20" s="154"/>
      <c r="CN20" s="154"/>
      <c r="CO20" s="154"/>
      <c r="CP20" s="154"/>
      <c r="CQ20" s="154"/>
      <c r="CR20" s="154"/>
      <c r="CS20" s="154"/>
      <c r="CT20" s="154"/>
      <c r="CU20" s="154"/>
      <c r="CV20" s="154"/>
      <c r="CW20" s="154"/>
      <c r="CX20" s="154"/>
      <c r="CY20" s="154"/>
      <c r="CZ20" s="154"/>
      <c r="DA20" s="154"/>
      <c r="DB20" s="154"/>
      <c r="DC20" s="154"/>
      <c r="DD20" s="154"/>
      <c r="DE20" s="154"/>
      <c r="DF20" s="154"/>
      <c r="DG20" s="154"/>
      <c r="DH20" s="154"/>
      <c r="DI20" s="154"/>
      <c r="DJ20" s="154"/>
      <c r="DK20" s="154"/>
      <c r="DL20" s="154"/>
      <c r="DM20" s="154"/>
      <c r="DN20" s="154"/>
      <c r="DO20" s="154"/>
      <c r="DP20" s="154"/>
      <c r="DQ20" s="154"/>
      <c r="DR20" s="154"/>
      <c r="DS20" s="154"/>
      <c r="DT20" s="154"/>
      <c r="DU20" s="154"/>
      <c r="DV20" s="154"/>
      <c r="DW20" s="154"/>
      <c r="DX20" s="154"/>
      <c r="DY20" s="154"/>
      <c r="DZ20" s="154"/>
      <c r="EA20" s="154"/>
      <c r="EB20" s="154"/>
      <c r="EC20" s="154"/>
      <c r="ED20" s="154"/>
      <c r="EE20" s="154"/>
      <c r="EF20" s="154"/>
      <c r="EG20" s="154"/>
      <c r="EH20" s="154"/>
      <c r="EI20" s="154"/>
      <c r="EJ20" s="154"/>
      <c r="EK20" s="154"/>
      <c r="EL20" s="154"/>
      <c r="EM20" s="154"/>
      <c r="EN20" s="154"/>
      <c r="EO20" s="154"/>
      <c r="EP20" s="154"/>
      <c r="EQ20" s="154"/>
      <c r="ER20" s="154"/>
      <c r="ES20" s="154"/>
      <c r="ET20" s="154"/>
      <c r="EU20" s="154"/>
      <c r="EV20" s="154"/>
      <c r="EW20" s="154"/>
      <c r="EX20" s="154"/>
      <c r="EY20" s="154"/>
      <c r="EZ20" s="154"/>
      <c r="FA20" s="154"/>
      <c r="FB20" s="154"/>
      <c r="FC20" s="154"/>
      <c r="FD20" s="154"/>
      <c r="FE20" s="154"/>
      <c r="FF20" s="154"/>
      <c r="FG20" s="154"/>
      <c r="FH20" s="154"/>
      <c r="FI20" s="154"/>
      <c r="FJ20" s="154"/>
      <c r="FK20" s="154"/>
      <c r="FL20" s="154"/>
      <c r="FM20" s="154"/>
      <c r="FN20" s="154"/>
      <c r="FO20" s="154"/>
      <c r="FP20" s="154"/>
      <c r="FQ20" s="154"/>
      <c r="FR20" s="154"/>
      <c r="FS20" s="154"/>
      <c r="FT20" s="154"/>
      <c r="FU20" s="154"/>
      <c r="FV20" s="154"/>
      <c r="FW20" s="154"/>
      <c r="FX20" s="154"/>
      <c r="FY20" s="154"/>
      <c r="FZ20" s="154"/>
      <c r="GA20" s="154"/>
      <c r="GB20" s="154"/>
      <c r="GC20" s="154"/>
      <c r="GD20" s="154"/>
      <c r="GE20" s="154"/>
      <c r="GF20" s="154"/>
      <c r="GG20" s="154"/>
      <c r="GH20" s="154"/>
      <c r="GI20" s="154"/>
      <c r="GJ20" s="154"/>
      <c r="GK20" s="154"/>
      <c r="GL20" s="154"/>
      <c r="GM20" s="154"/>
      <c r="GN20" s="154"/>
      <c r="GO20" s="154"/>
      <c r="GP20" s="154"/>
      <c r="GQ20" s="154"/>
      <c r="GR20" s="154"/>
      <c r="GS20" s="154"/>
      <c r="GT20" s="154"/>
      <c r="GU20" s="154"/>
      <c r="GV20" s="154"/>
      <c r="GW20" s="154"/>
      <c r="GX20" s="154"/>
      <c r="GY20" s="154"/>
      <c r="GZ20" s="154"/>
      <c r="HA20" s="154"/>
      <c r="HB20" s="154"/>
      <c r="HC20" s="154"/>
      <c r="HD20" s="154"/>
      <c r="HE20" s="154"/>
      <c r="HF20" s="154"/>
      <c r="HG20" s="154"/>
      <c r="HH20" s="154"/>
      <c r="HI20" s="154"/>
      <c r="HJ20" s="154"/>
      <c r="HK20" s="154"/>
      <c r="HL20" s="154"/>
      <c r="HM20" s="154"/>
      <c r="HN20" s="154"/>
      <c r="HO20" s="154"/>
      <c r="HP20" s="154"/>
      <c r="HQ20" s="154"/>
      <c r="HR20" s="154"/>
      <c r="HS20" s="154"/>
      <c r="HT20" s="154"/>
      <c r="HU20" s="154"/>
      <c r="HV20" s="154"/>
      <c r="HW20" s="154"/>
      <c r="HX20" s="154"/>
      <c r="HY20" s="154"/>
      <c r="HZ20" s="154"/>
      <c r="IA20" s="154"/>
      <c r="IB20" s="154"/>
      <c r="IC20" s="154"/>
      <c r="ID20" s="154"/>
      <c r="IE20" s="154"/>
      <c r="IF20" s="154"/>
      <c r="IG20" s="154"/>
      <c r="IH20" s="154"/>
      <c r="II20" s="154"/>
      <c r="IJ20" s="154"/>
      <c r="IK20" s="154"/>
      <c r="IL20" s="154"/>
      <c r="IM20" s="154"/>
      <c r="IN20" s="154"/>
      <c r="IO20" s="154"/>
      <c r="IP20" s="154"/>
      <c r="IQ20" s="154"/>
      <c r="IR20" s="154"/>
      <c r="IS20" s="154"/>
    </row>
    <row r="21" spans="1:253" s="147" customFormat="1" ht="18" customHeight="1" thickBot="1">
      <c r="A21" s="154"/>
      <c r="B21" s="154"/>
      <c r="C21" s="154"/>
      <c r="D21" s="926" t="s">
        <v>124</v>
      </c>
      <c r="E21" s="927"/>
      <c r="F21" s="927"/>
      <c r="G21" s="165">
        <f>G20/G15</f>
        <v>0.86032307836990585</v>
      </c>
      <c r="H21" s="927" t="s">
        <v>125</v>
      </c>
      <c r="I21" s="927"/>
      <c r="J21" s="196">
        <f>31-J20</f>
        <v>20</v>
      </c>
      <c r="K21" s="866">
        <f>1-J19</f>
        <v>0.69472406896551719</v>
      </c>
      <c r="L21" s="160" t="s">
        <v>279</v>
      </c>
      <c r="M21" s="160"/>
      <c r="N21" s="160"/>
      <c r="O21" s="944" t="s">
        <v>126</v>
      </c>
      <c r="P21" s="944"/>
      <c r="Q21" s="944"/>
      <c r="R21" s="154"/>
      <c r="S21" s="154"/>
      <c r="T21" s="160"/>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c r="AY21" s="154"/>
      <c r="AZ21" s="154"/>
      <c r="BA21" s="154"/>
      <c r="BB21" s="154"/>
      <c r="BC21" s="154"/>
      <c r="BD21" s="154"/>
      <c r="BE21" s="154"/>
      <c r="BF21" s="154"/>
      <c r="BG21" s="155"/>
      <c r="BH21" s="155"/>
      <c r="BI21" s="155"/>
      <c r="BJ21" s="155"/>
      <c r="BK21" s="155"/>
      <c r="BL21" s="155"/>
      <c r="BM21" s="155"/>
      <c r="BN21" s="155"/>
      <c r="BO21" s="155"/>
      <c r="BP21" s="155"/>
      <c r="BQ21" s="154"/>
      <c r="BR21" s="154"/>
      <c r="BS21" s="154"/>
      <c r="BT21" s="154"/>
      <c r="BU21" s="154"/>
      <c r="BV21" s="154"/>
      <c r="BW21" s="154"/>
      <c r="BX21" s="154"/>
      <c r="BY21" s="154"/>
      <c r="BZ21" s="154"/>
      <c r="CA21" s="154"/>
      <c r="CB21" s="154"/>
      <c r="CC21" s="154"/>
      <c r="CD21" s="154"/>
      <c r="CE21" s="154"/>
      <c r="CF21" s="154"/>
      <c r="CG21" s="154"/>
      <c r="CH21" s="154"/>
      <c r="CI21" s="154"/>
      <c r="CJ21" s="154"/>
      <c r="CK21" s="154"/>
      <c r="CL21" s="154"/>
      <c r="CM21" s="154"/>
      <c r="CN21" s="154"/>
      <c r="CO21" s="154"/>
      <c r="CP21" s="154"/>
      <c r="CQ21" s="154"/>
      <c r="CR21" s="154"/>
      <c r="CS21" s="154"/>
      <c r="CT21" s="154"/>
      <c r="CU21" s="154"/>
      <c r="CV21" s="154"/>
      <c r="CW21" s="154"/>
      <c r="CX21" s="154"/>
      <c r="CY21" s="154"/>
      <c r="CZ21" s="154"/>
      <c r="DA21" s="154"/>
      <c r="DB21" s="154"/>
      <c r="DC21" s="154"/>
      <c r="DD21" s="154"/>
      <c r="DE21" s="154"/>
      <c r="DF21" s="154"/>
      <c r="DG21" s="154"/>
      <c r="DH21" s="154"/>
      <c r="DI21" s="154"/>
      <c r="DJ21" s="154"/>
      <c r="DK21" s="154"/>
      <c r="DL21" s="154"/>
      <c r="DM21" s="154"/>
      <c r="DN21" s="154"/>
      <c r="DO21" s="154"/>
      <c r="DP21" s="154"/>
      <c r="DQ21" s="154"/>
      <c r="DR21" s="154"/>
      <c r="DS21" s="154"/>
      <c r="DT21" s="154"/>
      <c r="DU21" s="154"/>
      <c r="DV21" s="154"/>
      <c r="DW21" s="154"/>
      <c r="DX21" s="154"/>
      <c r="DY21" s="154"/>
      <c r="DZ21" s="154"/>
      <c r="EA21" s="154"/>
      <c r="EB21" s="154"/>
      <c r="EC21" s="154"/>
      <c r="ED21" s="154"/>
      <c r="EE21" s="154"/>
      <c r="EF21" s="154"/>
      <c r="EG21" s="154"/>
      <c r="EH21" s="154"/>
      <c r="EI21" s="154"/>
      <c r="EJ21" s="154"/>
      <c r="EK21" s="154"/>
      <c r="EL21" s="154"/>
      <c r="EM21" s="154"/>
      <c r="EN21" s="154"/>
      <c r="EO21" s="154"/>
      <c r="EP21" s="154"/>
      <c r="EQ21" s="154"/>
      <c r="ER21" s="154"/>
      <c r="ES21" s="154"/>
      <c r="ET21" s="154"/>
      <c r="EU21" s="154"/>
      <c r="EV21" s="154"/>
      <c r="EW21" s="154"/>
      <c r="EX21" s="154"/>
      <c r="EY21" s="154"/>
      <c r="EZ21" s="154"/>
      <c r="FA21" s="154"/>
      <c r="FB21" s="154"/>
      <c r="FC21" s="154"/>
      <c r="FD21" s="154"/>
      <c r="FE21" s="154"/>
      <c r="FF21" s="154"/>
      <c r="FG21" s="154"/>
      <c r="FH21" s="154"/>
      <c r="FI21" s="154"/>
      <c r="FJ21" s="154"/>
      <c r="FK21" s="154"/>
      <c r="FL21" s="154"/>
      <c r="FM21" s="154"/>
      <c r="FN21" s="154"/>
      <c r="FO21" s="154"/>
      <c r="FP21" s="154"/>
      <c r="FQ21" s="154"/>
      <c r="FR21" s="154"/>
      <c r="FS21" s="154"/>
      <c r="FT21" s="154"/>
      <c r="FU21" s="154"/>
      <c r="FV21" s="154"/>
      <c r="FW21" s="154"/>
      <c r="FX21" s="154"/>
      <c r="FY21" s="154"/>
      <c r="FZ21" s="154"/>
      <c r="GA21" s="154"/>
      <c r="GB21" s="154"/>
      <c r="GC21" s="154"/>
      <c r="GD21" s="154"/>
      <c r="GE21" s="154"/>
      <c r="GF21" s="154"/>
      <c r="GG21" s="154"/>
      <c r="GH21" s="154"/>
      <c r="GI21" s="154"/>
      <c r="GJ21" s="154"/>
      <c r="GK21" s="154"/>
      <c r="GL21" s="154"/>
      <c r="GM21" s="154"/>
      <c r="GN21" s="154"/>
      <c r="GO21" s="154"/>
      <c r="GP21" s="154"/>
      <c r="GQ21" s="154"/>
      <c r="GR21" s="154"/>
      <c r="GS21" s="154"/>
      <c r="GT21" s="154"/>
      <c r="GU21" s="154"/>
      <c r="GV21" s="154"/>
      <c r="GW21" s="154"/>
      <c r="GX21" s="154"/>
      <c r="GY21" s="154"/>
      <c r="GZ21" s="154"/>
      <c r="HA21" s="154"/>
      <c r="HB21" s="154"/>
      <c r="HC21" s="154"/>
      <c r="HD21" s="154"/>
      <c r="HE21" s="154"/>
      <c r="HF21" s="154"/>
      <c r="HG21" s="154"/>
      <c r="HH21" s="154"/>
      <c r="HI21" s="154"/>
      <c r="HJ21" s="154"/>
      <c r="HK21" s="154"/>
      <c r="HL21" s="154"/>
      <c r="HM21" s="154"/>
      <c r="HN21" s="154"/>
      <c r="HO21" s="154"/>
      <c r="HP21" s="154"/>
      <c r="HQ21" s="154"/>
      <c r="HR21" s="154"/>
      <c r="HS21" s="154"/>
      <c r="HT21" s="154"/>
      <c r="HU21" s="154"/>
      <c r="HV21" s="154"/>
      <c r="HW21" s="154"/>
      <c r="HX21" s="154"/>
      <c r="HY21" s="154"/>
      <c r="HZ21" s="154"/>
      <c r="IA21" s="154"/>
      <c r="IB21" s="154"/>
      <c r="IC21" s="154"/>
      <c r="ID21" s="154"/>
      <c r="IE21" s="154"/>
      <c r="IF21" s="154"/>
      <c r="IG21" s="154"/>
      <c r="IH21" s="154"/>
      <c r="II21" s="154"/>
      <c r="IJ21" s="154"/>
      <c r="IK21" s="154"/>
      <c r="IL21" s="154"/>
      <c r="IM21" s="154"/>
      <c r="IN21" s="154"/>
      <c r="IO21" s="154"/>
      <c r="IP21" s="154"/>
      <c r="IQ21" s="154"/>
      <c r="IR21" s="154"/>
      <c r="IS21" s="154"/>
    </row>
    <row r="22" spans="1:253" s="148" customFormat="1" ht="24.75" customHeight="1" thickBot="1">
      <c r="A22" s="166"/>
      <c r="B22" s="166"/>
      <c r="C22" s="166"/>
      <c r="D22" s="945" t="s">
        <v>127</v>
      </c>
      <c r="E22" s="946"/>
      <c r="F22" s="946"/>
      <c r="G22" s="161">
        <f>G56</f>
        <v>8046155.0099999998</v>
      </c>
      <c r="H22" s="961" t="s">
        <v>128</v>
      </c>
      <c r="I22" s="962"/>
      <c r="J22" s="755">
        <f>(K56-G22)/G22</f>
        <v>-0.66991679917933877</v>
      </c>
      <c r="K22" s="564"/>
      <c r="L22" s="201"/>
      <c r="M22" s="201"/>
      <c r="N22" s="201"/>
      <c r="O22" s="201"/>
      <c r="P22" s="166"/>
      <c r="Q22" s="166"/>
      <c r="R22" s="166"/>
      <c r="S22" s="166"/>
      <c r="T22" s="947" t="s">
        <v>129</v>
      </c>
      <c r="U22" s="947"/>
      <c r="V22" s="947"/>
      <c r="W22" s="947"/>
      <c r="X22" s="947"/>
      <c r="Y22" s="947"/>
      <c r="Z22" s="947"/>
      <c r="AA22" s="947"/>
      <c r="AB22" s="947"/>
      <c r="AC22" s="947"/>
      <c r="AD22" s="166"/>
      <c r="AE22" s="166"/>
      <c r="AF22" s="166"/>
      <c r="AG22" s="166"/>
      <c r="AH22" s="166"/>
      <c r="AI22" s="166"/>
      <c r="AJ22" s="166"/>
      <c r="AK22" s="166"/>
      <c r="AL22" s="166"/>
      <c r="AM22" s="166"/>
      <c r="AN22" s="166"/>
      <c r="AO22" s="166"/>
      <c r="AP22" s="166"/>
      <c r="AQ22" s="166"/>
      <c r="AR22" s="291"/>
      <c r="AS22" s="291"/>
      <c r="AT22" s="291"/>
      <c r="AU22" s="291"/>
      <c r="AV22" s="291"/>
      <c r="AW22" s="291"/>
      <c r="AX22" s="291"/>
      <c r="AY22" s="291"/>
      <c r="AZ22" s="291"/>
      <c r="BA22" s="291"/>
      <c r="BB22" s="291"/>
      <c r="BC22" s="166"/>
      <c r="BD22" s="166"/>
      <c r="BE22" s="166"/>
      <c r="BF22" s="166"/>
      <c r="BG22" s="166"/>
      <c r="BH22" s="166"/>
      <c r="BI22" s="166"/>
      <c r="BJ22" s="166"/>
      <c r="BK22" s="166"/>
      <c r="BL22" s="166"/>
      <c r="BM22" s="166"/>
      <c r="BN22" s="166"/>
      <c r="BO22" s="166"/>
      <c r="BP22" s="166"/>
      <c r="BQ22" s="154"/>
      <c r="BR22" s="154"/>
      <c r="BS22" s="154"/>
      <c r="BT22" s="166"/>
      <c r="BU22" s="166"/>
      <c r="BV22" s="166"/>
      <c r="BW22" s="166"/>
      <c r="BX22" s="166"/>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c r="DX22" s="166"/>
      <c r="DY22" s="166"/>
      <c r="DZ22" s="166"/>
      <c r="EA22" s="166"/>
      <c r="EB22" s="166"/>
      <c r="EC22" s="166"/>
      <c r="ED22" s="166"/>
      <c r="EE22" s="166"/>
      <c r="EF22" s="166"/>
      <c r="EG22" s="166"/>
      <c r="EH22" s="166"/>
      <c r="EI22" s="166"/>
      <c r="EJ22" s="166"/>
      <c r="EK22" s="166"/>
      <c r="EL22" s="166"/>
      <c r="EM22" s="166"/>
      <c r="EN22" s="166"/>
      <c r="EO22" s="166"/>
      <c r="EP22" s="166"/>
      <c r="EQ22" s="166"/>
      <c r="ER22" s="166"/>
      <c r="ES22" s="166"/>
      <c r="ET22" s="166"/>
      <c r="EU22" s="166"/>
      <c r="EV22" s="166"/>
      <c r="EW22" s="166"/>
      <c r="EX22" s="166"/>
      <c r="EY22" s="166"/>
      <c r="EZ22" s="166"/>
      <c r="FA22" s="166"/>
      <c r="FB22" s="166"/>
      <c r="FC22" s="166"/>
      <c r="FD22" s="166"/>
      <c r="FE22" s="166"/>
      <c r="FF22" s="166"/>
      <c r="FG22" s="166"/>
      <c r="FH22" s="166"/>
      <c r="FI22" s="166"/>
      <c r="FJ22" s="166"/>
      <c r="FK22" s="166"/>
      <c r="FL22" s="166"/>
      <c r="FM22" s="166"/>
      <c r="FN22" s="166"/>
      <c r="FO22" s="166"/>
      <c r="FP22" s="166"/>
      <c r="FQ22" s="166"/>
      <c r="FR22" s="166"/>
      <c r="FS22" s="166"/>
      <c r="FT22" s="166"/>
      <c r="FU22" s="166"/>
      <c r="FV22" s="166"/>
      <c r="FW22" s="166"/>
      <c r="FX22" s="166"/>
      <c r="FY22" s="166"/>
      <c r="FZ22" s="166"/>
      <c r="GA22" s="166"/>
      <c r="GB22" s="166"/>
      <c r="GC22" s="166"/>
      <c r="GD22" s="166"/>
      <c r="GE22" s="166"/>
      <c r="GF22" s="166"/>
      <c r="GG22" s="166"/>
      <c r="GH22" s="166"/>
      <c r="GI22" s="166"/>
      <c r="GJ22" s="166"/>
      <c r="GK22" s="166"/>
      <c r="GL22" s="166"/>
      <c r="GM22" s="166"/>
      <c r="GN22" s="166"/>
      <c r="GO22" s="166"/>
      <c r="GP22" s="166"/>
      <c r="GQ22" s="166"/>
      <c r="GR22" s="166"/>
      <c r="GS22" s="166"/>
      <c r="GT22" s="166"/>
      <c r="GU22" s="166"/>
      <c r="GV22" s="166"/>
      <c r="GW22" s="166"/>
      <c r="GX22" s="166"/>
      <c r="GY22" s="166"/>
      <c r="GZ22" s="166"/>
      <c r="HA22" s="166"/>
      <c r="HB22" s="166"/>
      <c r="HC22" s="166"/>
      <c r="HD22" s="166"/>
      <c r="HE22" s="166"/>
      <c r="HF22" s="166"/>
      <c r="HG22" s="166"/>
      <c r="HH22" s="166"/>
      <c r="HI22" s="166"/>
      <c r="HJ22" s="166"/>
      <c r="HK22" s="166"/>
      <c r="HL22" s="166"/>
      <c r="HM22" s="166"/>
      <c r="HN22" s="166"/>
      <c r="HO22" s="166"/>
      <c r="HP22" s="166"/>
      <c r="HQ22" s="166"/>
      <c r="HR22" s="166"/>
      <c r="HS22" s="166"/>
      <c r="HT22" s="166"/>
      <c r="HU22" s="166"/>
      <c r="HV22" s="166"/>
      <c r="HW22" s="166"/>
      <c r="HX22" s="166"/>
      <c r="HY22" s="166"/>
      <c r="HZ22" s="166"/>
      <c r="IA22" s="166"/>
      <c r="IB22" s="166"/>
      <c r="IC22" s="166"/>
      <c r="ID22" s="166"/>
      <c r="IE22" s="166"/>
      <c r="IF22" s="166"/>
      <c r="IG22" s="166"/>
      <c r="IH22" s="166"/>
      <c r="II22" s="166"/>
      <c r="IJ22" s="166"/>
      <c r="IK22" s="166"/>
      <c r="IL22" s="166"/>
      <c r="IM22" s="166"/>
      <c r="IN22" s="166"/>
      <c r="IO22" s="166"/>
      <c r="IP22" s="166"/>
      <c r="IQ22" s="166"/>
      <c r="IR22" s="166"/>
      <c r="IS22" s="166"/>
    </row>
    <row r="23" spans="1:253" s="147" customFormat="1" ht="14.25" customHeight="1" thickBot="1">
      <c r="A23" s="154"/>
      <c r="B23" s="154"/>
      <c r="C23" s="154"/>
      <c r="D23" s="948" t="s">
        <v>130</v>
      </c>
      <c r="E23" s="949"/>
      <c r="F23" s="949"/>
      <c r="G23" s="949"/>
      <c r="H23" s="949"/>
      <c r="I23" s="949"/>
      <c r="J23" s="949"/>
      <c r="K23" s="949"/>
      <c r="L23" s="949"/>
      <c r="M23" s="949"/>
      <c r="N23" s="949"/>
      <c r="O23" s="949"/>
      <c r="P23" s="949"/>
      <c r="Q23" s="949"/>
      <c r="R23" s="950"/>
      <c r="S23" s="154"/>
      <c r="T23" s="951" t="s">
        <v>131</v>
      </c>
      <c r="U23" s="952"/>
      <c r="V23" s="952"/>
      <c r="W23" s="953"/>
      <c r="X23" s="954" t="s">
        <v>132</v>
      </c>
      <c r="Y23" s="955"/>
      <c r="Z23" s="955"/>
      <c r="AA23" s="956"/>
      <c r="AB23" s="968" t="s">
        <v>223</v>
      </c>
      <c r="AC23" s="957" t="s">
        <v>133</v>
      </c>
      <c r="AD23" s="154"/>
      <c r="AE23" s="154"/>
      <c r="AF23" s="154"/>
      <c r="AG23" s="154"/>
      <c r="AH23" s="154"/>
      <c r="AI23" s="154"/>
      <c r="AJ23" s="154"/>
      <c r="AK23" s="154"/>
      <c r="AL23" s="154"/>
      <c r="AM23" s="154"/>
      <c r="AN23" s="154"/>
      <c r="AO23" s="154"/>
      <c r="AP23" s="154"/>
      <c r="AQ23" s="154"/>
      <c r="AR23" s="292"/>
      <c r="AS23" s="292"/>
      <c r="AT23" s="292"/>
      <c r="AU23" s="292"/>
      <c r="AV23" s="292"/>
      <c r="AW23" s="292"/>
      <c r="AX23" s="292"/>
      <c r="AY23" s="292"/>
      <c r="AZ23" s="292"/>
      <c r="BA23" s="292"/>
      <c r="BB23" s="292"/>
      <c r="BC23" s="154"/>
      <c r="BD23" s="154"/>
      <c r="BE23" s="154"/>
      <c r="BF23" s="154"/>
      <c r="BG23" s="155"/>
      <c r="BH23" s="155"/>
      <c r="BI23" s="155"/>
      <c r="BJ23" s="155"/>
      <c r="BK23" s="155"/>
      <c r="BL23" s="155"/>
      <c r="BM23" s="155"/>
      <c r="BN23" s="155"/>
      <c r="BO23" s="155"/>
      <c r="BP23" s="155"/>
      <c r="BQ23" s="154"/>
      <c r="BR23" s="154"/>
      <c r="BS23" s="154"/>
      <c r="BT23" s="154"/>
      <c r="BU23" s="154"/>
      <c r="BV23" s="154"/>
      <c r="BW23" s="154"/>
      <c r="BX23" s="154"/>
      <c r="BY23" s="154"/>
      <c r="BZ23" s="154"/>
      <c r="CA23" s="154"/>
      <c r="CB23" s="154"/>
      <c r="CC23" s="154"/>
      <c r="CD23" s="154"/>
      <c r="CE23" s="154"/>
      <c r="CF23" s="154"/>
      <c r="CG23" s="154"/>
      <c r="CH23" s="154"/>
      <c r="CI23" s="154"/>
      <c r="CJ23" s="154"/>
      <c r="CK23" s="154"/>
      <c r="CL23" s="154"/>
      <c r="CM23" s="154"/>
      <c r="CN23" s="154"/>
      <c r="CO23" s="154"/>
      <c r="CP23" s="154"/>
      <c r="CQ23" s="154"/>
      <c r="CR23" s="154"/>
      <c r="CS23" s="154"/>
      <c r="CT23" s="154"/>
      <c r="CU23" s="154"/>
      <c r="CV23" s="154"/>
      <c r="CW23" s="154"/>
      <c r="CX23" s="154"/>
      <c r="CY23" s="154"/>
      <c r="CZ23" s="154"/>
      <c r="DA23" s="154"/>
      <c r="DB23" s="154"/>
      <c r="DC23" s="154"/>
      <c r="DD23" s="154"/>
      <c r="DE23" s="154"/>
      <c r="DF23" s="154"/>
      <c r="DG23" s="154"/>
      <c r="DH23" s="154"/>
      <c r="DI23" s="154"/>
      <c r="DJ23" s="154"/>
      <c r="DK23" s="154"/>
      <c r="DL23" s="154"/>
      <c r="DM23" s="154"/>
      <c r="DN23" s="154"/>
      <c r="DO23" s="154"/>
      <c r="DP23" s="154"/>
      <c r="DQ23" s="154"/>
      <c r="DR23" s="154"/>
      <c r="DS23" s="154"/>
      <c r="DT23" s="154"/>
      <c r="DU23" s="154"/>
      <c r="DV23" s="154"/>
      <c r="DW23" s="154"/>
      <c r="DX23" s="154"/>
      <c r="DY23" s="154"/>
      <c r="DZ23" s="154"/>
      <c r="EA23" s="154"/>
      <c r="EB23" s="154"/>
      <c r="EC23" s="154"/>
      <c r="ED23" s="154"/>
      <c r="EE23" s="154"/>
      <c r="EF23" s="154"/>
      <c r="EG23" s="154"/>
      <c r="EH23" s="154"/>
      <c r="EI23" s="154"/>
      <c r="EJ23" s="154"/>
      <c r="EK23" s="154"/>
      <c r="EL23" s="154"/>
      <c r="EM23" s="154"/>
      <c r="EN23" s="154"/>
      <c r="EO23" s="154"/>
      <c r="EP23" s="154"/>
      <c r="EQ23" s="154"/>
      <c r="ER23" s="154"/>
      <c r="ES23" s="154"/>
      <c r="ET23" s="154"/>
      <c r="EU23" s="154"/>
      <c r="EV23" s="154"/>
      <c r="EW23" s="154"/>
      <c r="EX23" s="154"/>
      <c r="EY23" s="154"/>
      <c r="EZ23" s="154"/>
      <c r="FA23" s="154"/>
      <c r="FB23" s="154"/>
      <c r="FC23" s="154"/>
      <c r="FD23" s="154"/>
      <c r="FE23" s="154"/>
      <c r="FF23" s="154"/>
      <c r="FG23" s="154"/>
      <c r="FH23" s="154"/>
      <c r="FI23" s="154"/>
      <c r="FJ23" s="154"/>
      <c r="FK23" s="154"/>
      <c r="FL23" s="154"/>
      <c r="FM23" s="154"/>
      <c r="FN23" s="154"/>
      <c r="FO23" s="154"/>
      <c r="FP23" s="154"/>
      <c r="FQ23" s="154"/>
      <c r="FR23" s="154"/>
      <c r="FS23" s="154"/>
      <c r="FT23" s="154"/>
      <c r="FU23" s="154"/>
      <c r="FV23" s="154"/>
      <c r="FW23" s="154"/>
      <c r="FX23" s="154"/>
      <c r="FY23" s="154"/>
      <c r="FZ23" s="154"/>
      <c r="GA23" s="154"/>
      <c r="GB23" s="154"/>
      <c r="GC23" s="154"/>
      <c r="GD23" s="154"/>
      <c r="GE23" s="154"/>
      <c r="GF23" s="154"/>
      <c r="GG23" s="154"/>
      <c r="GH23" s="154"/>
      <c r="GI23" s="154"/>
      <c r="GJ23" s="154"/>
      <c r="GK23" s="154"/>
      <c r="GL23" s="154"/>
      <c r="GM23" s="154"/>
      <c r="GN23" s="154"/>
      <c r="GO23" s="154"/>
      <c r="GP23" s="154"/>
      <c r="GQ23" s="154"/>
      <c r="GR23" s="154"/>
      <c r="GS23" s="154"/>
      <c r="GT23" s="154"/>
      <c r="GU23" s="154"/>
      <c r="GV23" s="154"/>
      <c r="GW23" s="154"/>
      <c r="GX23" s="154"/>
      <c r="GY23" s="154"/>
      <c r="GZ23" s="154"/>
      <c r="HA23" s="154"/>
      <c r="HB23" s="154"/>
      <c r="HC23" s="154"/>
      <c r="HD23" s="154"/>
      <c r="HE23" s="154"/>
      <c r="HF23" s="154"/>
      <c r="HG23" s="154"/>
      <c r="HH23" s="154"/>
      <c r="HI23" s="154"/>
      <c r="HJ23" s="154"/>
      <c r="HK23" s="154"/>
      <c r="HL23" s="154"/>
      <c r="HM23" s="154"/>
      <c r="HN23" s="154"/>
      <c r="HO23" s="154"/>
      <c r="HP23" s="154"/>
      <c r="HQ23" s="154"/>
      <c r="HR23" s="154"/>
      <c r="HS23" s="154"/>
      <c r="HT23" s="154"/>
      <c r="HU23" s="154"/>
      <c r="HV23" s="154"/>
      <c r="HW23" s="154"/>
      <c r="HX23" s="154"/>
      <c r="HY23" s="154"/>
      <c r="HZ23" s="154"/>
      <c r="IA23" s="154"/>
      <c r="IB23" s="154"/>
      <c r="IC23" s="154"/>
      <c r="ID23" s="154"/>
      <c r="IE23" s="154"/>
      <c r="IF23" s="154"/>
      <c r="IG23" s="154"/>
      <c r="IH23" s="154"/>
      <c r="II23" s="154"/>
      <c r="IJ23" s="154"/>
      <c r="IK23" s="154"/>
      <c r="IL23" s="154"/>
      <c r="IM23" s="154"/>
      <c r="IN23" s="154"/>
      <c r="IO23" s="154"/>
      <c r="IP23" s="154"/>
      <c r="IQ23" s="154"/>
      <c r="IR23" s="154"/>
      <c r="IS23" s="154"/>
    </row>
    <row r="24" spans="1:253" s="147" customFormat="1" ht="45" customHeight="1" thickBot="1">
      <c r="A24" s="154"/>
      <c r="B24" s="154"/>
      <c r="C24" s="154"/>
      <c r="D24" s="959" t="s">
        <v>49</v>
      </c>
      <c r="E24" s="960"/>
      <c r="F24" s="960"/>
      <c r="G24" s="168" t="s">
        <v>244</v>
      </c>
      <c r="H24" s="168" t="s">
        <v>134</v>
      </c>
      <c r="I24" s="168" t="s">
        <v>135</v>
      </c>
      <c r="J24" s="168" t="s">
        <v>0</v>
      </c>
      <c r="K24" s="168" t="s">
        <v>266</v>
      </c>
      <c r="L24" s="168" t="s">
        <v>137</v>
      </c>
      <c r="M24" s="168" t="s">
        <v>138</v>
      </c>
      <c r="N24" s="168" t="s">
        <v>139</v>
      </c>
      <c r="O24" s="168" t="s">
        <v>282</v>
      </c>
      <c r="P24" s="168" t="s">
        <v>218</v>
      </c>
      <c r="Q24" s="168" t="s">
        <v>281</v>
      </c>
      <c r="R24" s="243" t="s">
        <v>141</v>
      </c>
      <c r="S24" s="244"/>
      <c r="T24" s="245" t="s">
        <v>219</v>
      </c>
      <c r="U24" s="246" t="s">
        <v>267</v>
      </c>
      <c r="V24" s="246" t="s">
        <v>143</v>
      </c>
      <c r="W24" s="247" t="s">
        <v>220</v>
      </c>
      <c r="X24" s="248" t="s">
        <v>221</v>
      </c>
      <c r="Y24" s="277" t="s">
        <v>268</v>
      </c>
      <c r="Z24" s="277" t="s">
        <v>143</v>
      </c>
      <c r="AA24" s="278" t="s">
        <v>222</v>
      </c>
      <c r="AB24" s="969"/>
      <c r="AC24" s="958"/>
      <c r="AD24" s="244"/>
      <c r="AE24" s="673" t="s">
        <v>224</v>
      </c>
      <c r="AF24" s="674" t="s">
        <v>269</v>
      </c>
      <c r="AG24" s="675" t="s">
        <v>143</v>
      </c>
      <c r="AH24" s="154"/>
      <c r="AI24" s="683" t="s">
        <v>225</v>
      </c>
      <c r="AJ24" s="684" t="s">
        <v>270</v>
      </c>
      <c r="AK24" s="684" t="s">
        <v>143</v>
      </c>
      <c r="AL24" s="684" t="s">
        <v>147</v>
      </c>
      <c r="AM24" s="684" t="s">
        <v>226</v>
      </c>
      <c r="AN24" s="684" t="s">
        <v>143</v>
      </c>
      <c r="AO24" s="684" t="s">
        <v>148</v>
      </c>
      <c r="AP24" s="684" t="s">
        <v>227</v>
      </c>
      <c r="AQ24" s="685" t="s">
        <v>143</v>
      </c>
      <c r="AR24" s="154"/>
      <c r="AS24" s="702" t="s">
        <v>271</v>
      </c>
      <c r="AT24" s="703" t="s">
        <v>272</v>
      </c>
      <c r="AU24" s="703" t="s">
        <v>143</v>
      </c>
      <c r="AV24" s="703" t="s">
        <v>273</v>
      </c>
      <c r="AW24" s="703" t="s">
        <v>274</v>
      </c>
      <c r="AX24" s="703" t="s">
        <v>143</v>
      </c>
      <c r="AY24" s="703" t="s">
        <v>149</v>
      </c>
      <c r="AZ24" s="703" t="s">
        <v>232</v>
      </c>
      <c r="BA24" s="704" t="s">
        <v>141</v>
      </c>
      <c r="BB24" s="154"/>
      <c r="BC24" s="715" t="s">
        <v>150</v>
      </c>
      <c r="BD24" s="716" t="s">
        <v>233</v>
      </c>
      <c r="BE24" s="717" t="s">
        <v>143</v>
      </c>
      <c r="BF24" s="154"/>
      <c r="BG24" s="724" t="s">
        <v>151</v>
      </c>
      <c r="BH24" s="725" t="s">
        <v>234</v>
      </c>
      <c r="BI24" s="725" t="s">
        <v>143</v>
      </c>
      <c r="BJ24" s="725" t="s">
        <v>152</v>
      </c>
      <c r="BK24" s="725" t="s">
        <v>235</v>
      </c>
      <c r="BL24" s="725" t="s">
        <v>143</v>
      </c>
      <c r="BM24" s="725" t="s">
        <v>153</v>
      </c>
      <c r="BN24" s="725" t="s">
        <v>236</v>
      </c>
      <c r="BO24" s="726" t="s">
        <v>141</v>
      </c>
      <c r="BP24" s="155"/>
      <c r="BQ24" s="751" t="s">
        <v>237</v>
      </c>
      <c r="BR24" s="752" t="s">
        <v>275</v>
      </c>
      <c r="BS24" s="753" t="s">
        <v>143</v>
      </c>
      <c r="BT24" s="154"/>
      <c r="BU24" s="154"/>
      <c r="BV24" s="154"/>
      <c r="BW24" s="154"/>
      <c r="BX24" s="154"/>
      <c r="BY24" s="154"/>
      <c r="BZ24" s="154"/>
      <c r="CA24" s="154"/>
      <c r="CB24" s="154"/>
      <c r="CC24" s="154"/>
      <c r="CD24" s="154"/>
      <c r="CE24" s="154"/>
      <c r="CF24" s="154"/>
      <c r="CG24" s="154"/>
      <c r="CH24" s="154"/>
      <c r="CI24" s="154"/>
      <c r="CJ24" s="154"/>
      <c r="CK24" s="154"/>
      <c r="CL24" s="154"/>
      <c r="CM24" s="154"/>
      <c r="CN24" s="154"/>
      <c r="CO24" s="154"/>
      <c r="CP24" s="154"/>
      <c r="CQ24" s="154"/>
      <c r="CR24" s="154"/>
      <c r="CS24" s="154"/>
      <c r="CT24" s="154"/>
      <c r="CU24" s="154"/>
      <c r="CV24" s="154"/>
      <c r="CW24" s="154"/>
      <c r="CX24" s="154"/>
      <c r="CY24" s="154"/>
      <c r="CZ24" s="154"/>
      <c r="DA24" s="154"/>
      <c r="DB24" s="154"/>
      <c r="DC24" s="154"/>
      <c r="DD24" s="154"/>
      <c r="DE24" s="154"/>
      <c r="DF24" s="154"/>
      <c r="DG24" s="154"/>
      <c r="DH24" s="154"/>
      <c r="DI24" s="154"/>
      <c r="DJ24" s="154"/>
      <c r="DK24" s="154"/>
      <c r="DL24" s="154"/>
      <c r="DM24" s="154"/>
      <c r="DN24" s="154"/>
      <c r="DO24" s="154"/>
      <c r="DP24" s="154"/>
      <c r="DQ24" s="154"/>
      <c r="DR24" s="154"/>
      <c r="DS24" s="154"/>
      <c r="DT24" s="154"/>
      <c r="DU24" s="154"/>
      <c r="DV24" s="154"/>
      <c r="DW24" s="154"/>
      <c r="DX24" s="154"/>
      <c r="DY24" s="154"/>
      <c r="DZ24" s="154"/>
      <c r="EA24" s="154"/>
      <c r="EB24" s="154"/>
      <c r="EC24" s="154"/>
      <c r="ED24" s="154"/>
      <c r="EE24" s="154"/>
      <c r="EF24" s="154"/>
      <c r="EG24" s="154"/>
      <c r="EH24" s="154"/>
      <c r="EI24" s="154"/>
      <c r="EJ24" s="154"/>
      <c r="EK24" s="154"/>
      <c r="EL24" s="154"/>
      <c r="EM24" s="154"/>
      <c r="EN24" s="154"/>
      <c r="EO24" s="154"/>
      <c r="EP24" s="154"/>
      <c r="EQ24" s="154"/>
      <c r="ER24" s="154"/>
      <c r="ES24" s="154"/>
      <c r="ET24" s="154"/>
      <c r="EU24" s="154"/>
      <c r="EV24" s="154"/>
      <c r="EW24" s="154"/>
      <c r="EX24" s="154"/>
      <c r="EY24" s="154"/>
      <c r="EZ24" s="154"/>
      <c r="FA24" s="154"/>
      <c r="FB24" s="154"/>
      <c r="FC24" s="154"/>
      <c r="FD24" s="154"/>
      <c r="FE24" s="154"/>
      <c r="FF24" s="154"/>
      <c r="FG24" s="154"/>
      <c r="FH24" s="154"/>
      <c r="FI24" s="154"/>
      <c r="FJ24" s="154"/>
      <c r="FK24" s="154"/>
      <c r="FL24" s="154"/>
      <c r="FM24" s="154"/>
      <c r="FN24" s="154"/>
      <c r="FO24" s="154"/>
      <c r="FP24" s="154"/>
      <c r="FQ24" s="154"/>
      <c r="FR24" s="154"/>
      <c r="FS24" s="154"/>
      <c r="FT24" s="154"/>
      <c r="FU24" s="154"/>
      <c r="FV24" s="154"/>
      <c r="FW24" s="154"/>
      <c r="FX24" s="154"/>
      <c r="FY24" s="154"/>
      <c r="FZ24" s="154"/>
      <c r="GA24" s="154"/>
      <c r="GB24" s="154"/>
      <c r="GC24" s="154"/>
      <c r="GD24" s="154"/>
      <c r="GE24" s="154"/>
      <c r="GF24" s="154"/>
      <c r="GG24" s="154"/>
      <c r="GH24" s="154"/>
      <c r="GI24" s="154"/>
      <c r="GJ24" s="154"/>
      <c r="GK24" s="154"/>
      <c r="GL24" s="154"/>
      <c r="GM24" s="154"/>
      <c r="GN24" s="154"/>
      <c r="GO24" s="154"/>
      <c r="GP24" s="154"/>
      <c r="GQ24" s="154"/>
      <c r="GR24" s="154"/>
      <c r="GS24" s="154"/>
      <c r="GT24" s="154"/>
      <c r="GU24" s="154"/>
      <c r="GV24" s="154"/>
      <c r="GW24" s="154"/>
      <c r="GX24" s="154"/>
      <c r="GY24" s="154"/>
      <c r="GZ24" s="154"/>
      <c r="HA24" s="154"/>
      <c r="HB24" s="154"/>
      <c r="HC24" s="154"/>
      <c r="HD24" s="154"/>
      <c r="HE24" s="154"/>
      <c r="HF24" s="154"/>
      <c r="HG24" s="154"/>
      <c r="HH24" s="154"/>
      <c r="HI24" s="154"/>
      <c r="HJ24" s="154"/>
      <c r="HK24" s="154"/>
      <c r="HL24" s="154"/>
      <c r="HM24" s="154"/>
      <c r="HN24" s="154"/>
      <c r="HO24" s="154"/>
      <c r="HP24" s="154"/>
      <c r="HQ24" s="154"/>
      <c r="HR24" s="154"/>
      <c r="HS24" s="154"/>
      <c r="HT24" s="154"/>
      <c r="HU24" s="154"/>
      <c r="HV24" s="154"/>
      <c r="HW24" s="154"/>
      <c r="HX24" s="154"/>
      <c r="HY24" s="154"/>
      <c r="HZ24" s="154"/>
      <c r="IA24" s="154"/>
      <c r="IB24" s="154"/>
      <c r="IC24" s="154"/>
      <c r="ID24" s="154"/>
      <c r="IE24" s="154"/>
      <c r="IF24" s="154"/>
      <c r="IG24" s="154"/>
      <c r="IH24" s="154"/>
      <c r="II24" s="154"/>
      <c r="IJ24" s="154"/>
      <c r="IK24" s="154"/>
      <c r="IL24" s="154"/>
      <c r="IM24" s="154"/>
      <c r="IN24" s="154"/>
    </row>
    <row r="25" spans="1:253" s="149" customFormat="1" ht="14.25" customHeight="1" thickBot="1">
      <c r="A25" s="154"/>
      <c r="B25" s="154"/>
      <c r="C25" s="154"/>
      <c r="D25" s="169">
        <v>1</v>
      </c>
      <c r="E25" s="963" t="s">
        <v>159</v>
      </c>
      <c r="F25" s="964"/>
      <c r="G25" s="170">
        <v>196063.15</v>
      </c>
      <c r="H25" s="171">
        <f>K25/G$56</f>
        <v>2.1531072889434674E-2</v>
      </c>
      <c r="I25" s="202">
        <f>G$15*H25</f>
        <v>187320.33413808167</v>
      </c>
      <c r="J25" s="178" t="s">
        <v>159</v>
      </c>
      <c r="K25" s="203">
        <f>LS_RPRO!B6+MANUAL!B6+OUTSALE!B6</f>
        <v>173242.34999999998</v>
      </c>
      <c r="L25" s="204">
        <f>K25-I25</f>
        <v>-14077.984138081694</v>
      </c>
      <c r="M25" s="205">
        <f>K25/G15</f>
        <v>1.9912913793103445E-2</v>
      </c>
      <c r="N25" s="206">
        <f>L25</f>
        <v>-14077.984138081694</v>
      </c>
      <c r="O25" s="207"/>
      <c r="P25" s="170">
        <v>0</v>
      </c>
      <c r="Q25" s="203">
        <f>LS_RPRO!C6+MANUAL!C6+OUTSALE!C6</f>
        <v>0</v>
      </c>
      <c r="R25" s="249" t="e">
        <f>(Q25-P25)/P25</f>
        <v>#DIV/0!</v>
      </c>
      <c r="S25" s="250"/>
      <c r="T25" s="251"/>
      <c r="U25" s="663"/>
      <c r="V25" s="252" t="e">
        <f t="shared" ref="V25:V56" si="0">(U25-T25)/T25</f>
        <v>#DIV/0!</v>
      </c>
      <c r="W25" s="664">
        <f>U25*25%</f>
        <v>0</v>
      </c>
      <c r="X25" s="253"/>
      <c r="Y25" s="666">
        <f>K25-U25</f>
        <v>173242.34999999998</v>
      </c>
      <c r="Z25" s="279" t="e">
        <f t="shared" ref="Z25:Z56" si="1">(Y25-X25)/X25</f>
        <v>#DIV/0!</v>
      </c>
      <c r="AA25" s="664">
        <f>Y25*30%</f>
        <v>51972.704999999994</v>
      </c>
      <c r="AB25" s="667">
        <f t="shared" ref="AB25:AB55" si="2">W25+AA25</f>
        <v>51972.704999999994</v>
      </c>
      <c r="AC25" s="668" t="e">
        <f>AB25/$M$15</f>
        <v>#DIV/0!</v>
      </c>
      <c r="AD25" s="280"/>
      <c r="AE25" s="676">
        <v>120657.9</v>
      </c>
      <c r="AF25" s="677">
        <f>LS_RPRO!O6+MANUAL!M6+OUTSALE!M6</f>
        <v>137805.35</v>
      </c>
      <c r="AG25" s="678">
        <f>(AF25-AE25)/AE25</f>
        <v>0.1421162642479275</v>
      </c>
      <c r="AH25" s="154"/>
      <c r="AI25" s="686">
        <v>327</v>
      </c>
      <c r="AJ25" s="687">
        <f>LS_RPRO!M6</f>
        <v>359</v>
      </c>
      <c r="AK25" s="688">
        <f t="shared" ref="AK25:AK56" si="3">AJ25/AI25-1</f>
        <v>9.7859327217125314E-2</v>
      </c>
      <c r="AL25" s="689">
        <v>76</v>
      </c>
      <c r="AM25" s="690">
        <f>LS_RPRO!H6+MANUAL!H6+OUTSALE!H6</f>
        <v>0</v>
      </c>
      <c r="AN25" s="688">
        <f t="shared" ref="AN25:AN56" si="4">AM25/AL25-1</f>
        <v>-1</v>
      </c>
      <c r="AO25" s="688">
        <f t="shared" ref="AO25:AP56" si="5">AL25/AI25</f>
        <v>0.23241590214067279</v>
      </c>
      <c r="AP25" s="688">
        <f t="shared" si="5"/>
        <v>0</v>
      </c>
      <c r="AQ25" s="691">
        <f t="shared" ref="AQ25:AQ56" si="6">AP25-AO25</f>
        <v>-0.23241590214067279</v>
      </c>
      <c r="AR25" s="154"/>
      <c r="AS25" s="705">
        <v>0</v>
      </c>
      <c r="AT25" s="687">
        <f>LS_RPRO!K6</f>
        <v>0</v>
      </c>
      <c r="AU25" s="688" t="e">
        <f>(AT25-AS25)/AS25</f>
        <v>#DIV/0!</v>
      </c>
      <c r="AV25" s="689">
        <v>0</v>
      </c>
      <c r="AW25" s="706">
        <f>LS_RPRO!L6</f>
        <v>0</v>
      </c>
      <c r="AX25" s="688" t="e">
        <f>(AW25-AV25)/AV25</f>
        <v>#DIV/0!</v>
      </c>
      <c r="AY25" s="707">
        <f>AS25+AV25</f>
        <v>0</v>
      </c>
      <c r="AZ25" s="708">
        <f>AT25+AW25</f>
        <v>0</v>
      </c>
      <c r="BA25" s="691" t="e">
        <f>(AZ25-AY25)/AY25</f>
        <v>#DIV/0!</v>
      </c>
      <c r="BB25" s="154"/>
      <c r="BC25" s="718"/>
      <c r="BD25" s="719">
        <v>0</v>
      </c>
      <c r="BE25" s="691" t="e">
        <f>(BD25-BC25)/BC25</f>
        <v>#DIV/0!</v>
      </c>
      <c r="BF25" s="154"/>
      <c r="BG25" s="727"/>
      <c r="BH25" s="728"/>
      <c r="BI25" s="729" t="e">
        <f>(BH25-BG25)/BG25</f>
        <v>#DIV/0!</v>
      </c>
      <c r="BJ25" s="730"/>
      <c r="BK25" s="731"/>
      <c r="BL25" s="732" t="e">
        <f>(BK25-BJ25)/BJ25</f>
        <v>#DIV/0!</v>
      </c>
      <c r="BM25" s="729" t="e">
        <f>BJ25/BG25</f>
        <v>#DIV/0!</v>
      </c>
      <c r="BN25" s="733" t="e">
        <f>BK25/BH25</f>
        <v>#DIV/0!</v>
      </c>
      <c r="BO25" s="734" t="e">
        <f>BN25-BM25</f>
        <v>#DIV/0!</v>
      </c>
      <c r="BP25" s="154"/>
      <c r="BQ25" s="718"/>
      <c r="BR25" s="719"/>
      <c r="BS25" s="691" t="e">
        <f>(BR25-BQ25)/BQ25</f>
        <v>#DIV/0!</v>
      </c>
      <c r="BT25" s="154"/>
      <c r="BU25" s="154"/>
      <c r="BV25" s="154"/>
      <c r="BW25" s="154"/>
      <c r="BX25" s="154"/>
      <c r="BY25" s="154"/>
      <c r="BZ25" s="154"/>
      <c r="CA25" s="154"/>
      <c r="CB25" s="154"/>
      <c r="CC25" s="154"/>
      <c r="CD25" s="154"/>
      <c r="CE25" s="154"/>
      <c r="CF25" s="154"/>
      <c r="CG25" s="154"/>
      <c r="CH25" s="154"/>
      <c r="CI25" s="154"/>
      <c r="CJ25" s="154"/>
      <c r="CK25" s="154"/>
      <c r="CL25" s="154"/>
      <c r="CM25" s="154"/>
      <c r="CN25" s="154"/>
      <c r="CO25" s="154"/>
      <c r="CP25" s="154"/>
      <c r="CQ25" s="154"/>
      <c r="CR25" s="154"/>
      <c r="CS25" s="154"/>
      <c r="CT25" s="154"/>
      <c r="CU25" s="154"/>
      <c r="CV25" s="154"/>
      <c r="CW25" s="154"/>
      <c r="CX25" s="154"/>
      <c r="CY25" s="154"/>
      <c r="CZ25" s="154"/>
      <c r="DA25" s="154"/>
      <c r="DB25" s="154"/>
      <c r="DC25" s="154"/>
      <c r="DD25" s="154"/>
      <c r="DE25" s="154"/>
      <c r="DF25" s="154"/>
      <c r="DG25" s="154"/>
      <c r="DH25" s="154"/>
      <c r="DI25" s="154"/>
      <c r="DJ25" s="154"/>
      <c r="DK25" s="154"/>
      <c r="DL25" s="154"/>
      <c r="DM25" s="154"/>
      <c r="DN25" s="154"/>
      <c r="DO25" s="154"/>
      <c r="DP25" s="154"/>
      <c r="DQ25" s="154"/>
      <c r="DR25" s="154"/>
      <c r="DS25" s="154"/>
      <c r="DT25" s="154"/>
      <c r="DU25" s="154"/>
      <c r="DV25" s="154"/>
      <c r="DW25" s="154"/>
      <c r="DX25" s="154"/>
      <c r="DY25" s="154"/>
      <c r="DZ25" s="154"/>
      <c r="EA25" s="154"/>
      <c r="EB25" s="154"/>
      <c r="EC25" s="154"/>
      <c r="ED25" s="154"/>
      <c r="EE25" s="154"/>
      <c r="EF25" s="154"/>
      <c r="EG25" s="154"/>
      <c r="EH25" s="154"/>
      <c r="EI25" s="154"/>
      <c r="EJ25" s="154"/>
      <c r="EK25" s="154"/>
      <c r="EL25" s="154"/>
      <c r="EM25" s="154"/>
      <c r="EN25" s="154"/>
      <c r="EO25" s="154"/>
      <c r="EP25" s="154"/>
      <c r="EQ25" s="154"/>
      <c r="ER25" s="154"/>
      <c r="ES25" s="154"/>
      <c r="ET25" s="154"/>
      <c r="EU25" s="154"/>
      <c r="EV25" s="154"/>
      <c r="EW25" s="154"/>
      <c r="EX25" s="154"/>
      <c r="EY25" s="154"/>
      <c r="EZ25" s="154"/>
      <c r="FA25" s="154"/>
      <c r="FB25" s="154"/>
      <c r="FC25" s="154"/>
      <c r="FD25" s="154"/>
      <c r="FE25" s="154"/>
      <c r="FF25" s="154"/>
      <c r="FG25" s="154"/>
      <c r="FH25" s="154"/>
      <c r="FI25" s="154"/>
      <c r="FJ25" s="154"/>
      <c r="FK25" s="154"/>
      <c r="FL25" s="154"/>
      <c r="FM25" s="154"/>
      <c r="FN25" s="154"/>
      <c r="FO25" s="154"/>
      <c r="FP25" s="154"/>
      <c r="FQ25" s="154"/>
      <c r="FR25" s="154"/>
      <c r="FS25" s="154"/>
      <c r="FT25" s="154"/>
      <c r="FU25" s="154"/>
      <c r="FV25" s="154"/>
      <c r="FW25" s="154"/>
      <c r="FX25" s="154"/>
      <c r="FY25" s="154"/>
      <c r="FZ25" s="154"/>
      <c r="GA25" s="154"/>
      <c r="GB25" s="154"/>
      <c r="GC25" s="154"/>
      <c r="GD25" s="154"/>
      <c r="GE25" s="154"/>
      <c r="GF25" s="154"/>
      <c r="GG25" s="154"/>
      <c r="GH25" s="154"/>
      <c r="GI25" s="154"/>
      <c r="GJ25" s="154"/>
      <c r="GK25" s="154"/>
      <c r="GL25" s="154"/>
      <c r="GM25" s="154"/>
      <c r="GN25" s="154"/>
      <c r="GO25" s="154"/>
      <c r="GP25" s="154"/>
      <c r="GQ25" s="154"/>
      <c r="GR25" s="154"/>
      <c r="GS25" s="154"/>
      <c r="GT25" s="154"/>
      <c r="GU25" s="154"/>
      <c r="GV25" s="154"/>
      <c r="GW25" s="154"/>
      <c r="GX25" s="154"/>
      <c r="GY25" s="154"/>
      <c r="GZ25" s="154"/>
      <c r="HA25" s="154"/>
      <c r="HB25" s="154"/>
      <c r="HC25" s="154"/>
      <c r="HD25" s="154"/>
      <c r="HE25" s="154"/>
      <c r="HF25" s="154"/>
      <c r="HG25" s="154"/>
      <c r="HH25" s="154"/>
      <c r="HI25" s="154"/>
      <c r="HJ25" s="154"/>
      <c r="HK25" s="154"/>
      <c r="HL25" s="154"/>
      <c r="HM25" s="154"/>
      <c r="HN25" s="154"/>
      <c r="HO25" s="154"/>
      <c r="HP25" s="154"/>
      <c r="HQ25" s="154"/>
      <c r="HR25" s="154"/>
      <c r="HS25" s="154"/>
      <c r="HT25" s="154"/>
      <c r="HU25" s="154"/>
      <c r="HV25" s="154"/>
      <c r="HW25" s="154"/>
      <c r="HX25" s="154"/>
      <c r="HY25" s="154"/>
      <c r="HZ25" s="154"/>
      <c r="IA25" s="154"/>
      <c r="IB25" s="154"/>
      <c r="IC25" s="154"/>
      <c r="ID25" s="154"/>
      <c r="IE25" s="154"/>
      <c r="IF25" s="154"/>
      <c r="IG25" s="154"/>
      <c r="IH25" s="154"/>
      <c r="II25" s="154"/>
      <c r="IJ25" s="154"/>
      <c r="IK25" s="154"/>
      <c r="IL25" s="154"/>
      <c r="IM25" s="154"/>
      <c r="IN25" s="154"/>
    </row>
    <row r="26" spans="1:253" s="149" customFormat="1" ht="14.25" customHeight="1" thickBot="1">
      <c r="A26" s="154"/>
      <c r="B26" s="154"/>
      <c r="C26" s="154"/>
      <c r="D26" s="172">
        <v>2</v>
      </c>
      <c r="E26" s="963" t="s">
        <v>160</v>
      </c>
      <c r="F26" s="964"/>
      <c r="G26" s="170">
        <v>168531.4</v>
      </c>
      <c r="H26" s="173">
        <f t="shared" ref="H26:H55" si="7">G26/G$56</f>
        <v>2.0945582056341717E-2</v>
      </c>
      <c r="I26" s="208">
        <f t="shared" ref="I26:I55" si="8">G$15*H26</f>
        <v>182226.56389017293</v>
      </c>
      <c r="J26" s="178" t="s">
        <v>160</v>
      </c>
      <c r="K26" s="209">
        <f>LS_RPRO!B7+MANUAL!B7+OUTSALE!B7</f>
        <v>208772.5</v>
      </c>
      <c r="L26" s="210">
        <f>K26-I26</f>
        <v>26545.936109827075</v>
      </c>
      <c r="M26" s="211">
        <f>K26/G15</f>
        <v>2.399683908045977E-2</v>
      </c>
      <c r="N26" s="212">
        <f>N25+L26</f>
        <v>12467.95197174538</v>
      </c>
      <c r="O26" s="207"/>
      <c r="P26" s="170">
        <v>54.5</v>
      </c>
      <c r="Q26" s="203">
        <f>LS_RPRO!C7+MANUAL!C7+OUTSALE!C7</f>
        <v>169.8</v>
      </c>
      <c r="R26" s="254">
        <f t="shared" ref="R26:R56" si="9">(Q26-P26)/P26</f>
        <v>2.1155963302752294</v>
      </c>
      <c r="S26" s="250"/>
      <c r="T26" s="251"/>
      <c r="U26" s="663"/>
      <c r="V26" s="255" t="e">
        <f t="shared" si="0"/>
        <v>#DIV/0!</v>
      </c>
      <c r="W26" s="664">
        <f t="shared" ref="W26:W55" si="10">U26*25%</f>
        <v>0</v>
      </c>
      <c r="X26" s="253"/>
      <c r="Y26" s="666">
        <f t="shared" ref="Y26:Y55" si="11">K26-U26</f>
        <v>208772.5</v>
      </c>
      <c r="Z26" s="279" t="e">
        <f t="shared" si="1"/>
        <v>#DIV/0!</v>
      </c>
      <c r="AA26" s="664">
        <f t="shared" ref="AA26:AA55" si="12">Y26*30%</f>
        <v>62631.75</v>
      </c>
      <c r="AB26" s="667">
        <f t="shared" si="2"/>
        <v>62631.75</v>
      </c>
      <c r="AC26" s="668" t="e">
        <f t="shared" ref="AC26:AC55" si="13">AB26/$M$15</f>
        <v>#DIV/0!</v>
      </c>
      <c r="AD26" s="280"/>
      <c r="AE26" s="676">
        <v>126636.75</v>
      </c>
      <c r="AF26" s="677">
        <f>LS_RPRO!O7+MANUAL!M7+OUTSALE!M7</f>
        <v>171801.75</v>
      </c>
      <c r="AG26" s="678">
        <f t="shared" ref="AG26:AG56" si="14">(AF26-AE26)/AE26</f>
        <v>0.35665002457817341</v>
      </c>
      <c r="AH26" s="154"/>
      <c r="AI26" s="686">
        <v>408</v>
      </c>
      <c r="AJ26" s="687">
        <f>LS_RPRO!M7</f>
        <v>446</v>
      </c>
      <c r="AK26" s="688">
        <f t="shared" si="3"/>
        <v>9.3137254901960675E-2</v>
      </c>
      <c r="AL26" s="689">
        <v>90</v>
      </c>
      <c r="AM26" s="690">
        <f>LS_RPRO!H7+MANUAL!H7+OUTSALE!H7</f>
        <v>101</v>
      </c>
      <c r="AN26" s="688">
        <f t="shared" si="4"/>
        <v>0.12222222222222223</v>
      </c>
      <c r="AO26" s="688">
        <f t="shared" si="5"/>
        <v>0.22058823529411764</v>
      </c>
      <c r="AP26" s="688">
        <f t="shared" si="5"/>
        <v>0.226457399103139</v>
      </c>
      <c r="AQ26" s="691">
        <f t="shared" si="6"/>
        <v>5.8691638090213605E-3</v>
      </c>
      <c r="AR26" s="154"/>
      <c r="AS26" s="705">
        <v>4</v>
      </c>
      <c r="AT26" s="687">
        <f>LS_RPRO!K7</f>
        <v>0</v>
      </c>
      <c r="AU26" s="688">
        <f t="shared" ref="AU26:AU56" si="15">(AT26-AS26)/AS26</f>
        <v>-1</v>
      </c>
      <c r="AV26" s="689">
        <v>4</v>
      </c>
      <c r="AW26" s="706">
        <f>LS_RPRO!L7</f>
        <v>2</v>
      </c>
      <c r="AX26" s="688">
        <f t="shared" ref="AX26:AX56" si="16">(AW26-AV26)/AV26</f>
        <v>-0.5</v>
      </c>
      <c r="AY26" s="707">
        <f>AS26+AV26</f>
        <v>8</v>
      </c>
      <c r="AZ26" s="708">
        <f>AT26+AW26</f>
        <v>2</v>
      </c>
      <c r="BA26" s="691">
        <f t="shared" ref="BA26:BA56" si="17">(AZ26-AY26)/AY26</f>
        <v>-0.75</v>
      </c>
      <c r="BB26" s="154"/>
      <c r="BC26" s="718"/>
      <c r="BD26" s="719">
        <v>0</v>
      </c>
      <c r="BE26" s="691" t="e">
        <f t="shared" ref="BE26:BE56" si="18">(BD26-BC26)/BC26</f>
        <v>#DIV/0!</v>
      </c>
      <c r="BF26" s="154"/>
      <c r="BG26" s="727"/>
      <c r="BH26" s="728"/>
      <c r="BI26" s="735" t="e">
        <f t="shared" ref="BI26:BI56" si="19">(BH26-BG26)/BG26</f>
        <v>#DIV/0!</v>
      </c>
      <c r="BJ26" s="730"/>
      <c r="BK26" s="731"/>
      <c r="BL26" s="732" t="e">
        <f t="shared" ref="BL26:BL56" si="20">(BK26-BJ26)/BJ26</f>
        <v>#DIV/0!</v>
      </c>
      <c r="BM26" s="729" t="e">
        <f t="shared" ref="BM26:BN55" si="21">BJ26/BG26</f>
        <v>#DIV/0!</v>
      </c>
      <c r="BN26" s="733" t="e">
        <f t="shared" si="21"/>
        <v>#DIV/0!</v>
      </c>
      <c r="BO26" s="734" t="e">
        <f t="shared" ref="BO26:BO56" si="22">BN26-BM26</f>
        <v>#DIV/0!</v>
      </c>
      <c r="BP26" s="154"/>
      <c r="BQ26" s="718"/>
      <c r="BR26" s="719"/>
      <c r="BS26" s="691" t="e">
        <f t="shared" ref="BS26:BS56" si="23">(BR26-BQ26)/BQ26</f>
        <v>#DIV/0!</v>
      </c>
      <c r="BT26" s="154"/>
      <c r="BU26" s="154"/>
      <c r="BV26" s="154"/>
      <c r="BW26" s="154"/>
      <c r="BX26" s="154"/>
      <c r="BY26" s="154"/>
      <c r="BZ26" s="154"/>
      <c r="CA26" s="154"/>
      <c r="CB26" s="154"/>
      <c r="CC26" s="154"/>
      <c r="CD26" s="154"/>
      <c r="CE26" s="154"/>
      <c r="CF26" s="154"/>
      <c r="CG26" s="154"/>
      <c r="CH26" s="154"/>
      <c r="CI26" s="154"/>
      <c r="CJ26" s="154"/>
      <c r="CK26" s="154"/>
      <c r="CL26" s="154"/>
      <c r="CM26" s="154"/>
      <c r="CN26" s="154"/>
      <c r="CO26" s="154"/>
      <c r="CP26" s="154"/>
      <c r="CQ26" s="154"/>
      <c r="CR26" s="154"/>
      <c r="CS26" s="154"/>
      <c r="CT26" s="154"/>
      <c r="CU26" s="154"/>
      <c r="CV26" s="154"/>
      <c r="CW26" s="154"/>
      <c r="CX26" s="154"/>
      <c r="CY26" s="154"/>
      <c r="CZ26" s="154"/>
      <c r="DA26" s="154"/>
      <c r="DB26" s="154"/>
      <c r="DC26" s="154"/>
      <c r="DD26" s="154"/>
      <c r="DE26" s="154"/>
      <c r="DF26" s="154"/>
      <c r="DG26" s="154"/>
      <c r="DH26" s="154"/>
      <c r="DI26" s="154"/>
      <c r="DJ26" s="154"/>
      <c r="DK26" s="154"/>
      <c r="DL26" s="154"/>
      <c r="DM26" s="154"/>
      <c r="DN26" s="154"/>
      <c r="DO26" s="154"/>
      <c r="DP26" s="154"/>
      <c r="DQ26" s="154"/>
      <c r="DR26" s="154"/>
      <c r="DS26" s="154"/>
      <c r="DT26" s="154"/>
      <c r="DU26" s="154"/>
      <c r="DV26" s="154"/>
      <c r="DW26" s="154"/>
      <c r="DX26" s="154"/>
      <c r="DY26" s="154"/>
      <c r="DZ26" s="154"/>
      <c r="EA26" s="154"/>
      <c r="EB26" s="154"/>
      <c r="EC26" s="154"/>
      <c r="ED26" s="154"/>
      <c r="EE26" s="154"/>
      <c r="EF26" s="154"/>
      <c r="EG26" s="154"/>
      <c r="EH26" s="154"/>
      <c r="EI26" s="154"/>
      <c r="EJ26" s="154"/>
      <c r="EK26" s="154"/>
      <c r="EL26" s="154"/>
      <c r="EM26" s="154"/>
      <c r="EN26" s="154"/>
      <c r="EO26" s="154"/>
      <c r="EP26" s="154"/>
      <c r="EQ26" s="154"/>
      <c r="ER26" s="154"/>
      <c r="ES26" s="154"/>
      <c r="ET26" s="154"/>
      <c r="EU26" s="154"/>
      <c r="EV26" s="154"/>
      <c r="EW26" s="154"/>
      <c r="EX26" s="154"/>
      <c r="EY26" s="154"/>
      <c r="EZ26" s="154"/>
      <c r="FA26" s="154"/>
      <c r="FB26" s="154"/>
      <c r="FC26" s="154"/>
      <c r="FD26" s="154"/>
      <c r="FE26" s="154"/>
      <c r="FF26" s="154"/>
      <c r="FG26" s="154"/>
      <c r="FH26" s="154"/>
      <c r="FI26" s="154"/>
      <c r="FJ26" s="154"/>
      <c r="FK26" s="154"/>
      <c r="FL26" s="154"/>
      <c r="FM26" s="154"/>
      <c r="FN26" s="154"/>
      <c r="FO26" s="154"/>
      <c r="FP26" s="154"/>
      <c r="FQ26" s="154"/>
      <c r="FR26" s="154"/>
      <c r="FS26" s="154"/>
      <c r="FT26" s="154"/>
      <c r="FU26" s="154"/>
      <c r="FV26" s="154"/>
      <c r="FW26" s="154"/>
      <c r="FX26" s="154"/>
      <c r="FY26" s="154"/>
      <c r="FZ26" s="154"/>
      <c r="GA26" s="154"/>
      <c r="GB26" s="154"/>
      <c r="GC26" s="154"/>
      <c r="GD26" s="154"/>
      <c r="GE26" s="154"/>
      <c r="GF26" s="154"/>
      <c r="GG26" s="154"/>
      <c r="GH26" s="154"/>
      <c r="GI26" s="154"/>
      <c r="GJ26" s="154"/>
      <c r="GK26" s="154"/>
      <c r="GL26" s="154"/>
      <c r="GM26" s="154"/>
      <c r="GN26" s="154"/>
      <c r="GO26" s="154"/>
      <c r="GP26" s="154"/>
      <c r="GQ26" s="154"/>
      <c r="GR26" s="154"/>
      <c r="GS26" s="154"/>
      <c r="GT26" s="154"/>
      <c r="GU26" s="154"/>
      <c r="GV26" s="154"/>
      <c r="GW26" s="154"/>
      <c r="GX26" s="154"/>
      <c r="GY26" s="154"/>
      <c r="GZ26" s="154"/>
      <c r="HA26" s="154"/>
      <c r="HB26" s="154"/>
      <c r="HC26" s="154"/>
      <c r="HD26" s="154"/>
      <c r="HE26" s="154"/>
      <c r="HF26" s="154"/>
      <c r="HG26" s="154"/>
      <c r="HH26" s="154"/>
      <c r="HI26" s="154"/>
      <c r="HJ26" s="154"/>
      <c r="HK26" s="154"/>
      <c r="HL26" s="154"/>
      <c r="HM26" s="154"/>
      <c r="HN26" s="154"/>
      <c r="HO26" s="154"/>
      <c r="HP26" s="154"/>
      <c r="HQ26" s="154"/>
      <c r="HR26" s="154"/>
      <c r="HS26" s="154"/>
      <c r="HT26" s="154"/>
      <c r="HU26" s="154"/>
      <c r="HV26" s="154"/>
      <c r="HW26" s="154"/>
      <c r="HX26" s="154"/>
      <c r="HY26" s="154"/>
      <c r="HZ26" s="154"/>
      <c r="IA26" s="154"/>
      <c r="IB26" s="154"/>
      <c r="IC26" s="154"/>
      <c r="ID26" s="154"/>
      <c r="IE26" s="154"/>
      <c r="IF26" s="154"/>
      <c r="IG26" s="154"/>
      <c r="IH26" s="154"/>
      <c r="II26" s="154"/>
      <c r="IJ26" s="154"/>
      <c r="IK26" s="154"/>
      <c r="IL26" s="154"/>
      <c r="IM26" s="154"/>
      <c r="IN26" s="154"/>
    </row>
    <row r="27" spans="1:253" s="149" customFormat="1" ht="14.25" customHeight="1" thickBot="1">
      <c r="A27" s="154"/>
      <c r="B27" s="154"/>
      <c r="C27" s="154"/>
      <c r="D27" s="172">
        <v>3</v>
      </c>
      <c r="E27" s="963" t="s">
        <v>161</v>
      </c>
      <c r="F27" s="964"/>
      <c r="G27" s="170">
        <v>168709</v>
      </c>
      <c r="H27" s="173">
        <f t="shared" si="7"/>
        <v>2.0967654710892774E-2</v>
      </c>
      <c r="I27" s="208">
        <f t="shared" si="8"/>
        <v>182418.59598476713</v>
      </c>
      <c r="J27" s="178" t="s">
        <v>161</v>
      </c>
      <c r="K27" s="209">
        <f>LS_RPRO!B8+MANUAL!B8+OUTSALE!B8</f>
        <v>355795.97</v>
      </c>
      <c r="L27" s="210">
        <f t="shared" ref="L27:L55" si="24">K27-I27</f>
        <v>173377.37401523284</v>
      </c>
      <c r="M27" s="211">
        <f>K27/G15</f>
        <v>4.0896088505747122E-2</v>
      </c>
      <c r="N27" s="212">
        <f t="shared" ref="N27:N55" si="25">N26+L27</f>
        <v>185845.32598697822</v>
      </c>
      <c r="O27" s="207"/>
      <c r="P27" s="170">
        <v>605.63</v>
      </c>
      <c r="Q27" s="203">
        <f>LS_RPRO!C8+MANUAL!C8+OUTSALE!C8</f>
        <v>708.96</v>
      </c>
      <c r="R27" s="254">
        <f t="shared" si="9"/>
        <v>0.17061572247081558</v>
      </c>
      <c r="S27" s="250"/>
      <c r="T27" s="251"/>
      <c r="U27" s="663"/>
      <c r="V27" s="255" t="e">
        <f t="shared" si="0"/>
        <v>#DIV/0!</v>
      </c>
      <c r="W27" s="664">
        <f t="shared" si="10"/>
        <v>0</v>
      </c>
      <c r="X27" s="253"/>
      <c r="Y27" s="666">
        <f t="shared" si="11"/>
        <v>355795.97</v>
      </c>
      <c r="Z27" s="279" t="e">
        <f t="shared" si="1"/>
        <v>#DIV/0!</v>
      </c>
      <c r="AA27" s="664">
        <f t="shared" si="12"/>
        <v>106738.79099999998</v>
      </c>
      <c r="AB27" s="667">
        <f t="shared" si="2"/>
        <v>106738.79099999998</v>
      </c>
      <c r="AC27" s="668" t="e">
        <f t="shared" si="13"/>
        <v>#DIV/0!</v>
      </c>
      <c r="AD27" s="280"/>
      <c r="AE27" s="676">
        <v>243724.1</v>
      </c>
      <c r="AF27" s="677">
        <f>LS_RPRO!O8+MANUAL!M8+OUTSALE!M8</f>
        <v>285580.75</v>
      </c>
      <c r="AG27" s="678">
        <f t="shared" si="14"/>
        <v>0.1717378379897597</v>
      </c>
      <c r="AH27" s="154"/>
      <c r="AI27" s="686">
        <v>674</v>
      </c>
      <c r="AJ27" s="687">
        <f>LS_RPRO!M8</f>
        <v>976</v>
      </c>
      <c r="AK27" s="688">
        <f t="shared" si="3"/>
        <v>0.44807121661721072</v>
      </c>
      <c r="AL27" s="689">
        <v>165</v>
      </c>
      <c r="AM27" s="690">
        <f>LS_RPRO!H8+MANUAL!H8+OUTSALE!H8</f>
        <v>138</v>
      </c>
      <c r="AN27" s="688">
        <f t="shared" si="4"/>
        <v>-0.16363636363636369</v>
      </c>
      <c r="AO27" s="688">
        <f t="shared" si="5"/>
        <v>0.24480712166172106</v>
      </c>
      <c r="AP27" s="688">
        <f t="shared" si="5"/>
        <v>0.14139344262295081</v>
      </c>
      <c r="AQ27" s="691">
        <f t="shared" si="6"/>
        <v>-0.10341367903877025</v>
      </c>
      <c r="AR27" s="154"/>
      <c r="AS27" s="705">
        <v>1</v>
      </c>
      <c r="AT27" s="687">
        <f>LS_RPRO!K8</f>
        <v>4</v>
      </c>
      <c r="AU27" s="688">
        <f t="shared" si="15"/>
        <v>3</v>
      </c>
      <c r="AV27" s="689">
        <v>6</v>
      </c>
      <c r="AW27" s="706">
        <f>LS_RPRO!L8</f>
        <v>5</v>
      </c>
      <c r="AX27" s="688">
        <f t="shared" si="16"/>
        <v>-0.16666666666666666</v>
      </c>
      <c r="AY27" s="707">
        <f t="shared" ref="AY27:AZ55" si="26">AS27+AV27</f>
        <v>7</v>
      </c>
      <c r="AZ27" s="708">
        <f t="shared" si="26"/>
        <v>9</v>
      </c>
      <c r="BA27" s="691">
        <f t="shared" si="17"/>
        <v>0.2857142857142857</v>
      </c>
      <c r="BB27" s="154"/>
      <c r="BC27" s="718"/>
      <c r="BD27" s="719">
        <v>0</v>
      </c>
      <c r="BE27" s="691" t="e">
        <f t="shared" si="18"/>
        <v>#DIV/0!</v>
      </c>
      <c r="BF27" s="154"/>
      <c r="BG27" s="727"/>
      <c r="BH27" s="728"/>
      <c r="BI27" s="735" t="e">
        <f t="shared" si="19"/>
        <v>#DIV/0!</v>
      </c>
      <c r="BJ27" s="730"/>
      <c r="BK27" s="731"/>
      <c r="BL27" s="732" t="e">
        <f t="shared" si="20"/>
        <v>#DIV/0!</v>
      </c>
      <c r="BM27" s="729" t="e">
        <f t="shared" si="21"/>
        <v>#DIV/0!</v>
      </c>
      <c r="BN27" s="733" t="e">
        <f t="shared" si="21"/>
        <v>#DIV/0!</v>
      </c>
      <c r="BO27" s="734" t="e">
        <f t="shared" si="22"/>
        <v>#DIV/0!</v>
      </c>
      <c r="BP27" s="154"/>
      <c r="BQ27" s="718"/>
      <c r="BR27" s="719"/>
      <c r="BS27" s="691" t="e">
        <f t="shared" si="23"/>
        <v>#DIV/0!</v>
      </c>
      <c r="BT27" s="154"/>
      <c r="BU27" s="154"/>
      <c r="BV27" s="154"/>
      <c r="BW27" s="154"/>
      <c r="BX27" s="154"/>
      <c r="BY27" s="154"/>
      <c r="BZ27" s="154"/>
      <c r="CA27" s="154"/>
      <c r="CB27" s="154"/>
      <c r="CC27" s="154"/>
      <c r="CD27" s="154"/>
      <c r="CE27" s="154"/>
      <c r="CF27" s="154"/>
      <c r="CG27" s="154"/>
      <c r="CH27" s="154"/>
      <c r="CI27" s="154"/>
      <c r="CJ27" s="154"/>
      <c r="CK27" s="154"/>
      <c r="CL27" s="154"/>
      <c r="CM27" s="154"/>
      <c r="CN27" s="154"/>
      <c r="CO27" s="154"/>
      <c r="CP27" s="154"/>
      <c r="CQ27" s="154"/>
      <c r="CR27" s="154"/>
      <c r="CS27" s="154"/>
      <c r="CT27" s="154"/>
      <c r="CU27" s="154"/>
      <c r="CV27" s="154"/>
      <c r="CW27" s="154"/>
      <c r="CX27" s="154"/>
      <c r="CY27" s="154"/>
      <c r="CZ27" s="154"/>
      <c r="DA27" s="154"/>
      <c r="DB27" s="154"/>
      <c r="DC27" s="154"/>
      <c r="DD27" s="154"/>
      <c r="DE27" s="154"/>
      <c r="DF27" s="154"/>
      <c r="DG27" s="154"/>
      <c r="DH27" s="154"/>
      <c r="DI27" s="154"/>
      <c r="DJ27" s="154"/>
      <c r="DK27" s="154"/>
      <c r="DL27" s="154"/>
      <c r="DM27" s="154"/>
      <c r="DN27" s="154"/>
      <c r="DO27" s="154"/>
      <c r="DP27" s="154"/>
      <c r="DQ27" s="154"/>
      <c r="DR27" s="154"/>
      <c r="DS27" s="154"/>
      <c r="DT27" s="154"/>
      <c r="DU27" s="154"/>
      <c r="DV27" s="154"/>
      <c r="DW27" s="154"/>
      <c r="DX27" s="154"/>
      <c r="DY27" s="154"/>
      <c r="DZ27" s="154"/>
      <c r="EA27" s="154"/>
      <c r="EB27" s="154"/>
      <c r="EC27" s="154"/>
      <c r="ED27" s="154"/>
      <c r="EE27" s="154"/>
      <c r="EF27" s="154"/>
      <c r="EG27" s="154"/>
      <c r="EH27" s="154"/>
      <c r="EI27" s="154"/>
      <c r="EJ27" s="154"/>
      <c r="EK27" s="154"/>
      <c r="EL27" s="154"/>
      <c r="EM27" s="154"/>
      <c r="EN27" s="154"/>
      <c r="EO27" s="154"/>
      <c r="EP27" s="154"/>
      <c r="EQ27" s="154"/>
      <c r="ER27" s="154"/>
      <c r="ES27" s="154"/>
      <c r="ET27" s="154"/>
      <c r="EU27" s="154"/>
      <c r="EV27" s="154"/>
      <c r="EW27" s="154"/>
      <c r="EX27" s="154"/>
      <c r="EY27" s="154"/>
      <c r="EZ27" s="154"/>
      <c r="FA27" s="154"/>
      <c r="FB27" s="154"/>
      <c r="FC27" s="154"/>
      <c r="FD27" s="154"/>
      <c r="FE27" s="154"/>
      <c r="FF27" s="154"/>
      <c r="FG27" s="154"/>
      <c r="FH27" s="154"/>
      <c r="FI27" s="154"/>
      <c r="FJ27" s="154"/>
      <c r="FK27" s="154"/>
      <c r="FL27" s="154"/>
      <c r="FM27" s="154"/>
      <c r="FN27" s="154"/>
      <c r="FO27" s="154"/>
      <c r="FP27" s="154"/>
      <c r="FQ27" s="154"/>
      <c r="FR27" s="154"/>
      <c r="FS27" s="154"/>
      <c r="FT27" s="154"/>
      <c r="FU27" s="154"/>
      <c r="FV27" s="154"/>
      <c r="FW27" s="154"/>
      <c r="FX27" s="154"/>
      <c r="FY27" s="154"/>
      <c r="FZ27" s="154"/>
      <c r="GA27" s="154"/>
      <c r="GB27" s="154"/>
      <c r="GC27" s="154"/>
      <c r="GD27" s="154"/>
      <c r="GE27" s="154"/>
      <c r="GF27" s="154"/>
      <c r="GG27" s="154"/>
      <c r="GH27" s="154"/>
      <c r="GI27" s="154"/>
      <c r="GJ27" s="154"/>
      <c r="GK27" s="154"/>
      <c r="GL27" s="154"/>
      <c r="GM27" s="154"/>
      <c r="GN27" s="154"/>
      <c r="GO27" s="154"/>
      <c r="GP27" s="154"/>
      <c r="GQ27" s="154"/>
      <c r="GR27" s="154"/>
      <c r="GS27" s="154"/>
      <c r="GT27" s="154"/>
      <c r="GU27" s="154"/>
      <c r="GV27" s="154"/>
      <c r="GW27" s="154"/>
      <c r="GX27" s="154"/>
      <c r="GY27" s="154"/>
      <c r="GZ27" s="154"/>
      <c r="HA27" s="154"/>
      <c r="HB27" s="154"/>
      <c r="HC27" s="154"/>
      <c r="HD27" s="154"/>
      <c r="HE27" s="154"/>
      <c r="HF27" s="154"/>
      <c r="HG27" s="154"/>
      <c r="HH27" s="154"/>
      <c r="HI27" s="154"/>
      <c r="HJ27" s="154"/>
      <c r="HK27" s="154"/>
      <c r="HL27" s="154"/>
      <c r="HM27" s="154"/>
      <c r="HN27" s="154"/>
      <c r="HO27" s="154"/>
      <c r="HP27" s="154"/>
      <c r="HQ27" s="154"/>
      <c r="HR27" s="154"/>
      <c r="HS27" s="154"/>
      <c r="HT27" s="154"/>
      <c r="HU27" s="154"/>
      <c r="HV27" s="154"/>
      <c r="HW27" s="154"/>
      <c r="HX27" s="154"/>
      <c r="HY27" s="154"/>
      <c r="HZ27" s="154"/>
      <c r="IA27" s="154"/>
      <c r="IB27" s="154"/>
      <c r="IC27" s="154"/>
      <c r="ID27" s="154"/>
      <c r="IE27" s="154"/>
      <c r="IF27" s="154"/>
      <c r="IG27" s="154"/>
      <c r="IH27" s="154"/>
      <c r="II27" s="154"/>
      <c r="IJ27" s="154"/>
      <c r="IK27" s="154"/>
      <c r="IL27" s="154"/>
      <c r="IM27" s="154"/>
      <c r="IN27" s="154"/>
    </row>
    <row r="28" spans="1:253" s="149" customFormat="1" ht="14.25" customHeight="1" thickBot="1">
      <c r="A28" s="154"/>
      <c r="B28" s="154"/>
      <c r="C28" s="154"/>
      <c r="D28" s="172">
        <v>4</v>
      </c>
      <c r="E28" s="963" t="s">
        <v>155</v>
      </c>
      <c r="F28" s="964"/>
      <c r="G28" s="170">
        <v>373840.98</v>
      </c>
      <c r="H28" s="173">
        <f t="shared" si="7"/>
        <v>4.6462065363565494E-2</v>
      </c>
      <c r="I28" s="208">
        <f t="shared" si="8"/>
        <v>404219.96866301983</v>
      </c>
      <c r="J28" s="178" t="s">
        <v>155</v>
      </c>
      <c r="K28" s="209">
        <f>LS_RPRO!B9+MANUAL!B9+OUTSALE!B9</f>
        <v>300026.7</v>
      </c>
      <c r="L28" s="210">
        <f t="shared" si="24"/>
        <v>-104193.26866301981</v>
      </c>
      <c r="M28" s="211">
        <f>K28/G15</f>
        <v>3.4485827586206899E-2</v>
      </c>
      <c r="N28" s="212">
        <f t="shared" si="25"/>
        <v>81652.057323958405</v>
      </c>
      <c r="O28" s="207"/>
      <c r="P28" s="170">
        <v>1372.15</v>
      </c>
      <c r="Q28" s="203">
        <f>LS_RPRO!C9+MANUAL!C9+OUTSALE!C9</f>
        <v>2180.5</v>
      </c>
      <c r="R28" s="254">
        <f t="shared" si="9"/>
        <v>0.58911197755347433</v>
      </c>
      <c r="S28" s="250"/>
      <c r="T28" s="251"/>
      <c r="U28" s="663"/>
      <c r="V28" s="255" t="e">
        <f t="shared" si="0"/>
        <v>#DIV/0!</v>
      </c>
      <c r="W28" s="664">
        <f t="shared" si="10"/>
        <v>0</v>
      </c>
      <c r="X28" s="253"/>
      <c r="Y28" s="666">
        <f t="shared" si="11"/>
        <v>300026.7</v>
      </c>
      <c r="Z28" s="279" t="e">
        <f t="shared" si="1"/>
        <v>#DIV/0!</v>
      </c>
      <c r="AA28" s="664">
        <f t="shared" si="12"/>
        <v>90008.01</v>
      </c>
      <c r="AB28" s="667">
        <f t="shared" si="2"/>
        <v>90008.01</v>
      </c>
      <c r="AC28" s="668" t="e">
        <f t="shared" si="13"/>
        <v>#DIV/0!</v>
      </c>
      <c r="AD28" s="280"/>
      <c r="AE28" s="676">
        <v>314059.82000000007</v>
      </c>
      <c r="AF28" s="677">
        <f>LS_RPRO!O9+MANUAL!M9+OUTSALE!M9</f>
        <v>243077.7</v>
      </c>
      <c r="AG28" s="678">
        <f t="shared" si="14"/>
        <v>-0.22601464905634869</v>
      </c>
      <c r="AH28" s="154"/>
      <c r="AI28" s="686">
        <v>881</v>
      </c>
      <c r="AJ28" s="687">
        <f>LS_RPRO!M9</f>
        <v>883</v>
      </c>
      <c r="AK28" s="688">
        <f t="shared" si="3"/>
        <v>2.2701475595914289E-3</v>
      </c>
      <c r="AL28" s="689">
        <v>175</v>
      </c>
      <c r="AM28" s="690">
        <f>LS_RPRO!H9+MANUAL!H9+OUTSALE!H9</f>
        <v>130</v>
      </c>
      <c r="AN28" s="688">
        <f t="shared" si="4"/>
        <v>-0.25714285714285712</v>
      </c>
      <c r="AO28" s="688">
        <f t="shared" si="5"/>
        <v>0.19863791146424517</v>
      </c>
      <c r="AP28" s="688">
        <f t="shared" si="5"/>
        <v>0.14722536806342015</v>
      </c>
      <c r="AQ28" s="691">
        <f t="shared" si="6"/>
        <v>-5.1412543400825017E-2</v>
      </c>
      <c r="AR28" s="154"/>
      <c r="AS28" s="705">
        <v>2</v>
      </c>
      <c r="AT28" s="687">
        <f>LS_RPRO!K9</f>
        <v>0</v>
      </c>
      <c r="AU28" s="688">
        <f t="shared" si="15"/>
        <v>-1</v>
      </c>
      <c r="AV28" s="689">
        <v>10</v>
      </c>
      <c r="AW28" s="706">
        <f>LS_RPRO!L9</f>
        <v>17</v>
      </c>
      <c r="AX28" s="688">
        <f t="shared" si="16"/>
        <v>0.7</v>
      </c>
      <c r="AY28" s="707">
        <f t="shared" si="26"/>
        <v>12</v>
      </c>
      <c r="AZ28" s="708">
        <f t="shared" si="26"/>
        <v>17</v>
      </c>
      <c r="BA28" s="691">
        <f t="shared" si="17"/>
        <v>0.41666666666666669</v>
      </c>
      <c r="BB28" s="154"/>
      <c r="BC28" s="718"/>
      <c r="BD28" s="719">
        <v>0</v>
      </c>
      <c r="BE28" s="691" t="e">
        <f t="shared" si="18"/>
        <v>#DIV/0!</v>
      </c>
      <c r="BF28" s="154"/>
      <c r="BG28" s="727"/>
      <c r="BH28" s="728"/>
      <c r="BI28" s="735" t="e">
        <f t="shared" si="19"/>
        <v>#DIV/0!</v>
      </c>
      <c r="BJ28" s="730"/>
      <c r="BK28" s="731"/>
      <c r="BL28" s="732" t="e">
        <f t="shared" si="20"/>
        <v>#DIV/0!</v>
      </c>
      <c r="BM28" s="729" t="e">
        <f t="shared" si="21"/>
        <v>#DIV/0!</v>
      </c>
      <c r="BN28" s="733" t="e">
        <f t="shared" si="21"/>
        <v>#DIV/0!</v>
      </c>
      <c r="BO28" s="734" t="e">
        <f t="shared" si="22"/>
        <v>#DIV/0!</v>
      </c>
      <c r="BP28" s="154"/>
      <c r="BQ28" s="718"/>
      <c r="BR28" s="719"/>
      <c r="BS28" s="691" t="e">
        <f t="shared" si="23"/>
        <v>#DIV/0!</v>
      </c>
      <c r="BT28" s="154"/>
      <c r="BU28" s="154"/>
      <c r="BV28" s="154"/>
      <c r="BW28" s="154"/>
      <c r="BX28" s="154"/>
      <c r="BY28" s="154"/>
      <c r="BZ28" s="154"/>
      <c r="CA28" s="154"/>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54"/>
      <c r="CX28" s="154"/>
      <c r="CY28" s="154"/>
      <c r="CZ28" s="154"/>
      <c r="DA28" s="154"/>
      <c r="DB28" s="154"/>
      <c r="DC28" s="154"/>
      <c r="DD28" s="154"/>
      <c r="DE28" s="154"/>
      <c r="DF28" s="154"/>
      <c r="DG28" s="154"/>
      <c r="DH28" s="154"/>
      <c r="DI28" s="154"/>
      <c r="DJ28" s="154"/>
      <c r="DK28" s="154"/>
      <c r="DL28" s="154"/>
      <c r="DM28" s="154"/>
      <c r="DN28" s="154"/>
      <c r="DO28" s="154"/>
      <c r="DP28" s="154"/>
      <c r="DQ28" s="154"/>
      <c r="DR28" s="154"/>
      <c r="DS28" s="154"/>
      <c r="DT28" s="154"/>
      <c r="DU28" s="154"/>
      <c r="DV28" s="154"/>
      <c r="DW28" s="154"/>
      <c r="DX28" s="154"/>
      <c r="DY28" s="154"/>
      <c r="DZ28" s="154"/>
      <c r="EA28" s="154"/>
      <c r="EB28" s="154"/>
      <c r="EC28" s="154"/>
      <c r="ED28" s="154"/>
      <c r="EE28" s="154"/>
      <c r="EF28" s="154"/>
      <c r="EG28" s="154"/>
      <c r="EH28" s="154"/>
      <c r="EI28" s="154"/>
      <c r="EJ28" s="154"/>
      <c r="EK28" s="154"/>
      <c r="EL28" s="154"/>
      <c r="EM28" s="154"/>
      <c r="EN28" s="154"/>
      <c r="EO28" s="154"/>
      <c r="EP28" s="154"/>
      <c r="EQ28" s="154"/>
      <c r="ER28" s="154"/>
      <c r="ES28" s="154"/>
      <c r="ET28" s="154"/>
      <c r="EU28" s="154"/>
      <c r="EV28" s="154"/>
      <c r="EW28" s="154"/>
      <c r="EX28" s="154"/>
      <c r="EY28" s="154"/>
      <c r="EZ28" s="154"/>
      <c r="FA28" s="154"/>
      <c r="FB28" s="154"/>
      <c r="FC28" s="154"/>
      <c r="FD28" s="154"/>
      <c r="FE28" s="154"/>
      <c r="FF28" s="154"/>
      <c r="FG28" s="154"/>
      <c r="FH28" s="154"/>
      <c r="FI28" s="154"/>
      <c r="FJ28" s="154"/>
      <c r="FK28" s="154"/>
      <c r="FL28" s="154"/>
      <c r="FM28" s="154"/>
      <c r="FN28" s="154"/>
      <c r="FO28" s="154"/>
      <c r="FP28" s="154"/>
      <c r="FQ28" s="154"/>
      <c r="FR28" s="154"/>
      <c r="FS28" s="154"/>
      <c r="FT28" s="154"/>
      <c r="FU28" s="154"/>
      <c r="FV28" s="154"/>
      <c r="FW28" s="154"/>
      <c r="FX28" s="154"/>
      <c r="FY28" s="154"/>
      <c r="FZ28" s="154"/>
      <c r="GA28" s="154"/>
      <c r="GB28" s="154"/>
      <c r="GC28" s="154"/>
      <c r="GD28" s="154"/>
      <c r="GE28" s="154"/>
      <c r="GF28" s="154"/>
      <c r="GG28" s="154"/>
      <c r="GH28" s="154"/>
      <c r="GI28" s="154"/>
      <c r="GJ28" s="154"/>
      <c r="GK28" s="154"/>
      <c r="GL28" s="154"/>
      <c r="GM28" s="154"/>
      <c r="GN28" s="154"/>
      <c r="GO28" s="154"/>
      <c r="GP28" s="154"/>
      <c r="GQ28" s="154"/>
      <c r="GR28" s="154"/>
      <c r="GS28" s="154"/>
      <c r="GT28" s="154"/>
      <c r="GU28" s="154"/>
      <c r="GV28" s="154"/>
      <c r="GW28" s="154"/>
      <c r="GX28" s="154"/>
      <c r="GY28" s="154"/>
      <c r="GZ28" s="154"/>
      <c r="HA28" s="154"/>
      <c r="HB28" s="154"/>
      <c r="HC28" s="154"/>
      <c r="HD28" s="154"/>
      <c r="HE28" s="154"/>
      <c r="HF28" s="154"/>
      <c r="HG28" s="154"/>
      <c r="HH28" s="154"/>
      <c r="HI28" s="154"/>
      <c r="HJ28" s="154"/>
      <c r="HK28" s="154"/>
      <c r="HL28" s="154"/>
      <c r="HM28" s="154"/>
      <c r="HN28" s="154"/>
      <c r="HO28" s="154"/>
      <c r="HP28" s="154"/>
      <c r="HQ28" s="154"/>
      <c r="HR28" s="154"/>
      <c r="HS28" s="154"/>
      <c r="HT28" s="154"/>
      <c r="HU28" s="154"/>
      <c r="HV28" s="154"/>
      <c r="HW28" s="154"/>
      <c r="HX28" s="154"/>
      <c r="HY28" s="154"/>
      <c r="HZ28" s="154"/>
      <c r="IA28" s="154"/>
      <c r="IB28" s="154"/>
      <c r="IC28" s="154"/>
      <c r="ID28" s="154"/>
      <c r="IE28" s="154"/>
      <c r="IF28" s="154"/>
      <c r="IG28" s="154"/>
      <c r="IH28" s="154"/>
      <c r="II28" s="154"/>
      <c r="IJ28" s="154"/>
      <c r="IK28" s="154"/>
      <c r="IL28" s="154"/>
      <c r="IM28" s="154"/>
      <c r="IN28" s="154"/>
    </row>
    <row r="29" spans="1:253" s="149" customFormat="1" ht="14.25" customHeight="1" thickBot="1">
      <c r="A29" s="154"/>
      <c r="B29" s="154"/>
      <c r="C29" s="154"/>
      <c r="D29" s="172">
        <v>5</v>
      </c>
      <c r="E29" s="963" t="s">
        <v>156</v>
      </c>
      <c r="F29" s="964"/>
      <c r="G29" s="170">
        <v>445288.82</v>
      </c>
      <c r="H29" s="173">
        <f t="shared" si="7"/>
        <v>5.534181474835892E-2</v>
      </c>
      <c r="I29" s="208">
        <f t="shared" si="8"/>
        <v>481473.78831072262</v>
      </c>
      <c r="J29" s="178" t="s">
        <v>156</v>
      </c>
      <c r="K29" s="209">
        <f>LS_RPRO!B10+MANUAL!B10+OUTSALE!B10</f>
        <v>214629.95</v>
      </c>
      <c r="L29" s="210">
        <f t="shared" si="24"/>
        <v>-266843.83831072261</v>
      </c>
      <c r="M29" s="211">
        <f>K29/G15</f>
        <v>2.4670109195402301E-2</v>
      </c>
      <c r="N29" s="212">
        <f t="shared" si="25"/>
        <v>-185191.78098676421</v>
      </c>
      <c r="O29" s="207"/>
      <c r="P29" s="170">
        <v>85</v>
      </c>
      <c r="Q29" s="203">
        <f>LS_RPRO!C10+MANUAL!C10+OUTSALE!C10</f>
        <v>1596.06</v>
      </c>
      <c r="R29" s="254">
        <f t="shared" si="9"/>
        <v>17.777176470588234</v>
      </c>
      <c r="S29" s="250"/>
      <c r="T29" s="251"/>
      <c r="U29" s="663"/>
      <c r="V29" s="255" t="e">
        <f t="shared" si="0"/>
        <v>#DIV/0!</v>
      </c>
      <c r="W29" s="664">
        <f t="shared" si="10"/>
        <v>0</v>
      </c>
      <c r="X29" s="253"/>
      <c r="Y29" s="666">
        <f t="shared" si="11"/>
        <v>214629.95</v>
      </c>
      <c r="Z29" s="279" t="e">
        <f t="shared" si="1"/>
        <v>#DIV/0!</v>
      </c>
      <c r="AA29" s="664">
        <f t="shared" si="12"/>
        <v>64388.985000000001</v>
      </c>
      <c r="AB29" s="667">
        <f t="shared" si="2"/>
        <v>64388.985000000001</v>
      </c>
      <c r="AC29" s="668" t="e">
        <f t="shared" si="13"/>
        <v>#DIV/0!</v>
      </c>
      <c r="AD29" s="280"/>
      <c r="AE29" s="676">
        <v>133602.5</v>
      </c>
      <c r="AF29" s="677">
        <f>LS_RPRO!O10+MANUAL!M10+OUTSALE!M10</f>
        <v>168429.69</v>
      </c>
      <c r="AG29" s="678">
        <f t="shared" si="14"/>
        <v>0.26067768192960461</v>
      </c>
      <c r="AH29" s="154"/>
      <c r="AI29" s="686">
        <v>590</v>
      </c>
      <c r="AJ29" s="687">
        <f>LS_RPRO!M10</f>
        <v>687</v>
      </c>
      <c r="AK29" s="688">
        <f t="shared" si="3"/>
        <v>0.16440677966101691</v>
      </c>
      <c r="AL29" s="689">
        <v>95</v>
      </c>
      <c r="AM29" s="690">
        <f>LS_RPRO!H10+MANUAL!H10+OUTSALE!H10</f>
        <v>75</v>
      </c>
      <c r="AN29" s="688">
        <f t="shared" si="4"/>
        <v>-0.21052631578947367</v>
      </c>
      <c r="AO29" s="688">
        <f t="shared" si="5"/>
        <v>0.16101694915254236</v>
      </c>
      <c r="AP29" s="688">
        <f t="shared" si="5"/>
        <v>0.1091703056768559</v>
      </c>
      <c r="AQ29" s="691">
        <f t="shared" si="6"/>
        <v>-5.184664347568646E-2</v>
      </c>
      <c r="AR29" s="154"/>
      <c r="AS29" s="705">
        <v>1</v>
      </c>
      <c r="AT29" s="687">
        <f>LS_RPRO!K10</f>
        <v>5</v>
      </c>
      <c r="AU29" s="688">
        <f t="shared" si="15"/>
        <v>4</v>
      </c>
      <c r="AV29" s="689">
        <v>5</v>
      </c>
      <c r="AW29" s="706">
        <f>LS_RPRO!L10</f>
        <v>1</v>
      </c>
      <c r="AX29" s="688">
        <f t="shared" si="16"/>
        <v>-0.8</v>
      </c>
      <c r="AY29" s="707">
        <f t="shared" si="26"/>
        <v>6</v>
      </c>
      <c r="AZ29" s="708">
        <f t="shared" si="26"/>
        <v>6</v>
      </c>
      <c r="BA29" s="691">
        <f t="shared" si="17"/>
        <v>0</v>
      </c>
      <c r="BB29" s="154"/>
      <c r="BC29" s="718"/>
      <c r="BD29" s="719">
        <v>0</v>
      </c>
      <c r="BE29" s="691" t="e">
        <f t="shared" si="18"/>
        <v>#DIV/0!</v>
      </c>
      <c r="BF29" s="154"/>
      <c r="BG29" s="736"/>
      <c r="BH29" s="728"/>
      <c r="BI29" s="735" t="e">
        <f t="shared" si="19"/>
        <v>#DIV/0!</v>
      </c>
      <c r="BJ29" s="737"/>
      <c r="BK29" s="731"/>
      <c r="BL29" s="732" t="e">
        <f t="shared" si="20"/>
        <v>#DIV/0!</v>
      </c>
      <c r="BM29" s="729" t="e">
        <f t="shared" si="21"/>
        <v>#DIV/0!</v>
      </c>
      <c r="BN29" s="733" t="e">
        <f t="shared" si="21"/>
        <v>#DIV/0!</v>
      </c>
      <c r="BO29" s="734" t="e">
        <f t="shared" si="22"/>
        <v>#DIV/0!</v>
      </c>
      <c r="BP29" s="154"/>
      <c r="BQ29" s="718"/>
      <c r="BR29" s="719"/>
      <c r="BS29" s="691" t="e">
        <f t="shared" si="23"/>
        <v>#DIV/0!</v>
      </c>
      <c r="BT29" s="154"/>
      <c r="BU29" s="154"/>
      <c r="BV29" s="154"/>
      <c r="BW29" s="154"/>
      <c r="BX29" s="154"/>
      <c r="BY29" s="154"/>
      <c r="BZ29" s="154"/>
      <c r="CA29" s="154"/>
      <c r="CB29" s="154"/>
      <c r="CC29" s="154"/>
      <c r="CD29" s="154"/>
      <c r="CE29" s="154"/>
      <c r="CF29" s="154"/>
      <c r="CG29" s="154"/>
      <c r="CH29" s="154"/>
      <c r="CI29" s="154"/>
      <c r="CJ29" s="154"/>
      <c r="CK29" s="154"/>
      <c r="CL29" s="154"/>
      <c r="CM29" s="154"/>
      <c r="CN29" s="154"/>
      <c r="CO29" s="154"/>
      <c r="CP29" s="154"/>
      <c r="CQ29" s="154"/>
      <c r="CR29" s="154"/>
      <c r="CS29" s="154"/>
      <c r="CT29" s="154"/>
      <c r="CU29" s="154"/>
      <c r="CV29" s="154"/>
      <c r="CW29" s="154"/>
      <c r="CX29" s="154"/>
      <c r="CY29" s="154"/>
      <c r="CZ29" s="154"/>
      <c r="DA29" s="154"/>
      <c r="DB29" s="154"/>
      <c r="DC29" s="154"/>
      <c r="DD29" s="154"/>
      <c r="DE29" s="154"/>
      <c r="DF29" s="154"/>
      <c r="DG29" s="154"/>
      <c r="DH29" s="154"/>
      <c r="DI29" s="154"/>
      <c r="DJ29" s="154"/>
      <c r="DK29" s="154"/>
      <c r="DL29" s="154"/>
      <c r="DM29" s="154"/>
      <c r="DN29" s="154"/>
      <c r="DO29" s="154"/>
      <c r="DP29" s="154"/>
      <c r="DQ29" s="154"/>
      <c r="DR29" s="154"/>
      <c r="DS29" s="154"/>
      <c r="DT29" s="154"/>
      <c r="DU29" s="154"/>
      <c r="DV29" s="154"/>
      <c r="DW29" s="154"/>
      <c r="DX29" s="154"/>
      <c r="DY29" s="154"/>
      <c r="DZ29" s="154"/>
      <c r="EA29" s="154"/>
      <c r="EB29" s="154"/>
      <c r="EC29" s="154"/>
      <c r="ED29" s="154"/>
      <c r="EE29" s="154"/>
      <c r="EF29" s="154"/>
      <c r="EG29" s="154"/>
      <c r="EH29" s="154"/>
      <c r="EI29" s="154"/>
      <c r="EJ29" s="154"/>
      <c r="EK29" s="154"/>
      <c r="EL29" s="154"/>
      <c r="EM29" s="154"/>
      <c r="EN29" s="154"/>
      <c r="EO29" s="154"/>
      <c r="EP29" s="154"/>
      <c r="EQ29" s="154"/>
      <c r="ER29" s="154"/>
      <c r="ES29" s="154"/>
      <c r="ET29" s="154"/>
      <c r="EU29" s="154"/>
      <c r="EV29" s="154"/>
      <c r="EW29" s="154"/>
      <c r="EX29" s="154"/>
      <c r="EY29" s="154"/>
      <c r="EZ29" s="154"/>
      <c r="FA29" s="154"/>
      <c r="FB29" s="154"/>
      <c r="FC29" s="154"/>
      <c r="FD29" s="154"/>
      <c r="FE29" s="154"/>
      <c r="FF29" s="154"/>
      <c r="FG29" s="154"/>
      <c r="FH29" s="154"/>
      <c r="FI29" s="154"/>
      <c r="FJ29" s="154"/>
      <c r="FK29" s="154"/>
      <c r="FL29" s="154"/>
      <c r="FM29" s="154"/>
      <c r="FN29" s="154"/>
      <c r="FO29" s="154"/>
      <c r="FP29" s="154"/>
      <c r="FQ29" s="154"/>
      <c r="FR29" s="154"/>
      <c r="FS29" s="154"/>
      <c r="FT29" s="154"/>
      <c r="FU29" s="154"/>
      <c r="FV29" s="154"/>
      <c r="FW29" s="154"/>
      <c r="FX29" s="154"/>
      <c r="FY29" s="154"/>
      <c r="FZ29" s="154"/>
      <c r="GA29" s="154"/>
      <c r="GB29" s="154"/>
      <c r="GC29" s="154"/>
      <c r="GD29" s="154"/>
      <c r="GE29" s="154"/>
      <c r="GF29" s="154"/>
      <c r="GG29" s="154"/>
      <c r="GH29" s="154"/>
      <c r="GI29" s="154"/>
      <c r="GJ29" s="154"/>
      <c r="GK29" s="154"/>
      <c r="GL29" s="154"/>
      <c r="GM29" s="154"/>
      <c r="GN29" s="154"/>
      <c r="GO29" s="154"/>
      <c r="GP29" s="154"/>
      <c r="GQ29" s="154"/>
      <c r="GR29" s="154"/>
      <c r="GS29" s="154"/>
      <c r="GT29" s="154"/>
      <c r="GU29" s="154"/>
      <c r="GV29" s="154"/>
      <c r="GW29" s="154"/>
      <c r="GX29" s="154"/>
      <c r="GY29" s="154"/>
      <c r="GZ29" s="154"/>
      <c r="HA29" s="154"/>
      <c r="HB29" s="154"/>
      <c r="HC29" s="154"/>
      <c r="HD29" s="154"/>
      <c r="HE29" s="154"/>
      <c r="HF29" s="154"/>
      <c r="HG29" s="154"/>
      <c r="HH29" s="154"/>
      <c r="HI29" s="154"/>
      <c r="HJ29" s="154"/>
      <c r="HK29" s="154"/>
      <c r="HL29" s="154"/>
      <c r="HM29" s="154"/>
      <c r="HN29" s="154"/>
      <c r="HO29" s="154"/>
      <c r="HP29" s="154"/>
      <c r="HQ29" s="154"/>
      <c r="HR29" s="154"/>
      <c r="HS29" s="154"/>
      <c r="HT29" s="154"/>
      <c r="HU29" s="154"/>
      <c r="HV29" s="154"/>
      <c r="HW29" s="154"/>
      <c r="HX29" s="154"/>
      <c r="HY29" s="154"/>
      <c r="HZ29" s="154"/>
      <c r="IA29" s="154"/>
      <c r="IB29" s="154"/>
      <c r="IC29" s="154"/>
      <c r="ID29" s="154"/>
      <c r="IE29" s="154"/>
      <c r="IF29" s="154"/>
      <c r="IG29" s="154"/>
      <c r="IH29" s="154"/>
      <c r="II29" s="154"/>
      <c r="IJ29" s="154"/>
      <c r="IK29" s="154"/>
      <c r="IL29" s="154"/>
      <c r="IM29" s="154"/>
      <c r="IN29" s="154"/>
    </row>
    <row r="30" spans="1:253" s="149" customFormat="1" ht="14.25" customHeight="1" thickBot="1">
      <c r="A30" s="154"/>
      <c r="B30" s="154"/>
      <c r="C30" s="154"/>
      <c r="D30" s="172">
        <v>6</v>
      </c>
      <c r="E30" s="963" t="s">
        <v>157</v>
      </c>
      <c r="F30" s="964"/>
      <c r="G30" s="170">
        <v>191197.5</v>
      </c>
      <c r="H30" s="173">
        <f t="shared" si="7"/>
        <v>2.3762592165124097E-2</v>
      </c>
      <c r="I30" s="208">
        <f t="shared" si="8"/>
        <v>206734.55183657966</v>
      </c>
      <c r="J30" s="178" t="s">
        <v>157</v>
      </c>
      <c r="K30" s="209">
        <f>LS_RPRO!B11+MANUAL!B11+OUTSALE!B11</f>
        <v>151874.5</v>
      </c>
      <c r="L30" s="210">
        <f t="shared" si="24"/>
        <v>-54860.05183657966</v>
      </c>
      <c r="M30" s="211">
        <f>K30/G15</f>
        <v>1.7456839080459769E-2</v>
      </c>
      <c r="N30" s="212">
        <f t="shared" si="25"/>
        <v>-240051.83282334387</v>
      </c>
      <c r="O30" s="207"/>
      <c r="P30" s="170">
        <v>45</v>
      </c>
      <c r="Q30" s="203">
        <f>LS_RPRO!C11+MANUAL!C11+OUTSALE!C11</f>
        <v>328.75</v>
      </c>
      <c r="R30" s="254">
        <f t="shared" si="9"/>
        <v>6.3055555555555554</v>
      </c>
      <c r="S30" s="250"/>
      <c r="T30" s="251"/>
      <c r="U30" s="663"/>
      <c r="V30" s="255" t="e">
        <f t="shared" si="0"/>
        <v>#DIV/0!</v>
      </c>
      <c r="W30" s="664">
        <f t="shared" si="10"/>
        <v>0</v>
      </c>
      <c r="X30" s="253"/>
      <c r="Y30" s="666">
        <f t="shared" si="11"/>
        <v>151874.5</v>
      </c>
      <c r="Z30" s="279" t="e">
        <f t="shared" si="1"/>
        <v>#DIV/0!</v>
      </c>
      <c r="AA30" s="664">
        <f t="shared" si="12"/>
        <v>45562.35</v>
      </c>
      <c r="AB30" s="667">
        <f t="shared" si="2"/>
        <v>45562.35</v>
      </c>
      <c r="AC30" s="668" t="e">
        <f t="shared" si="13"/>
        <v>#DIV/0!</v>
      </c>
      <c r="AD30" s="280"/>
      <c r="AE30" s="676">
        <v>162334.45000000001</v>
      </c>
      <c r="AF30" s="677">
        <f>LS_RPRO!O11+MANUAL!M11+OUTSALE!M11</f>
        <v>143597.75</v>
      </c>
      <c r="AG30" s="678">
        <f t="shared" si="14"/>
        <v>-0.11542035593800336</v>
      </c>
      <c r="AH30" s="154"/>
      <c r="AI30" s="686">
        <v>596</v>
      </c>
      <c r="AJ30" s="687">
        <f>LS_RPRO!M11</f>
        <v>333</v>
      </c>
      <c r="AK30" s="688">
        <f t="shared" si="3"/>
        <v>-0.4412751677852349</v>
      </c>
      <c r="AL30" s="689">
        <v>76</v>
      </c>
      <c r="AM30" s="690">
        <f>LS_RPRO!H11+MANUAL!H11+OUTSALE!H11</f>
        <v>72</v>
      </c>
      <c r="AN30" s="688">
        <f t="shared" si="4"/>
        <v>-5.2631578947368474E-2</v>
      </c>
      <c r="AO30" s="688">
        <f t="shared" si="5"/>
        <v>0.12751677852348994</v>
      </c>
      <c r="AP30" s="688">
        <f t="shared" si="5"/>
        <v>0.21621621621621623</v>
      </c>
      <c r="AQ30" s="691">
        <f t="shared" si="6"/>
        <v>8.8699437692726285E-2</v>
      </c>
      <c r="AR30" s="154"/>
      <c r="AS30" s="705">
        <v>0</v>
      </c>
      <c r="AT30" s="687">
        <f>LS_RPRO!K11</f>
        <v>1</v>
      </c>
      <c r="AU30" s="688" t="e">
        <f t="shared" si="15"/>
        <v>#DIV/0!</v>
      </c>
      <c r="AV30" s="689">
        <v>0</v>
      </c>
      <c r="AW30" s="706">
        <f>LS_RPRO!L11</f>
        <v>1</v>
      </c>
      <c r="AX30" s="688" t="e">
        <f t="shared" si="16"/>
        <v>#DIV/0!</v>
      </c>
      <c r="AY30" s="707">
        <f t="shared" si="26"/>
        <v>0</v>
      </c>
      <c r="AZ30" s="708">
        <f t="shared" si="26"/>
        <v>2</v>
      </c>
      <c r="BA30" s="691" t="e">
        <f t="shared" si="17"/>
        <v>#DIV/0!</v>
      </c>
      <c r="BB30" s="154"/>
      <c r="BC30" s="718"/>
      <c r="BD30" s="719">
        <v>0</v>
      </c>
      <c r="BE30" s="691" t="e">
        <f t="shared" si="18"/>
        <v>#DIV/0!</v>
      </c>
      <c r="BF30" s="154"/>
      <c r="BG30" s="736"/>
      <c r="BH30" s="728"/>
      <c r="BI30" s="735" t="e">
        <f t="shared" si="19"/>
        <v>#DIV/0!</v>
      </c>
      <c r="BJ30" s="737"/>
      <c r="BK30" s="731"/>
      <c r="BL30" s="732" t="e">
        <f t="shared" si="20"/>
        <v>#DIV/0!</v>
      </c>
      <c r="BM30" s="729" t="e">
        <f t="shared" si="21"/>
        <v>#DIV/0!</v>
      </c>
      <c r="BN30" s="733" t="e">
        <f t="shared" si="21"/>
        <v>#DIV/0!</v>
      </c>
      <c r="BO30" s="734" t="e">
        <f t="shared" si="22"/>
        <v>#DIV/0!</v>
      </c>
      <c r="BP30" s="154"/>
      <c r="BQ30" s="718"/>
      <c r="BR30" s="719"/>
      <c r="BS30" s="691" t="e">
        <f t="shared" si="23"/>
        <v>#DIV/0!</v>
      </c>
      <c r="BT30" s="154"/>
      <c r="BU30" s="154"/>
      <c r="BV30" s="154"/>
      <c r="BW30" s="154"/>
      <c r="BX30" s="154"/>
      <c r="BY30" s="154"/>
      <c r="BZ30" s="154"/>
      <c r="CA30" s="154"/>
      <c r="CB30" s="154"/>
      <c r="CC30" s="154"/>
      <c r="CD30" s="154"/>
      <c r="CE30" s="154"/>
      <c r="CF30" s="154"/>
      <c r="CG30" s="154"/>
      <c r="CH30" s="154"/>
      <c r="CI30" s="154"/>
      <c r="CJ30" s="154"/>
      <c r="CK30" s="154"/>
      <c r="CL30" s="154"/>
      <c r="CM30" s="154"/>
      <c r="CN30" s="154"/>
      <c r="CO30" s="154"/>
      <c r="CP30" s="154"/>
      <c r="CQ30" s="154"/>
      <c r="CR30" s="154"/>
      <c r="CS30" s="154"/>
      <c r="CT30" s="154"/>
      <c r="CU30" s="154"/>
      <c r="CV30" s="154"/>
      <c r="CW30" s="154"/>
      <c r="CX30" s="154"/>
      <c r="CY30" s="154"/>
      <c r="CZ30" s="154"/>
      <c r="DA30" s="154"/>
      <c r="DB30" s="154"/>
      <c r="DC30" s="154"/>
      <c r="DD30" s="154"/>
      <c r="DE30" s="154"/>
      <c r="DF30" s="154"/>
      <c r="DG30" s="154"/>
      <c r="DH30" s="154"/>
      <c r="DI30" s="154"/>
      <c r="DJ30" s="154"/>
      <c r="DK30" s="154"/>
      <c r="DL30" s="154"/>
      <c r="DM30" s="154"/>
      <c r="DN30" s="154"/>
      <c r="DO30" s="154"/>
      <c r="DP30" s="154"/>
      <c r="DQ30" s="154"/>
      <c r="DR30" s="154"/>
      <c r="DS30" s="154"/>
      <c r="DT30" s="154"/>
      <c r="DU30" s="154"/>
      <c r="DV30" s="154"/>
      <c r="DW30" s="154"/>
      <c r="DX30" s="154"/>
      <c r="DY30" s="154"/>
      <c r="DZ30" s="154"/>
      <c r="EA30" s="154"/>
      <c r="EB30" s="154"/>
      <c r="EC30" s="154"/>
      <c r="ED30" s="154"/>
      <c r="EE30" s="154"/>
      <c r="EF30" s="154"/>
      <c r="EG30" s="154"/>
      <c r="EH30" s="154"/>
      <c r="EI30" s="154"/>
      <c r="EJ30" s="154"/>
      <c r="EK30" s="154"/>
      <c r="EL30" s="154"/>
      <c r="EM30" s="154"/>
      <c r="EN30" s="154"/>
      <c r="EO30" s="154"/>
      <c r="EP30" s="154"/>
      <c r="EQ30" s="154"/>
      <c r="ER30" s="154"/>
      <c r="ES30" s="154"/>
      <c r="ET30" s="154"/>
      <c r="EU30" s="154"/>
      <c r="EV30" s="154"/>
      <c r="EW30" s="154"/>
      <c r="EX30" s="154"/>
      <c r="EY30" s="154"/>
      <c r="EZ30" s="154"/>
      <c r="FA30" s="154"/>
      <c r="FB30" s="154"/>
      <c r="FC30" s="154"/>
      <c r="FD30" s="154"/>
      <c r="FE30" s="154"/>
      <c r="FF30" s="154"/>
      <c r="FG30" s="154"/>
      <c r="FH30" s="154"/>
      <c r="FI30" s="154"/>
      <c r="FJ30" s="154"/>
      <c r="FK30" s="154"/>
      <c r="FL30" s="154"/>
      <c r="FM30" s="154"/>
      <c r="FN30" s="154"/>
      <c r="FO30" s="154"/>
      <c r="FP30" s="154"/>
      <c r="FQ30" s="154"/>
      <c r="FR30" s="154"/>
      <c r="FS30" s="154"/>
      <c r="FT30" s="154"/>
      <c r="FU30" s="154"/>
      <c r="FV30" s="154"/>
      <c r="FW30" s="154"/>
      <c r="FX30" s="154"/>
      <c r="FY30" s="154"/>
      <c r="FZ30" s="154"/>
      <c r="GA30" s="154"/>
      <c r="GB30" s="154"/>
      <c r="GC30" s="154"/>
      <c r="GD30" s="154"/>
      <c r="GE30" s="154"/>
      <c r="GF30" s="154"/>
      <c r="GG30" s="154"/>
      <c r="GH30" s="154"/>
      <c r="GI30" s="154"/>
      <c r="GJ30" s="154"/>
      <c r="GK30" s="154"/>
      <c r="GL30" s="154"/>
      <c r="GM30" s="154"/>
      <c r="GN30" s="154"/>
      <c r="GO30" s="154"/>
      <c r="GP30" s="154"/>
      <c r="GQ30" s="154"/>
      <c r="GR30" s="154"/>
      <c r="GS30" s="154"/>
      <c r="GT30" s="154"/>
      <c r="GU30" s="154"/>
      <c r="GV30" s="154"/>
      <c r="GW30" s="154"/>
      <c r="GX30" s="154"/>
      <c r="GY30" s="154"/>
      <c r="GZ30" s="154"/>
      <c r="HA30" s="154"/>
      <c r="HB30" s="154"/>
      <c r="HC30" s="154"/>
      <c r="HD30" s="154"/>
      <c r="HE30" s="154"/>
      <c r="HF30" s="154"/>
      <c r="HG30" s="154"/>
      <c r="HH30" s="154"/>
      <c r="HI30" s="154"/>
      <c r="HJ30" s="154"/>
      <c r="HK30" s="154"/>
      <c r="HL30" s="154"/>
      <c r="HM30" s="154"/>
      <c r="HN30" s="154"/>
      <c r="HO30" s="154"/>
      <c r="HP30" s="154"/>
      <c r="HQ30" s="154"/>
      <c r="HR30" s="154"/>
      <c r="HS30" s="154"/>
      <c r="HT30" s="154"/>
      <c r="HU30" s="154"/>
      <c r="HV30" s="154"/>
      <c r="HW30" s="154"/>
      <c r="HX30" s="154"/>
      <c r="HY30" s="154"/>
      <c r="HZ30" s="154"/>
      <c r="IA30" s="154"/>
      <c r="IB30" s="154"/>
      <c r="IC30" s="154"/>
      <c r="ID30" s="154"/>
      <c r="IE30" s="154"/>
      <c r="IF30" s="154"/>
      <c r="IG30" s="154"/>
      <c r="IH30" s="154"/>
      <c r="II30" s="154"/>
      <c r="IJ30" s="154"/>
      <c r="IK30" s="154"/>
      <c r="IL30" s="154"/>
      <c r="IM30" s="154"/>
      <c r="IN30" s="154"/>
    </row>
    <row r="31" spans="1:253" s="149" customFormat="1" ht="14.25" customHeight="1" thickBot="1">
      <c r="A31" s="154"/>
      <c r="B31" s="154"/>
      <c r="C31" s="154"/>
      <c r="D31" s="172">
        <v>7</v>
      </c>
      <c r="E31" s="963" t="s">
        <v>158</v>
      </c>
      <c r="F31" s="964"/>
      <c r="G31" s="170">
        <v>206303.95</v>
      </c>
      <c r="H31" s="173">
        <f t="shared" si="7"/>
        <v>2.5640066558946399E-2</v>
      </c>
      <c r="I31" s="208">
        <f t="shared" si="8"/>
        <v>223068.57906283368</v>
      </c>
      <c r="J31" s="178" t="s">
        <v>158</v>
      </c>
      <c r="K31" s="209">
        <f>LS_RPRO!B12+MANUAL!B12+OUTSALE!B12</f>
        <v>116543.95</v>
      </c>
      <c r="L31" s="210">
        <f t="shared" si="24"/>
        <v>-106524.62906283369</v>
      </c>
      <c r="M31" s="211">
        <f>K31/G15</f>
        <v>1.3395856321839081E-2</v>
      </c>
      <c r="N31" s="212">
        <f t="shared" si="25"/>
        <v>-346576.46188617754</v>
      </c>
      <c r="O31" s="207"/>
      <c r="P31" s="170">
        <v>575</v>
      </c>
      <c r="Q31" s="203">
        <f>LS_RPRO!C12+MANUAL!C12+OUTSALE!C12</f>
        <v>966.3</v>
      </c>
      <c r="R31" s="254">
        <f t="shared" si="9"/>
        <v>0.68052173913043468</v>
      </c>
      <c r="S31" s="250"/>
      <c r="T31" s="251"/>
      <c r="U31" s="663"/>
      <c r="V31" s="255" t="e">
        <f t="shared" si="0"/>
        <v>#DIV/0!</v>
      </c>
      <c r="W31" s="664">
        <f t="shared" si="10"/>
        <v>0</v>
      </c>
      <c r="X31" s="253"/>
      <c r="Y31" s="666">
        <f t="shared" si="11"/>
        <v>116543.95</v>
      </c>
      <c r="Z31" s="279" t="e">
        <f t="shared" si="1"/>
        <v>#DIV/0!</v>
      </c>
      <c r="AA31" s="664">
        <f t="shared" si="12"/>
        <v>34963.184999999998</v>
      </c>
      <c r="AB31" s="667">
        <f t="shared" si="2"/>
        <v>34963.184999999998</v>
      </c>
      <c r="AC31" s="668" t="e">
        <f t="shared" si="13"/>
        <v>#DIV/0!</v>
      </c>
      <c r="AD31" s="280"/>
      <c r="AE31" s="676">
        <v>135150.39999999999</v>
      </c>
      <c r="AF31" s="677">
        <f>LS_RPRO!O12+MANUAL!M12+OUTSALE!M12</f>
        <v>81910.399999999994</v>
      </c>
      <c r="AG31" s="678">
        <f t="shared" si="14"/>
        <v>-0.39393150149759087</v>
      </c>
      <c r="AH31" s="154"/>
      <c r="AI31" s="686">
        <v>516</v>
      </c>
      <c r="AJ31" s="687">
        <f>LS_RPRO!M12</f>
        <v>316</v>
      </c>
      <c r="AK31" s="688">
        <f t="shared" si="3"/>
        <v>-0.38759689922480622</v>
      </c>
      <c r="AL31" s="689">
        <v>71</v>
      </c>
      <c r="AM31" s="690">
        <f>LS_RPRO!H12+MANUAL!H12+OUTSALE!H12</f>
        <v>50</v>
      </c>
      <c r="AN31" s="688">
        <f t="shared" si="4"/>
        <v>-0.29577464788732399</v>
      </c>
      <c r="AO31" s="688">
        <f t="shared" si="5"/>
        <v>0.1375968992248062</v>
      </c>
      <c r="AP31" s="688">
        <f t="shared" si="5"/>
        <v>0.15822784810126583</v>
      </c>
      <c r="AQ31" s="691">
        <f t="shared" si="6"/>
        <v>2.0630948876459637E-2</v>
      </c>
      <c r="AR31" s="154"/>
      <c r="AS31" s="705">
        <v>0</v>
      </c>
      <c r="AT31" s="687">
        <f>LS_RPRO!K12</f>
        <v>0</v>
      </c>
      <c r="AU31" s="688" t="e">
        <f t="shared" si="15"/>
        <v>#DIV/0!</v>
      </c>
      <c r="AV31" s="689">
        <v>5</v>
      </c>
      <c r="AW31" s="706">
        <f>LS_RPRO!L12</f>
        <v>0</v>
      </c>
      <c r="AX31" s="688">
        <f t="shared" si="16"/>
        <v>-1</v>
      </c>
      <c r="AY31" s="707">
        <f t="shared" si="26"/>
        <v>5</v>
      </c>
      <c r="AZ31" s="708">
        <f t="shared" si="26"/>
        <v>0</v>
      </c>
      <c r="BA31" s="691">
        <f t="shared" si="17"/>
        <v>-1</v>
      </c>
      <c r="BB31" s="154"/>
      <c r="BC31" s="718"/>
      <c r="BD31" s="719">
        <v>0</v>
      </c>
      <c r="BE31" s="691" t="e">
        <f t="shared" si="18"/>
        <v>#DIV/0!</v>
      </c>
      <c r="BF31" s="154"/>
      <c r="BG31" s="727"/>
      <c r="BH31" s="728"/>
      <c r="BI31" s="735" t="e">
        <f t="shared" si="19"/>
        <v>#DIV/0!</v>
      </c>
      <c r="BJ31" s="730"/>
      <c r="BK31" s="731"/>
      <c r="BL31" s="732" t="e">
        <f t="shared" si="20"/>
        <v>#DIV/0!</v>
      </c>
      <c r="BM31" s="729" t="e">
        <f t="shared" si="21"/>
        <v>#DIV/0!</v>
      </c>
      <c r="BN31" s="733" t="e">
        <f t="shared" si="21"/>
        <v>#DIV/0!</v>
      </c>
      <c r="BO31" s="734" t="e">
        <f t="shared" si="22"/>
        <v>#DIV/0!</v>
      </c>
      <c r="BP31" s="154"/>
      <c r="BQ31" s="718"/>
      <c r="BR31" s="719"/>
      <c r="BS31" s="691" t="e">
        <f t="shared" si="23"/>
        <v>#DIV/0!</v>
      </c>
      <c r="BT31" s="154"/>
      <c r="BU31" s="154"/>
      <c r="BV31" s="154"/>
      <c r="BW31" s="154"/>
      <c r="BX31" s="154"/>
      <c r="BY31" s="154"/>
      <c r="BZ31" s="154"/>
      <c r="CA31" s="154"/>
      <c r="CB31" s="154"/>
      <c r="CC31" s="154"/>
      <c r="CD31" s="154"/>
      <c r="CE31" s="154"/>
      <c r="CF31" s="154"/>
      <c r="CG31" s="154"/>
      <c r="CH31" s="154"/>
      <c r="CI31" s="154"/>
      <c r="CJ31" s="154"/>
      <c r="CK31" s="154"/>
      <c r="CL31" s="154"/>
      <c r="CM31" s="154"/>
      <c r="CN31" s="154"/>
      <c r="CO31" s="154"/>
      <c r="CP31" s="154"/>
      <c r="CQ31" s="154"/>
      <c r="CR31" s="154"/>
      <c r="CS31" s="154"/>
      <c r="CT31" s="154"/>
      <c r="CU31" s="154"/>
      <c r="CV31" s="154"/>
      <c r="CW31" s="154"/>
      <c r="CX31" s="154"/>
      <c r="CY31" s="154"/>
      <c r="CZ31" s="154"/>
      <c r="DA31" s="154"/>
      <c r="DB31" s="154"/>
      <c r="DC31" s="154"/>
      <c r="DD31" s="154"/>
      <c r="DE31" s="154"/>
      <c r="DF31" s="154"/>
      <c r="DG31" s="154"/>
      <c r="DH31" s="154"/>
      <c r="DI31" s="154"/>
      <c r="DJ31" s="154"/>
      <c r="DK31" s="154"/>
      <c r="DL31" s="154"/>
      <c r="DM31" s="154"/>
      <c r="DN31" s="154"/>
      <c r="DO31" s="154"/>
      <c r="DP31" s="154"/>
      <c r="DQ31" s="154"/>
      <c r="DR31" s="154"/>
      <c r="DS31" s="154"/>
      <c r="DT31" s="154"/>
      <c r="DU31" s="154"/>
      <c r="DV31" s="154"/>
      <c r="DW31" s="154"/>
      <c r="DX31" s="154"/>
      <c r="DY31" s="154"/>
      <c r="DZ31" s="154"/>
      <c r="EA31" s="154"/>
      <c r="EB31" s="154"/>
      <c r="EC31" s="154"/>
      <c r="ED31" s="154"/>
      <c r="EE31" s="154"/>
      <c r="EF31" s="154"/>
      <c r="EG31" s="154"/>
      <c r="EH31" s="154"/>
      <c r="EI31" s="154"/>
      <c r="EJ31" s="154"/>
      <c r="EK31" s="154"/>
      <c r="EL31" s="154"/>
      <c r="EM31" s="154"/>
      <c r="EN31" s="154"/>
      <c r="EO31" s="154"/>
      <c r="EP31" s="154"/>
      <c r="EQ31" s="154"/>
      <c r="ER31" s="154"/>
      <c r="ES31" s="154"/>
      <c r="ET31" s="154"/>
      <c r="EU31" s="154"/>
      <c r="EV31" s="154"/>
      <c r="EW31" s="154"/>
      <c r="EX31" s="154"/>
      <c r="EY31" s="154"/>
      <c r="EZ31" s="154"/>
      <c r="FA31" s="154"/>
      <c r="FB31" s="154"/>
      <c r="FC31" s="154"/>
      <c r="FD31" s="154"/>
      <c r="FE31" s="154"/>
      <c r="FF31" s="154"/>
      <c r="FG31" s="154"/>
      <c r="FH31" s="154"/>
      <c r="FI31" s="154"/>
      <c r="FJ31" s="154"/>
      <c r="FK31" s="154"/>
      <c r="FL31" s="154"/>
      <c r="FM31" s="154"/>
      <c r="FN31" s="154"/>
      <c r="FO31" s="154"/>
      <c r="FP31" s="154"/>
      <c r="FQ31" s="154"/>
      <c r="FR31" s="154"/>
      <c r="FS31" s="154"/>
      <c r="FT31" s="154"/>
      <c r="FU31" s="154"/>
      <c r="FV31" s="154"/>
      <c r="FW31" s="154"/>
      <c r="FX31" s="154"/>
      <c r="FY31" s="154"/>
      <c r="FZ31" s="154"/>
      <c r="GA31" s="154"/>
      <c r="GB31" s="154"/>
      <c r="GC31" s="154"/>
      <c r="GD31" s="154"/>
      <c r="GE31" s="154"/>
      <c r="GF31" s="154"/>
      <c r="GG31" s="154"/>
      <c r="GH31" s="154"/>
      <c r="GI31" s="154"/>
      <c r="GJ31" s="154"/>
      <c r="GK31" s="154"/>
      <c r="GL31" s="154"/>
      <c r="GM31" s="154"/>
      <c r="GN31" s="154"/>
      <c r="GO31" s="154"/>
      <c r="GP31" s="154"/>
      <c r="GQ31" s="154"/>
      <c r="GR31" s="154"/>
      <c r="GS31" s="154"/>
      <c r="GT31" s="154"/>
      <c r="GU31" s="154"/>
      <c r="GV31" s="154"/>
      <c r="GW31" s="154"/>
      <c r="GX31" s="154"/>
      <c r="GY31" s="154"/>
      <c r="GZ31" s="154"/>
      <c r="HA31" s="154"/>
      <c r="HB31" s="154"/>
      <c r="HC31" s="154"/>
      <c r="HD31" s="154"/>
      <c r="HE31" s="154"/>
      <c r="HF31" s="154"/>
      <c r="HG31" s="154"/>
      <c r="HH31" s="154"/>
      <c r="HI31" s="154"/>
      <c r="HJ31" s="154"/>
      <c r="HK31" s="154"/>
      <c r="HL31" s="154"/>
      <c r="HM31" s="154"/>
      <c r="HN31" s="154"/>
      <c r="HO31" s="154"/>
      <c r="HP31" s="154"/>
      <c r="HQ31" s="154"/>
      <c r="HR31" s="154"/>
      <c r="HS31" s="154"/>
      <c r="HT31" s="154"/>
      <c r="HU31" s="154"/>
      <c r="HV31" s="154"/>
      <c r="HW31" s="154"/>
      <c r="HX31" s="154"/>
      <c r="HY31" s="154"/>
      <c r="HZ31" s="154"/>
      <c r="IA31" s="154"/>
      <c r="IB31" s="154"/>
      <c r="IC31" s="154"/>
      <c r="ID31" s="154"/>
      <c r="IE31" s="154"/>
      <c r="IF31" s="154"/>
      <c r="IG31" s="154"/>
      <c r="IH31" s="154"/>
      <c r="II31" s="154"/>
      <c r="IJ31" s="154"/>
      <c r="IK31" s="154"/>
      <c r="IL31" s="154"/>
      <c r="IM31" s="154"/>
      <c r="IN31" s="154"/>
    </row>
    <row r="32" spans="1:253" s="149" customFormat="1" ht="14.25" customHeight="1" thickBot="1">
      <c r="A32" s="154"/>
      <c r="B32" s="154"/>
      <c r="C32" s="154"/>
      <c r="D32" s="172">
        <v>8</v>
      </c>
      <c r="E32" s="963" t="s">
        <v>159</v>
      </c>
      <c r="F32" s="964"/>
      <c r="G32" s="170">
        <v>169083.9</v>
      </c>
      <c r="H32" s="173">
        <f t="shared" si="7"/>
        <v>2.1014248394401736E-2</v>
      </c>
      <c r="I32" s="208">
        <f t="shared" si="8"/>
        <v>182823.9610312951</v>
      </c>
      <c r="J32" s="178" t="s">
        <v>159</v>
      </c>
      <c r="K32" s="209">
        <f>LS_RPRO!B13+MANUAL!B13+OUTSALE!B13</f>
        <v>146954.5</v>
      </c>
      <c r="L32" s="210">
        <f t="shared" si="24"/>
        <v>-35869.461031295097</v>
      </c>
      <c r="M32" s="211">
        <f>K32/G15</f>
        <v>1.6891321839080459E-2</v>
      </c>
      <c r="N32" s="212">
        <f t="shared" si="25"/>
        <v>-382445.92291747266</v>
      </c>
      <c r="O32" s="207"/>
      <c r="P32" s="170">
        <v>135.75</v>
      </c>
      <c r="Q32" s="203">
        <f>LS_RPRO!C13+MANUAL!C13+OUTSALE!C13</f>
        <v>1268.25</v>
      </c>
      <c r="R32" s="254">
        <f t="shared" si="9"/>
        <v>8.3425414364640886</v>
      </c>
      <c r="S32" s="250"/>
      <c r="T32" s="251"/>
      <c r="U32" s="663"/>
      <c r="V32" s="255" t="e">
        <f t="shared" si="0"/>
        <v>#DIV/0!</v>
      </c>
      <c r="W32" s="664">
        <f t="shared" si="10"/>
        <v>0</v>
      </c>
      <c r="X32" s="253"/>
      <c r="Y32" s="666">
        <f t="shared" si="11"/>
        <v>146954.5</v>
      </c>
      <c r="Z32" s="279" t="e">
        <f t="shared" si="1"/>
        <v>#DIV/0!</v>
      </c>
      <c r="AA32" s="664">
        <f t="shared" si="12"/>
        <v>44086.35</v>
      </c>
      <c r="AB32" s="667">
        <f t="shared" si="2"/>
        <v>44086.35</v>
      </c>
      <c r="AC32" s="668" t="e">
        <f t="shared" si="13"/>
        <v>#DIV/0!</v>
      </c>
      <c r="AD32" s="280"/>
      <c r="AE32" s="676">
        <v>84825.25</v>
      </c>
      <c r="AF32" s="677">
        <f>LS_RPRO!O13+MANUAL!M13+OUTSALE!M13</f>
        <v>120065.25</v>
      </c>
      <c r="AG32" s="678">
        <f t="shared" si="14"/>
        <v>0.41544233586107909</v>
      </c>
      <c r="AH32" s="154"/>
      <c r="AI32" s="686">
        <v>554</v>
      </c>
      <c r="AJ32" s="687">
        <f>LS_RPRO!M13</f>
        <v>478</v>
      </c>
      <c r="AK32" s="688">
        <f t="shared" si="3"/>
        <v>-0.13718411552346566</v>
      </c>
      <c r="AL32" s="689">
        <v>82</v>
      </c>
      <c r="AM32" s="690">
        <f>LS_RPRO!H13+MANUAL!H13+OUTSALE!H13</f>
        <v>67</v>
      </c>
      <c r="AN32" s="688">
        <f t="shared" si="4"/>
        <v>-0.18292682926829273</v>
      </c>
      <c r="AO32" s="688">
        <f t="shared" si="5"/>
        <v>0.14801444043321299</v>
      </c>
      <c r="AP32" s="688">
        <f t="shared" si="5"/>
        <v>0.14016736401673641</v>
      </c>
      <c r="AQ32" s="691">
        <f t="shared" si="6"/>
        <v>-7.8470764164765838E-3</v>
      </c>
      <c r="AR32" s="154"/>
      <c r="AS32" s="705">
        <v>0</v>
      </c>
      <c r="AT32" s="687">
        <f>LS_RPRO!K13</f>
        <v>0</v>
      </c>
      <c r="AU32" s="688" t="e">
        <f t="shared" si="15"/>
        <v>#DIV/0!</v>
      </c>
      <c r="AV32" s="689">
        <v>0</v>
      </c>
      <c r="AW32" s="706">
        <f>LS_RPRO!L13</f>
        <v>0</v>
      </c>
      <c r="AX32" s="688" t="e">
        <f t="shared" si="16"/>
        <v>#DIV/0!</v>
      </c>
      <c r="AY32" s="707">
        <f t="shared" si="26"/>
        <v>0</v>
      </c>
      <c r="AZ32" s="708">
        <f t="shared" si="26"/>
        <v>0</v>
      </c>
      <c r="BA32" s="691" t="e">
        <f t="shared" si="17"/>
        <v>#DIV/0!</v>
      </c>
      <c r="BB32" s="154"/>
      <c r="BC32" s="718"/>
      <c r="BD32" s="719">
        <v>0</v>
      </c>
      <c r="BE32" s="691" t="e">
        <f t="shared" si="18"/>
        <v>#DIV/0!</v>
      </c>
      <c r="BF32" s="154"/>
      <c r="BG32" s="727"/>
      <c r="BH32" s="728"/>
      <c r="BI32" s="735" t="e">
        <f t="shared" si="19"/>
        <v>#DIV/0!</v>
      </c>
      <c r="BJ32" s="730"/>
      <c r="BK32" s="731"/>
      <c r="BL32" s="732" t="e">
        <f t="shared" si="20"/>
        <v>#DIV/0!</v>
      </c>
      <c r="BM32" s="729" t="e">
        <f t="shared" si="21"/>
        <v>#DIV/0!</v>
      </c>
      <c r="BN32" s="733" t="e">
        <f t="shared" si="21"/>
        <v>#DIV/0!</v>
      </c>
      <c r="BO32" s="734" t="e">
        <f t="shared" si="22"/>
        <v>#DIV/0!</v>
      </c>
      <c r="BP32" s="154"/>
      <c r="BQ32" s="718"/>
      <c r="BR32" s="719"/>
      <c r="BS32" s="691" t="e">
        <f t="shared" si="23"/>
        <v>#DIV/0!</v>
      </c>
      <c r="BT32" s="154"/>
      <c r="BU32" s="154"/>
      <c r="BV32" s="154"/>
      <c r="BW32" s="154"/>
      <c r="BX32" s="154"/>
      <c r="BY32" s="154"/>
      <c r="BZ32" s="154"/>
      <c r="CA32" s="154"/>
      <c r="CB32" s="154"/>
      <c r="CC32" s="154"/>
      <c r="CD32" s="154"/>
      <c r="CE32" s="154"/>
      <c r="CF32" s="154"/>
      <c r="CG32" s="154"/>
      <c r="CH32" s="154"/>
      <c r="CI32" s="154"/>
      <c r="CJ32" s="154"/>
      <c r="CK32" s="154"/>
      <c r="CL32" s="154"/>
      <c r="CM32" s="154"/>
      <c r="CN32" s="154"/>
      <c r="CO32" s="154"/>
      <c r="CP32" s="154"/>
      <c r="CQ32" s="154"/>
      <c r="CR32" s="154"/>
      <c r="CS32" s="154"/>
      <c r="CT32" s="154"/>
      <c r="CU32" s="154"/>
      <c r="CV32" s="154"/>
      <c r="CW32" s="154"/>
      <c r="CX32" s="154"/>
      <c r="CY32" s="154"/>
      <c r="CZ32" s="154"/>
      <c r="DA32" s="154"/>
      <c r="DB32" s="154"/>
      <c r="DC32" s="154"/>
      <c r="DD32" s="154"/>
      <c r="DE32" s="154"/>
      <c r="DF32" s="154"/>
      <c r="DG32" s="154"/>
      <c r="DH32" s="154"/>
      <c r="DI32" s="154"/>
      <c r="DJ32" s="154"/>
      <c r="DK32" s="154"/>
      <c r="DL32" s="154"/>
      <c r="DM32" s="154"/>
      <c r="DN32" s="154"/>
      <c r="DO32" s="154"/>
      <c r="DP32" s="154"/>
      <c r="DQ32" s="154"/>
      <c r="DR32" s="154"/>
      <c r="DS32" s="154"/>
      <c r="DT32" s="154"/>
      <c r="DU32" s="154"/>
      <c r="DV32" s="154"/>
      <c r="DW32" s="154"/>
      <c r="DX32" s="154"/>
      <c r="DY32" s="154"/>
      <c r="DZ32" s="154"/>
      <c r="EA32" s="154"/>
      <c r="EB32" s="154"/>
      <c r="EC32" s="154"/>
      <c r="ED32" s="154"/>
      <c r="EE32" s="154"/>
      <c r="EF32" s="154"/>
      <c r="EG32" s="154"/>
      <c r="EH32" s="154"/>
      <c r="EI32" s="154"/>
      <c r="EJ32" s="154"/>
      <c r="EK32" s="154"/>
      <c r="EL32" s="154"/>
      <c r="EM32" s="154"/>
      <c r="EN32" s="154"/>
      <c r="EO32" s="154"/>
      <c r="EP32" s="154"/>
      <c r="EQ32" s="154"/>
      <c r="ER32" s="154"/>
      <c r="ES32" s="154"/>
      <c r="ET32" s="154"/>
      <c r="EU32" s="154"/>
      <c r="EV32" s="154"/>
      <c r="EW32" s="154"/>
      <c r="EX32" s="154"/>
      <c r="EY32" s="154"/>
      <c r="EZ32" s="154"/>
      <c r="FA32" s="154"/>
      <c r="FB32" s="154"/>
      <c r="FC32" s="154"/>
      <c r="FD32" s="154"/>
      <c r="FE32" s="154"/>
      <c r="FF32" s="154"/>
      <c r="FG32" s="154"/>
      <c r="FH32" s="154"/>
      <c r="FI32" s="154"/>
      <c r="FJ32" s="154"/>
      <c r="FK32" s="154"/>
      <c r="FL32" s="154"/>
      <c r="FM32" s="154"/>
      <c r="FN32" s="154"/>
      <c r="FO32" s="154"/>
      <c r="FP32" s="154"/>
      <c r="FQ32" s="154"/>
      <c r="FR32" s="154"/>
      <c r="FS32" s="154"/>
      <c r="FT32" s="154"/>
      <c r="FU32" s="154"/>
      <c r="FV32" s="154"/>
      <c r="FW32" s="154"/>
      <c r="FX32" s="154"/>
      <c r="FY32" s="154"/>
      <c r="FZ32" s="154"/>
      <c r="GA32" s="154"/>
      <c r="GB32" s="154"/>
      <c r="GC32" s="154"/>
      <c r="GD32" s="154"/>
      <c r="GE32" s="154"/>
      <c r="GF32" s="154"/>
      <c r="GG32" s="154"/>
      <c r="GH32" s="154"/>
      <c r="GI32" s="154"/>
      <c r="GJ32" s="154"/>
      <c r="GK32" s="154"/>
      <c r="GL32" s="154"/>
      <c r="GM32" s="154"/>
      <c r="GN32" s="154"/>
      <c r="GO32" s="154"/>
      <c r="GP32" s="154"/>
      <c r="GQ32" s="154"/>
      <c r="GR32" s="154"/>
      <c r="GS32" s="154"/>
      <c r="GT32" s="154"/>
      <c r="GU32" s="154"/>
      <c r="GV32" s="154"/>
      <c r="GW32" s="154"/>
      <c r="GX32" s="154"/>
      <c r="GY32" s="154"/>
      <c r="GZ32" s="154"/>
      <c r="HA32" s="154"/>
      <c r="HB32" s="154"/>
      <c r="HC32" s="154"/>
      <c r="HD32" s="154"/>
      <c r="HE32" s="154"/>
      <c r="HF32" s="154"/>
      <c r="HG32" s="154"/>
      <c r="HH32" s="154"/>
      <c r="HI32" s="154"/>
      <c r="HJ32" s="154"/>
      <c r="HK32" s="154"/>
      <c r="HL32" s="154"/>
      <c r="HM32" s="154"/>
      <c r="HN32" s="154"/>
      <c r="HO32" s="154"/>
      <c r="HP32" s="154"/>
      <c r="HQ32" s="154"/>
      <c r="HR32" s="154"/>
      <c r="HS32" s="154"/>
      <c r="HT32" s="154"/>
      <c r="HU32" s="154"/>
      <c r="HV32" s="154"/>
      <c r="HW32" s="154"/>
      <c r="HX32" s="154"/>
      <c r="HY32" s="154"/>
      <c r="HZ32" s="154"/>
      <c r="IA32" s="154"/>
      <c r="IB32" s="154"/>
      <c r="IC32" s="154"/>
      <c r="ID32" s="154"/>
      <c r="IE32" s="154"/>
      <c r="IF32" s="154"/>
      <c r="IG32" s="154"/>
      <c r="IH32" s="154"/>
      <c r="II32" s="154"/>
      <c r="IJ32" s="154"/>
      <c r="IK32" s="154"/>
      <c r="IL32" s="154"/>
      <c r="IM32" s="154"/>
      <c r="IN32" s="154"/>
    </row>
    <row r="33" spans="1:248" s="149" customFormat="1" ht="14.25" customHeight="1" thickBot="1">
      <c r="A33" s="154"/>
      <c r="B33" s="154"/>
      <c r="C33" s="154"/>
      <c r="D33" s="172">
        <v>9</v>
      </c>
      <c r="E33" s="963" t="s">
        <v>160</v>
      </c>
      <c r="F33" s="964"/>
      <c r="G33" s="170">
        <v>173091.25</v>
      </c>
      <c r="H33" s="173">
        <f t="shared" si="7"/>
        <v>2.1512293733451204E-2</v>
      </c>
      <c r="I33" s="208">
        <f t="shared" si="8"/>
        <v>187156.95548102548</v>
      </c>
      <c r="J33" s="178" t="s">
        <v>160</v>
      </c>
      <c r="K33" s="209">
        <f>LS_RPRO!B14+MANUAL!B14+OUTSALE!B14</f>
        <v>198378.74</v>
      </c>
      <c r="L33" s="210">
        <f t="shared" si="24"/>
        <v>11221.784518974513</v>
      </c>
      <c r="M33" s="211">
        <f>K33/G15</f>
        <v>2.2802154022988505E-2</v>
      </c>
      <c r="N33" s="212">
        <f t="shared" si="25"/>
        <v>-371224.13839849818</v>
      </c>
      <c r="O33" s="207"/>
      <c r="P33" s="170">
        <v>0</v>
      </c>
      <c r="Q33" s="203">
        <f>LS_RPRO!C14+MANUAL!C14+OUTSALE!C14</f>
        <v>1337.3</v>
      </c>
      <c r="R33" s="254" t="e">
        <f t="shared" si="9"/>
        <v>#DIV/0!</v>
      </c>
      <c r="S33" s="250"/>
      <c r="T33" s="251"/>
      <c r="U33" s="663"/>
      <c r="V33" s="255" t="e">
        <f t="shared" si="0"/>
        <v>#DIV/0!</v>
      </c>
      <c r="W33" s="664">
        <f t="shared" si="10"/>
        <v>0</v>
      </c>
      <c r="X33" s="253"/>
      <c r="Y33" s="666">
        <f t="shared" si="11"/>
        <v>198378.74</v>
      </c>
      <c r="Z33" s="279" t="e">
        <f t="shared" si="1"/>
        <v>#DIV/0!</v>
      </c>
      <c r="AA33" s="664">
        <f t="shared" si="12"/>
        <v>59513.621999999996</v>
      </c>
      <c r="AB33" s="667">
        <f t="shared" si="2"/>
        <v>59513.621999999996</v>
      </c>
      <c r="AC33" s="668" t="e">
        <f t="shared" si="13"/>
        <v>#DIV/0!</v>
      </c>
      <c r="AD33" s="280"/>
      <c r="AE33" s="676">
        <v>158053.25</v>
      </c>
      <c r="AF33" s="677">
        <f>LS_RPRO!O14+MANUAL!M14+OUTSALE!M14</f>
        <v>169130.25</v>
      </c>
      <c r="AG33" s="678">
        <f t="shared" si="14"/>
        <v>7.0083974862902215E-2</v>
      </c>
      <c r="AH33" s="154"/>
      <c r="AI33" s="686">
        <v>623</v>
      </c>
      <c r="AJ33" s="687">
        <f>LS_RPRO!M14</f>
        <v>531</v>
      </c>
      <c r="AK33" s="688">
        <f t="shared" si="3"/>
        <v>-0.1476725521669342</v>
      </c>
      <c r="AL33" s="689">
        <v>107</v>
      </c>
      <c r="AM33" s="690">
        <f>LS_RPRO!H14+MANUAL!H14+OUTSALE!H14</f>
        <v>81</v>
      </c>
      <c r="AN33" s="688">
        <f t="shared" si="4"/>
        <v>-0.2429906542056075</v>
      </c>
      <c r="AO33" s="688">
        <f t="shared" si="5"/>
        <v>0.17174959871589085</v>
      </c>
      <c r="AP33" s="688">
        <f t="shared" si="5"/>
        <v>0.15254237288135594</v>
      </c>
      <c r="AQ33" s="691">
        <f t="shared" si="6"/>
        <v>-1.9207225834534908E-2</v>
      </c>
      <c r="AR33" s="154"/>
      <c r="AS33" s="705">
        <v>3</v>
      </c>
      <c r="AT33" s="687">
        <f>LS_RPRO!K14</f>
        <v>1</v>
      </c>
      <c r="AU33" s="688">
        <f t="shared" si="15"/>
        <v>-0.66666666666666663</v>
      </c>
      <c r="AV33" s="689">
        <v>6</v>
      </c>
      <c r="AW33" s="706">
        <f>LS_RPRO!L14</f>
        <v>6</v>
      </c>
      <c r="AX33" s="688">
        <f t="shared" si="16"/>
        <v>0</v>
      </c>
      <c r="AY33" s="707">
        <f t="shared" si="26"/>
        <v>9</v>
      </c>
      <c r="AZ33" s="708">
        <f t="shared" si="26"/>
        <v>7</v>
      </c>
      <c r="BA33" s="691">
        <f t="shared" si="17"/>
        <v>-0.22222222222222221</v>
      </c>
      <c r="BB33" s="154"/>
      <c r="BC33" s="718"/>
      <c r="BD33" s="719">
        <v>0</v>
      </c>
      <c r="BE33" s="691" t="e">
        <f t="shared" si="18"/>
        <v>#DIV/0!</v>
      </c>
      <c r="BF33" s="154"/>
      <c r="BG33" s="727"/>
      <c r="BH33" s="728"/>
      <c r="BI33" s="735" t="e">
        <f t="shared" si="19"/>
        <v>#DIV/0!</v>
      </c>
      <c r="BJ33" s="730"/>
      <c r="BK33" s="731"/>
      <c r="BL33" s="732" t="e">
        <f t="shared" si="20"/>
        <v>#DIV/0!</v>
      </c>
      <c r="BM33" s="729" t="e">
        <f t="shared" si="21"/>
        <v>#DIV/0!</v>
      </c>
      <c r="BN33" s="733" t="e">
        <f t="shared" si="21"/>
        <v>#DIV/0!</v>
      </c>
      <c r="BO33" s="734" t="e">
        <f t="shared" si="22"/>
        <v>#DIV/0!</v>
      </c>
      <c r="BP33" s="154"/>
      <c r="BQ33" s="718"/>
      <c r="BR33" s="719"/>
      <c r="BS33" s="691" t="e">
        <f t="shared" si="23"/>
        <v>#DIV/0!</v>
      </c>
      <c r="BT33" s="154"/>
      <c r="BU33" s="154"/>
      <c r="BV33" s="154"/>
      <c r="BW33" s="154"/>
      <c r="BX33" s="154"/>
      <c r="BY33" s="154"/>
      <c r="BZ33" s="154"/>
      <c r="CA33" s="154"/>
      <c r="CB33" s="154"/>
      <c r="CC33" s="154"/>
      <c r="CD33" s="154"/>
      <c r="CE33" s="154"/>
      <c r="CF33" s="154"/>
      <c r="CG33" s="154"/>
      <c r="CH33" s="154"/>
      <c r="CI33" s="154"/>
      <c r="CJ33" s="154"/>
      <c r="CK33" s="154"/>
      <c r="CL33" s="154"/>
      <c r="CM33" s="154"/>
      <c r="CN33" s="154"/>
      <c r="CO33" s="154"/>
      <c r="CP33" s="154"/>
      <c r="CQ33" s="154"/>
      <c r="CR33" s="154"/>
      <c r="CS33" s="154"/>
      <c r="CT33" s="154"/>
      <c r="CU33" s="154"/>
      <c r="CV33" s="154"/>
      <c r="CW33" s="154"/>
      <c r="CX33" s="154"/>
      <c r="CY33" s="154"/>
      <c r="CZ33" s="154"/>
      <c r="DA33" s="154"/>
      <c r="DB33" s="154"/>
      <c r="DC33" s="154"/>
      <c r="DD33" s="154"/>
      <c r="DE33" s="154"/>
      <c r="DF33" s="154"/>
      <c r="DG33" s="154"/>
      <c r="DH33" s="154"/>
      <c r="DI33" s="154"/>
      <c r="DJ33" s="154"/>
      <c r="DK33" s="154"/>
      <c r="DL33" s="154"/>
      <c r="DM33" s="154"/>
      <c r="DN33" s="154"/>
      <c r="DO33" s="154"/>
      <c r="DP33" s="154"/>
      <c r="DQ33" s="154"/>
      <c r="DR33" s="154"/>
      <c r="DS33" s="154"/>
      <c r="DT33" s="154"/>
      <c r="DU33" s="154"/>
      <c r="DV33" s="154"/>
      <c r="DW33" s="154"/>
      <c r="DX33" s="154"/>
      <c r="DY33" s="154"/>
      <c r="DZ33" s="154"/>
      <c r="EA33" s="154"/>
      <c r="EB33" s="154"/>
      <c r="EC33" s="154"/>
      <c r="ED33" s="154"/>
      <c r="EE33" s="154"/>
      <c r="EF33" s="154"/>
      <c r="EG33" s="154"/>
      <c r="EH33" s="154"/>
      <c r="EI33" s="154"/>
      <c r="EJ33" s="154"/>
      <c r="EK33" s="154"/>
      <c r="EL33" s="154"/>
      <c r="EM33" s="154"/>
      <c r="EN33" s="154"/>
      <c r="EO33" s="154"/>
      <c r="EP33" s="154"/>
      <c r="EQ33" s="154"/>
      <c r="ER33" s="154"/>
      <c r="ES33" s="154"/>
      <c r="ET33" s="154"/>
      <c r="EU33" s="154"/>
      <c r="EV33" s="154"/>
      <c r="EW33" s="154"/>
      <c r="EX33" s="154"/>
      <c r="EY33" s="154"/>
      <c r="EZ33" s="154"/>
      <c r="FA33" s="154"/>
      <c r="FB33" s="154"/>
      <c r="FC33" s="154"/>
      <c r="FD33" s="154"/>
      <c r="FE33" s="154"/>
      <c r="FF33" s="154"/>
      <c r="FG33" s="154"/>
      <c r="FH33" s="154"/>
      <c r="FI33" s="154"/>
      <c r="FJ33" s="154"/>
      <c r="FK33" s="154"/>
      <c r="FL33" s="154"/>
      <c r="FM33" s="154"/>
      <c r="FN33" s="154"/>
      <c r="FO33" s="154"/>
      <c r="FP33" s="154"/>
      <c r="FQ33" s="154"/>
      <c r="FR33" s="154"/>
      <c r="FS33" s="154"/>
      <c r="FT33" s="154"/>
      <c r="FU33" s="154"/>
      <c r="FV33" s="154"/>
      <c r="FW33" s="154"/>
      <c r="FX33" s="154"/>
      <c r="FY33" s="154"/>
      <c r="FZ33" s="154"/>
      <c r="GA33" s="154"/>
      <c r="GB33" s="154"/>
      <c r="GC33" s="154"/>
      <c r="GD33" s="154"/>
      <c r="GE33" s="154"/>
      <c r="GF33" s="154"/>
      <c r="GG33" s="154"/>
      <c r="GH33" s="154"/>
      <c r="GI33" s="154"/>
      <c r="GJ33" s="154"/>
      <c r="GK33" s="154"/>
      <c r="GL33" s="154"/>
      <c r="GM33" s="154"/>
      <c r="GN33" s="154"/>
      <c r="GO33" s="154"/>
      <c r="GP33" s="154"/>
      <c r="GQ33" s="154"/>
      <c r="GR33" s="154"/>
      <c r="GS33" s="154"/>
      <c r="GT33" s="154"/>
      <c r="GU33" s="154"/>
      <c r="GV33" s="154"/>
      <c r="GW33" s="154"/>
      <c r="GX33" s="154"/>
      <c r="GY33" s="154"/>
      <c r="GZ33" s="154"/>
      <c r="HA33" s="154"/>
      <c r="HB33" s="154"/>
      <c r="HC33" s="154"/>
      <c r="HD33" s="154"/>
      <c r="HE33" s="154"/>
      <c r="HF33" s="154"/>
      <c r="HG33" s="154"/>
      <c r="HH33" s="154"/>
      <c r="HI33" s="154"/>
      <c r="HJ33" s="154"/>
      <c r="HK33" s="154"/>
      <c r="HL33" s="154"/>
      <c r="HM33" s="154"/>
      <c r="HN33" s="154"/>
      <c r="HO33" s="154"/>
      <c r="HP33" s="154"/>
      <c r="HQ33" s="154"/>
      <c r="HR33" s="154"/>
      <c r="HS33" s="154"/>
      <c r="HT33" s="154"/>
      <c r="HU33" s="154"/>
      <c r="HV33" s="154"/>
      <c r="HW33" s="154"/>
      <c r="HX33" s="154"/>
      <c r="HY33" s="154"/>
      <c r="HZ33" s="154"/>
      <c r="IA33" s="154"/>
      <c r="IB33" s="154"/>
      <c r="IC33" s="154"/>
      <c r="ID33" s="154"/>
      <c r="IE33" s="154"/>
      <c r="IF33" s="154"/>
      <c r="IG33" s="154"/>
      <c r="IH33" s="154"/>
      <c r="II33" s="154"/>
      <c r="IJ33" s="154"/>
      <c r="IK33" s="154"/>
      <c r="IL33" s="154"/>
      <c r="IM33" s="154"/>
      <c r="IN33" s="154"/>
    </row>
    <row r="34" spans="1:248" s="149" customFormat="1" ht="14.25" customHeight="1" thickBot="1">
      <c r="A34" s="154"/>
      <c r="B34" s="154"/>
      <c r="C34" s="154"/>
      <c r="D34" s="172">
        <v>10</v>
      </c>
      <c r="E34" s="963" t="s">
        <v>161</v>
      </c>
      <c r="F34" s="964"/>
      <c r="G34" s="170">
        <v>197428.25</v>
      </c>
      <c r="H34" s="173">
        <f t="shared" si="7"/>
        <v>2.4536968248142166E-2</v>
      </c>
      <c r="I34" s="208">
        <f t="shared" si="8"/>
        <v>213471.62375883685</v>
      </c>
      <c r="J34" s="178" t="s">
        <v>161</v>
      </c>
      <c r="K34" s="209">
        <f>LS_RPRO!B15+MANUAL!B15+OUTSALE!B15</f>
        <v>316237.04000000004</v>
      </c>
      <c r="L34" s="210">
        <f t="shared" si="24"/>
        <v>102765.41624116318</v>
      </c>
      <c r="M34" s="211">
        <f>K34/G15</f>
        <v>3.6349085057471267E-2</v>
      </c>
      <c r="N34" s="212">
        <f t="shared" si="25"/>
        <v>-268458.72215733503</v>
      </c>
      <c r="O34" s="207"/>
      <c r="P34" s="170">
        <v>131.25</v>
      </c>
      <c r="Q34" s="203">
        <f>LS_RPRO!C15+MANUAL!C15+OUTSALE!C15</f>
        <v>3966.1099999999997</v>
      </c>
      <c r="R34" s="254">
        <f t="shared" si="9"/>
        <v>29.217980952380948</v>
      </c>
      <c r="S34" s="250"/>
      <c r="T34" s="251"/>
      <c r="U34" s="663"/>
      <c r="V34" s="255" t="e">
        <f t="shared" si="0"/>
        <v>#DIV/0!</v>
      </c>
      <c r="W34" s="664">
        <f t="shared" si="10"/>
        <v>0</v>
      </c>
      <c r="X34" s="253"/>
      <c r="Y34" s="666">
        <f t="shared" si="11"/>
        <v>316237.04000000004</v>
      </c>
      <c r="Z34" s="279" t="e">
        <f t="shared" si="1"/>
        <v>#DIV/0!</v>
      </c>
      <c r="AA34" s="664">
        <f t="shared" si="12"/>
        <v>94871.112000000008</v>
      </c>
      <c r="AB34" s="667">
        <f t="shared" si="2"/>
        <v>94871.112000000008</v>
      </c>
      <c r="AC34" s="668" t="e">
        <f t="shared" si="13"/>
        <v>#DIV/0!</v>
      </c>
      <c r="AD34" s="280"/>
      <c r="AE34" s="676">
        <v>265334.25</v>
      </c>
      <c r="AF34" s="677">
        <f>LS_RPRO!O15+MANUAL!M15+OUTSALE!M15</f>
        <v>246123.72999999998</v>
      </c>
      <c r="AG34" s="678">
        <f t="shared" si="14"/>
        <v>-7.2401207156633632E-2</v>
      </c>
      <c r="AH34" s="154"/>
      <c r="AI34" s="686">
        <v>680</v>
      </c>
      <c r="AJ34" s="687">
        <f>LS_RPRO!M15</f>
        <v>887</v>
      </c>
      <c r="AK34" s="688">
        <f t="shared" si="3"/>
        <v>0.30441176470588238</v>
      </c>
      <c r="AL34" s="689">
        <v>163</v>
      </c>
      <c r="AM34" s="690">
        <f>LS_RPRO!H15+MANUAL!H15+OUTSALE!H15</f>
        <v>142</v>
      </c>
      <c r="AN34" s="688">
        <f t="shared" si="4"/>
        <v>-0.12883435582822089</v>
      </c>
      <c r="AO34" s="688">
        <f t="shared" si="5"/>
        <v>0.23970588235294119</v>
      </c>
      <c r="AP34" s="688">
        <f t="shared" si="5"/>
        <v>0.1600901916572717</v>
      </c>
      <c r="AQ34" s="691">
        <f t="shared" si="6"/>
        <v>-7.9615690695669483E-2</v>
      </c>
      <c r="AR34" s="154"/>
      <c r="AS34" s="705">
        <v>2</v>
      </c>
      <c r="AT34" s="687">
        <f>LS_RPRO!K15</f>
        <v>5</v>
      </c>
      <c r="AU34" s="688">
        <f t="shared" si="15"/>
        <v>1.5</v>
      </c>
      <c r="AV34" s="689">
        <v>3</v>
      </c>
      <c r="AW34" s="706">
        <f>LS_RPRO!L15</f>
        <v>4</v>
      </c>
      <c r="AX34" s="688">
        <f t="shared" si="16"/>
        <v>0.33333333333333331</v>
      </c>
      <c r="AY34" s="707">
        <f t="shared" si="26"/>
        <v>5</v>
      </c>
      <c r="AZ34" s="708">
        <f t="shared" si="26"/>
        <v>9</v>
      </c>
      <c r="BA34" s="691">
        <f t="shared" si="17"/>
        <v>0.8</v>
      </c>
      <c r="BB34" s="154"/>
      <c r="BC34" s="718"/>
      <c r="BD34" s="719">
        <v>0</v>
      </c>
      <c r="BE34" s="691" t="e">
        <f t="shared" si="18"/>
        <v>#DIV/0!</v>
      </c>
      <c r="BF34" s="154"/>
      <c r="BG34" s="727"/>
      <c r="BH34" s="728"/>
      <c r="BI34" s="735" t="e">
        <f t="shared" si="19"/>
        <v>#DIV/0!</v>
      </c>
      <c r="BJ34" s="730"/>
      <c r="BK34" s="731"/>
      <c r="BL34" s="732" t="e">
        <f t="shared" si="20"/>
        <v>#DIV/0!</v>
      </c>
      <c r="BM34" s="729" t="e">
        <f t="shared" si="21"/>
        <v>#DIV/0!</v>
      </c>
      <c r="BN34" s="733" t="e">
        <f t="shared" si="21"/>
        <v>#DIV/0!</v>
      </c>
      <c r="BO34" s="734" t="e">
        <f t="shared" si="22"/>
        <v>#DIV/0!</v>
      </c>
      <c r="BP34" s="154"/>
      <c r="BQ34" s="718"/>
      <c r="BR34" s="719"/>
      <c r="BS34" s="691" t="e">
        <f t="shared" si="23"/>
        <v>#DIV/0!</v>
      </c>
      <c r="BT34" s="154"/>
      <c r="BU34" s="154"/>
      <c r="BV34" s="154"/>
      <c r="BW34" s="154"/>
      <c r="BX34" s="154"/>
      <c r="BY34" s="154"/>
      <c r="BZ34" s="154"/>
      <c r="CA34" s="154"/>
      <c r="CB34" s="154"/>
      <c r="CC34" s="154"/>
      <c r="CD34" s="154"/>
      <c r="CE34" s="154"/>
      <c r="CF34" s="154"/>
      <c r="CG34" s="154"/>
      <c r="CH34" s="154"/>
      <c r="CI34" s="154"/>
      <c r="CJ34" s="154"/>
      <c r="CK34" s="154"/>
      <c r="CL34" s="154"/>
      <c r="CM34" s="154"/>
      <c r="CN34" s="154"/>
      <c r="CO34" s="154"/>
      <c r="CP34" s="154"/>
      <c r="CQ34" s="154"/>
      <c r="CR34" s="154"/>
      <c r="CS34" s="154"/>
      <c r="CT34" s="154"/>
      <c r="CU34" s="154"/>
      <c r="CV34" s="154"/>
      <c r="CW34" s="154"/>
      <c r="CX34" s="154"/>
      <c r="CY34" s="154"/>
      <c r="CZ34" s="154"/>
      <c r="DA34" s="154"/>
      <c r="DB34" s="154"/>
      <c r="DC34" s="154"/>
      <c r="DD34" s="154"/>
      <c r="DE34" s="154"/>
      <c r="DF34" s="154"/>
      <c r="DG34" s="154"/>
      <c r="DH34" s="154"/>
      <c r="DI34" s="154"/>
      <c r="DJ34" s="154"/>
      <c r="DK34" s="154"/>
      <c r="DL34" s="154"/>
      <c r="DM34" s="154"/>
      <c r="DN34" s="154"/>
      <c r="DO34" s="154"/>
      <c r="DP34" s="154"/>
      <c r="DQ34" s="154"/>
      <c r="DR34" s="154"/>
      <c r="DS34" s="154"/>
      <c r="DT34" s="154"/>
      <c r="DU34" s="154"/>
      <c r="DV34" s="154"/>
      <c r="DW34" s="154"/>
      <c r="DX34" s="154"/>
      <c r="DY34" s="154"/>
      <c r="DZ34" s="154"/>
      <c r="EA34" s="154"/>
      <c r="EB34" s="154"/>
      <c r="EC34" s="154"/>
      <c r="ED34" s="154"/>
      <c r="EE34" s="154"/>
      <c r="EF34" s="154"/>
      <c r="EG34" s="154"/>
      <c r="EH34" s="154"/>
      <c r="EI34" s="154"/>
      <c r="EJ34" s="154"/>
      <c r="EK34" s="154"/>
      <c r="EL34" s="154"/>
      <c r="EM34" s="154"/>
      <c r="EN34" s="154"/>
      <c r="EO34" s="154"/>
      <c r="EP34" s="154"/>
      <c r="EQ34" s="154"/>
      <c r="ER34" s="154"/>
      <c r="ES34" s="154"/>
      <c r="ET34" s="154"/>
      <c r="EU34" s="154"/>
      <c r="EV34" s="154"/>
      <c r="EW34" s="154"/>
      <c r="EX34" s="154"/>
      <c r="EY34" s="154"/>
      <c r="EZ34" s="154"/>
      <c r="FA34" s="154"/>
      <c r="FB34" s="154"/>
      <c r="FC34" s="154"/>
      <c r="FD34" s="154"/>
      <c r="FE34" s="154"/>
      <c r="FF34" s="154"/>
      <c r="FG34" s="154"/>
      <c r="FH34" s="154"/>
      <c r="FI34" s="154"/>
      <c r="FJ34" s="154"/>
      <c r="FK34" s="154"/>
      <c r="FL34" s="154"/>
      <c r="FM34" s="154"/>
      <c r="FN34" s="154"/>
      <c r="FO34" s="154"/>
      <c r="FP34" s="154"/>
      <c r="FQ34" s="154"/>
      <c r="FR34" s="154"/>
      <c r="FS34" s="154"/>
      <c r="FT34" s="154"/>
      <c r="FU34" s="154"/>
      <c r="FV34" s="154"/>
      <c r="FW34" s="154"/>
      <c r="FX34" s="154"/>
      <c r="FY34" s="154"/>
      <c r="FZ34" s="154"/>
      <c r="GA34" s="154"/>
      <c r="GB34" s="154"/>
      <c r="GC34" s="154"/>
      <c r="GD34" s="154"/>
      <c r="GE34" s="154"/>
      <c r="GF34" s="154"/>
      <c r="GG34" s="154"/>
      <c r="GH34" s="154"/>
      <c r="GI34" s="154"/>
      <c r="GJ34" s="154"/>
      <c r="GK34" s="154"/>
      <c r="GL34" s="154"/>
      <c r="GM34" s="154"/>
      <c r="GN34" s="154"/>
      <c r="GO34" s="154"/>
      <c r="GP34" s="154"/>
      <c r="GQ34" s="154"/>
      <c r="GR34" s="154"/>
      <c r="GS34" s="154"/>
      <c r="GT34" s="154"/>
      <c r="GU34" s="154"/>
      <c r="GV34" s="154"/>
      <c r="GW34" s="154"/>
      <c r="GX34" s="154"/>
      <c r="GY34" s="154"/>
      <c r="GZ34" s="154"/>
      <c r="HA34" s="154"/>
      <c r="HB34" s="154"/>
      <c r="HC34" s="154"/>
      <c r="HD34" s="154"/>
      <c r="HE34" s="154"/>
      <c r="HF34" s="154"/>
      <c r="HG34" s="154"/>
      <c r="HH34" s="154"/>
      <c r="HI34" s="154"/>
      <c r="HJ34" s="154"/>
      <c r="HK34" s="154"/>
      <c r="HL34" s="154"/>
      <c r="HM34" s="154"/>
      <c r="HN34" s="154"/>
      <c r="HO34" s="154"/>
      <c r="HP34" s="154"/>
      <c r="HQ34" s="154"/>
      <c r="HR34" s="154"/>
      <c r="HS34" s="154"/>
      <c r="HT34" s="154"/>
      <c r="HU34" s="154"/>
      <c r="HV34" s="154"/>
      <c r="HW34" s="154"/>
      <c r="HX34" s="154"/>
      <c r="HY34" s="154"/>
      <c r="HZ34" s="154"/>
      <c r="IA34" s="154"/>
      <c r="IB34" s="154"/>
      <c r="IC34" s="154"/>
      <c r="ID34" s="154"/>
      <c r="IE34" s="154"/>
      <c r="IF34" s="154"/>
      <c r="IG34" s="154"/>
      <c r="IH34" s="154"/>
      <c r="II34" s="154"/>
      <c r="IJ34" s="154"/>
      <c r="IK34" s="154"/>
      <c r="IL34" s="154"/>
      <c r="IM34" s="154"/>
      <c r="IN34" s="154"/>
    </row>
    <row r="35" spans="1:248" s="149" customFormat="1" ht="14.25" customHeight="1" thickBot="1">
      <c r="A35" s="174"/>
      <c r="B35" s="174"/>
      <c r="C35" s="174"/>
      <c r="D35" s="175">
        <v>11</v>
      </c>
      <c r="E35" s="963" t="s">
        <v>155</v>
      </c>
      <c r="F35" s="964"/>
      <c r="G35" s="170">
        <v>401911.4</v>
      </c>
      <c r="H35" s="173">
        <f t="shared" si="7"/>
        <v>4.9950740384754284E-2</v>
      </c>
      <c r="I35" s="213">
        <f t="shared" si="8"/>
        <v>434571.4413473623</v>
      </c>
      <c r="J35" s="178" t="s">
        <v>155</v>
      </c>
      <c r="K35" s="209">
        <f>LS_RPRO!B16+MANUAL!B16+OUTSALE!B16</f>
        <v>315334.40000000002</v>
      </c>
      <c r="L35" s="214">
        <f t="shared" si="24"/>
        <v>-119237.04134736228</v>
      </c>
      <c r="M35" s="211">
        <f>K35/G15</f>
        <v>3.6245333333333338E-2</v>
      </c>
      <c r="N35" s="212">
        <f t="shared" si="25"/>
        <v>-387695.7635046973</v>
      </c>
      <c r="O35" s="207"/>
      <c r="P35" s="170">
        <v>1287.83</v>
      </c>
      <c r="Q35" s="203">
        <f>LS_RPRO!C16+MANUAL!C16+OUTSALE!C16</f>
        <v>3289.55</v>
      </c>
      <c r="R35" s="254">
        <f t="shared" si="9"/>
        <v>1.5543355877716782</v>
      </c>
      <c r="S35" s="250"/>
      <c r="T35" s="251"/>
      <c r="U35" s="663"/>
      <c r="V35" s="255" t="e">
        <f t="shared" si="0"/>
        <v>#DIV/0!</v>
      </c>
      <c r="W35" s="664">
        <f t="shared" si="10"/>
        <v>0</v>
      </c>
      <c r="X35" s="253"/>
      <c r="Y35" s="666">
        <f t="shared" si="11"/>
        <v>315334.40000000002</v>
      </c>
      <c r="Z35" s="279" t="e">
        <f t="shared" si="1"/>
        <v>#DIV/0!</v>
      </c>
      <c r="AA35" s="664">
        <f t="shared" si="12"/>
        <v>94600.320000000007</v>
      </c>
      <c r="AB35" s="667">
        <f t="shared" si="2"/>
        <v>94600.320000000007</v>
      </c>
      <c r="AC35" s="668" t="e">
        <f t="shared" si="13"/>
        <v>#DIV/0!</v>
      </c>
      <c r="AD35" s="280"/>
      <c r="AE35" s="676">
        <v>454749.6</v>
      </c>
      <c r="AF35" s="677">
        <f>LS_RPRO!O16+MANUAL!M16+OUTSALE!M16</f>
        <v>263154.2</v>
      </c>
      <c r="AG35" s="678">
        <f t="shared" si="14"/>
        <v>-0.42132065646676758</v>
      </c>
      <c r="AH35" s="174"/>
      <c r="AI35" s="686">
        <v>711</v>
      </c>
      <c r="AJ35" s="687">
        <f>LS_RPRO!M16</f>
        <v>595</v>
      </c>
      <c r="AK35" s="688">
        <f t="shared" si="3"/>
        <v>-0.16315049226441636</v>
      </c>
      <c r="AL35" s="689">
        <v>178</v>
      </c>
      <c r="AM35" s="690">
        <f>LS_RPRO!H16+MANUAL!H16+OUTSALE!H16</f>
        <v>133</v>
      </c>
      <c r="AN35" s="688">
        <f t="shared" si="4"/>
        <v>-0.2528089887640449</v>
      </c>
      <c r="AO35" s="688">
        <f t="shared" si="5"/>
        <v>0.25035161744022505</v>
      </c>
      <c r="AP35" s="688">
        <f t="shared" si="5"/>
        <v>0.22352941176470589</v>
      </c>
      <c r="AQ35" s="691">
        <f t="shared" si="6"/>
        <v>-2.6822205675519156E-2</v>
      </c>
      <c r="AR35" s="174"/>
      <c r="AS35" s="705">
        <v>2</v>
      </c>
      <c r="AT35" s="687">
        <f>LS_RPRO!K16</f>
        <v>0</v>
      </c>
      <c r="AU35" s="688">
        <f t="shared" si="15"/>
        <v>-1</v>
      </c>
      <c r="AV35" s="689">
        <v>13</v>
      </c>
      <c r="AW35" s="706">
        <f>LS_RPRO!L16</f>
        <v>0</v>
      </c>
      <c r="AX35" s="688">
        <f t="shared" si="16"/>
        <v>-1</v>
      </c>
      <c r="AY35" s="709">
        <f t="shared" si="26"/>
        <v>15</v>
      </c>
      <c r="AZ35" s="710">
        <f t="shared" si="26"/>
        <v>0</v>
      </c>
      <c r="BA35" s="691">
        <f t="shared" si="17"/>
        <v>-1</v>
      </c>
      <c r="BB35" s="154"/>
      <c r="BC35" s="720"/>
      <c r="BD35" s="721">
        <v>0</v>
      </c>
      <c r="BE35" s="691" t="e">
        <f t="shared" si="18"/>
        <v>#DIV/0!</v>
      </c>
      <c r="BF35" s="174"/>
      <c r="BG35" s="727"/>
      <c r="BH35" s="728"/>
      <c r="BI35" s="735" t="e">
        <f t="shared" si="19"/>
        <v>#DIV/0!</v>
      </c>
      <c r="BJ35" s="730"/>
      <c r="BK35" s="731"/>
      <c r="BL35" s="732" t="e">
        <f t="shared" si="20"/>
        <v>#DIV/0!</v>
      </c>
      <c r="BM35" s="729" t="e">
        <f t="shared" si="21"/>
        <v>#DIV/0!</v>
      </c>
      <c r="BN35" s="733" t="e">
        <f t="shared" si="21"/>
        <v>#DIV/0!</v>
      </c>
      <c r="BO35" s="734" t="e">
        <f t="shared" si="22"/>
        <v>#DIV/0!</v>
      </c>
      <c r="BP35" s="174"/>
      <c r="BQ35" s="720"/>
      <c r="BR35" s="721"/>
      <c r="BS35" s="691" t="e">
        <f t="shared" si="23"/>
        <v>#DIV/0!</v>
      </c>
      <c r="BT35" s="174"/>
      <c r="BU35" s="174"/>
      <c r="BV35" s="174"/>
      <c r="BW35" s="174"/>
      <c r="BX35" s="174"/>
      <c r="BY35" s="174"/>
      <c r="BZ35" s="174"/>
      <c r="CA35" s="174"/>
      <c r="CB35" s="174"/>
      <c r="CC35" s="174"/>
      <c r="CD35" s="174"/>
      <c r="CE35" s="174"/>
      <c r="CF35" s="174"/>
      <c r="CG35" s="174"/>
      <c r="CH35" s="174"/>
      <c r="CI35" s="174"/>
      <c r="CJ35" s="174"/>
      <c r="CK35" s="174"/>
      <c r="CL35" s="174"/>
      <c r="CM35" s="174"/>
      <c r="CN35" s="174"/>
      <c r="CO35" s="174"/>
      <c r="CP35" s="174"/>
      <c r="CQ35" s="174"/>
      <c r="CR35" s="174"/>
      <c r="CS35" s="174"/>
      <c r="CT35" s="174"/>
      <c r="CU35" s="174"/>
      <c r="CV35" s="174"/>
      <c r="CW35" s="174"/>
      <c r="CX35" s="174"/>
      <c r="CY35" s="174"/>
      <c r="CZ35" s="174"/>
      <c r="DA35" s="174"/>
      <c r="DB35" s="174"/>
      <c r="DC35" s="174"/>
      <c r="DD35" s="174"/>
      <c r="DE35" s="174"/>
      <c r="DF35" s="174"/>
      <c r="DG35" s="174"/>
      <c r="DH35" s="174"/>
      <c r="DI35" s="174"/>
      <c r="DJ35" s="174"/>
      <c r="DK35" s="174"/>
      <c r="DL35" s="174"/>
      <c r="DM35" s="174"/>
      <c r="DN35" s="174"/>
      <c r="DO35" s="174"/>
      <c r="DP35" s="174"/>
      <c r="DQ35" s="174"/>
      <c r="DR35" s="174"/>
      <c r="DS35" s="174"/>
      <c r="DT35" s="174"/>
      <c r="DU35" s="174"/>
      <c r="DV35" s="174"/>
      <c r="DW35" s="174"/>
      <c r="DX35" s="174"/>
      <c r="DY35" s="174"/>
      <c r="DZ35" s="174"/>
      <c r="EA35" s="174"/>
      <c r="EB35" s="174"/>
      <c r="EC35" s="174"/>
      <c r="ED35" s="174"/>
      <c r="EE35" s="174"/>
      <c r="EF35" s="174"/>
      <c r="EG35" s="174"/>
      <c r="EH35" s="174"/>
      <c r="EI35" s="174"/>
      <c r="EJ35" s="174"/>
      <c r="EK35" s="174"/>
      <c r="EL35" s="174"/>
      <c r="EM35" s="174"/>
      <c r="EN35" s="174"/>
      <c r="EO35" s="174"/>
      <c r="EP35" s="174"/>
      <c r="EQ35" s="174"/>
      <c r="ER35" s="174"/>
      <c r="ES35" s="174"/>
      <c r="ET35" s="174"/>
      <c r="EU35" s="174"/>
      <c r="EV35" s="174"/>
      <c r="EW35" s="174"/>
      <c r="EX35" s="174"/>
      <c r="EY35" s="174"/>
      <c r="EZ35" s="174"/>
      <c r="FA35" s="174"/>
      <c r="FB35" s="174"/>
      <c r="FC35" s="174"/>
      <c r="FD35" s="174"/>
      <c r="FE35" s="174"/>
      <c r="FF35" s="174"/>
      <c r="FG35" s="174"/>
      <c r="FH35" s="174"/>
      <c r="FI35" s="174"/>
      <c r="FJ35" s="174"/>
      <c r="FK35" s="174"/>
      <c r="FL35" s="174"/>
      <c r="FM35" s="174"/>
      <c r="FN35" s="174"/>
      <c r="FO35" s="174"/>
      <c r="FP35" s="174"/>
      <c r="FQ35" s="174"/>
      <c r="FR35" s="174"/>
      <c r="FS35" s="174"/>
      <c r="FT35" s="174"/>
      <c r="FU35" s="174"/>
      <c r="FV35" s="174"/>
      <c r="FW35" s="174"/>
      <c r="FX35" s="174"/>
      <c r="FY35" s="174"/>
      <c r="FZ35" s="174"/>
      <c r="GA35" s="174"/>
      <c r="GB35" s="174"/>
      <c r="GC35" s="174"/>
      <c r="GD35" s="174"/>
      <c r="GE35" s="174"/>
      <c r="GF35" s="174"/>
      <c r="GG35" s="174"/>
      <c r="GH35" s="174"/>
      <c r="GI35" s="174"/>
      <c r="GJ35" s="174"/>
      <c r="GK35" s="174"/>
      <c r="GL35" s="174"/>
      <c r="GM35" s="174"/>
      <c r="GN35" s="174"/>
      <c r="GO35" s="174"/>
      <c r="GP35" s="174"/>
      <c r="GQ35" s="174"/>
      <c r="GR35" s="174"/>
      <c r="GS35" s="174"/>
      <c r="GT35" s="174"/>
      <c r="GU35" s="174"/>
      <c r="GV35" s="174"/>
      <c r="GW35" s="174"/>
      <c r="GX35" s="174"/>
      <c r="GY35" s="174"/>
      <c r="GZ35" s="174"/>
      <c r="HA35" s="174"/>
      <c r="HB35" s="174"/>
      <c r="HC35" s="174"/>
      <c r="HD35" s="174"/>
      <c r="HE35" s="174"/>
      <c r="HF35" s="174"/>
      <c r="HG35" s="174"/>
      <c r="HH35" s="174"/>
      <c r="HI35" s="174"/>
      <c r="HJ35" s="174"/>
      <c r="HK35" s="174"/>
      <c r="HL35" s="174"/>
      <c r="HM35" s="174"/>
      <c r="HN35" s="174"/>
      <c r="HO35" s="174"/>
      <c r="HP35" s="174"/>
      <c r="HQ35" s="174"/>
      <c r="HR35" s="174"/>
      <c r="HS35" s="174"/>
      <c r="HT35" s="174"/>
      <c r="HU35" s="174"/>
      <c r="HV35" s="174"/>
      <c r="HW35" s="174"/>
      <c r="HX35" s="174"/>
      <c r="HY35" s="174"/>
      <c r="HZ35" s="174"/>
      <c r="IA35" s="174"/>
      <c r="IB35" s="174"/>
      <c r="IC35" s="174"/>
      <c r="ID35" s="174"/>
      <c r="IE35" s="174"/>
      <c r="IF35" s="174"/>
      <c r="IG35" s="174"/>
      <c r="IH35" s="174"/>
      <c r="II35" s="174"/>
      <c r="IJ35" s="174"/>
      <c r="IK35" s="174"/>
      <c r="IL35" s="174"/>
      <c r="IM35" s="174"/>
      <c r="IN35" s="174"/>
    </row>
    <row r="36" spans="1:248" s="149" customFormat="1" ht="14.25" customHeight="1" thickBot="1">
      <c r="A36" s="174"/>
      <c r="B36" s="174"/>
      <c r="C36" s="174"/>
      <c r="D36" s="175">
        <v>12</v>
      </c>
      <c r="E36" s="963" t="s">
        <v>156</v>
      </c>
      <c r="F36" s="964"/>
      <c r="G36" s="176">
        <v>548017.05000000005</v>
      </c>
      <c r="H36" s="173">
        <f t="shared" si="7"/>
        <v>6.8109183742906795E-2</v>
      </c>
      <c r="I36" s="213">
        <f t="shared" si="8"/>
        <v>592549.89856328908</v>
      </c>
      <c r="J36" s="178" t="s">
        <v>156</v>
      </c>
      <c r="K36" s="209">
        <f>LS_RPRO!B17+MANUAL!B17+OUTSALE!B17</f>
        <v>158110</v>
      </c>
      <c r="L36" s="214">
        <f t="shared" si="24"/>
        <v>-434439.89856328908</v>
      </c>
      <c r="M36" s="211">
        <f>K36/G15</f>
        <v>1.8173563218390806E-2</v>
      </c>
      <c r="N36" s="212">
        <f t="shared" si="25"/>
        <v>-822135.66206798633</v>
      </c>
      <c r="O36" s="207"/>
      <c r="P36" s="170">
        <v>33.5</v>
      </c>
      <c r="Q36" s="203">
        <f>LS_RPRO!C17+MANUAL!C17+OUTSALE!C17</f>
        <v>658.3</v>
      </c>
      <c r="R36" s="254">
        <f t="shared" si="9"/>
        <v>18.650746268656714</v>
      </c>
      <c r="S36" s="250"/>
      <c r="T36" s="251"/>
      <c r="U36" s="663"/>
      <c r="V36" s="255" t="e">
        <f t="shared" si="0"/>
        <v>#DIV/0!</v>
      </c>
      <c r="W36" s="664">
        <f t="shared" si="10"/>
        <v>0</v>
      </c>
      <c r="X36" s="253"/>
      <c r="Y36" s="666">
        <f t="shared" si="11"/>
        <v>158110</v>
      </c>
      <c r="Z36" s="279" t="e">
        <f t="shared" si="1"/>
        <v>#DIV/0!</v>
      </c>
      <c r="AA36" s="664">
        <f t="shared" si="12"/>
        <v>47433</v>
      </c>
      <c r="AB36" s="667">
        <f t="shared" si="2"/>
        <v>47433</v>
      </c>
      <c r="AC36" s="668" t="e">
        <f t="shared" si="13"/>
        <v>#DIV/0!</v>
      </c>
      <c r="AD36" s="280"/>
      <c r="AE36" s="676">
        <v>122262.5</v>
      </c>
      <c r="AF36" s="677">
        <f>LS_RPRO!O17+MANUAL!M17+OUTSALE!M17</f>
        <v>119603.7</v>
      </c>
      <c r="AG36" s="678">
        <f t="shared" si="14"/>
        <v>-2.1746651671608244E-2</v>
      </c>
      <c r="AH36" s="174"/>
      <c r="AI36" s="686">
        <v>605</v>
      </c>
      <c r="AJ36" s="687">
        <f>LS_RPRO!M17</f>
        <v>336</v>
      </c>
      <c r="AK36" s="688">
        <f t="shared" si="3"/>
        <v>-0.44462809917355373</v>
      </c>
      <c r="AL36" s="689">
        <v>77</v>
      </c>
      <c r="AM36" s="690">
        <f>LS_RPRO!H17+MANUAL!H17+OUTSALE!H17</f>
        <v>24</v>
      </c>
      <c r="AN36" s="688">
        <f t="shared" si="4"/>
        <v>-0.68831168831168832</v>
      </c>
      <c r="AO36" s="688">
        <f t="shared" si="5"/>
        <v>0.12727272727272726</v>
      </c>
      <c r="AP36" s="688">
        <f t="shared" si="5"/>
        <v>7.1428571428571425E-2</v>
      </c>
      <c r="AQ36" s="691">
        <f t="shared" si="6"/>
        <v>-5.5844155844155835E-2</v>
      </c>
      <c r="AR36" s="174"/>
      <c r="AS36" s="705">
        <v>2</v>
      </c>
      <c r="AT36" s="687">
        <f>LS_RPRO!K17</f>
        <v>0</v>
      </c>
      <c r="AU36" s="688">
        <f t="shared" si="15"/>
        <v>-1</v>
      </c>
      <c r="AV36" s="689">
        <v>2</v>
      </c>
      <c r="AW36" s="706">
        <f>LS_RPRO!L17</f>
        <v>2</v>
      </c>
      <c r="AX36" s="688">
        <f t="shared" si="16"/>
        <v>0</v>
      </c>
      <c r="AY36" s="709">
        <f t="shared" si="26"/>
        <v>4</v>
      </c>
      <c r="AZ36" s="710">
        <f t="shared" si="26"/>
        <v>2</v>
      </c>
      <c r="BA36" s="691">
        <f t="shared" si="17"/>
        <v>-0.5</v>
      </c>
      <c r="BB36" s="154"/>
      <c r="BC36" s="720"/>
      <c r="BD36" s="721">
        <v>0</v>
      </c>
      <c r="BE36" s="691" t="e">
        <f t="shared" si="18"/>
        <v>#DIV/0!</v>
      </c>
      <c r="BF36" s="174"/>
      <c r="BG36" s="727"/>
      <c r="BH36" s="728"/>
      <c r="BI36" s="735" t="e">
        <f t="shared" si="19"/>
        <v>#DIV/0!</v>
      </c>
      <c r="BJ36" s="730"/>
      <c r="BK36" s="731"/>
      <c r="BL36" s="732" t="e">
        <f t="shared" si="20"/>
        <v>#DIV/0!</v>
      </c>
      <c r="BM36" s="729" t="e">
        <f t="shared" si="21"/>
        <v>#DIV/0!</v>
      </c>
      <c r="BN36" s="733" t="e">
        <f t="shared" si="21"/>
        <v>#DIV/0!</v>
      </c>
      <c r="BO36" s="734" t="e">
        <f t="shared" si="22"/>
        <v>#DIV/0!</v>
      </c>
      <c r="BP36" s="174"/>
      <c r="BQ36" s="720"/>
      <c r="BR36" s="721"/>
      <c r="BS36" s="691" t="e">
        <f t="shared" si="23"/>
        <v>#DIV/0!</v>
      </c>
      <c r="BT36" s="174"/>
      <c r="BU36" s="174"/>
      <c r="BV36" s="174"/>
      <c r="BW36" s="174"/>
      <c r="BX36" s="174"/>
      <c r="BY36" s="174"/>
      <c r="BZ36" s="174"/>
      <c r="CA36" s="174"/>
      <c r="CB36" s="174"/>
      <c r="CC36" s="174"/>
      <c r="CD36" s="174"/>
      <c r="CE36" s="174"/>
      <c r="CF36" s="174"/>
      <c r="CG36" s="174"/>
      <c r="CH36" s="174"/>
      <c r="CI36" s="174"/>
      <c r="CJ36" s="174"/>
      <c r="CK36" s="174"/>
      <c r="CL36" s="174"/>
      <c r="CM36" s="174"/>
      <c r="CN36" s="174"/>
      <c r="CO36" s="174"/>
      <c r="CP36" s="174"/>
      <c r="CQ36" s="174"/>
      <c r="CR36" s="174"/>
      <c r="CS36" s="174"/>
      <c r="CT36" s="174"/>
      <c r="CU36" s="174"/>
      <c r="CV36" s="174"/>
      <c r="CW36" s="174"/>
      <c r="CX36" s="174"/>
      <c r="CY36" s="174"/>
      <c r="CZ36" s="174"/>
      <c r="DA36" s="174"/>
      <c r="DB36" s="174"/>
      <c r="DC36" s="174"/>
      <c r="DD36" s="174"/>
      <c r="DE36" s="174"/>
      <c r="DF36" s="174"/>
      <c r="DG36" s="174"/>
      <c r="DH36" s="174"/>
      <c r="DI36" s="174"/>
      <c r="DJ36" s="174"/>
      <c r="DK36" s="174"/>
      <c r="DL36" s="174"/>
      <c r="DM36" s="174"/>
      <c r="DN36" s="174"/>
      <c r="DO36" s="174"/>
      <c r="DP36" s="174"/>
      <c r="DQ36" s="174"/>
      <c r="DR36" s="174"/>
      <c r="DS36" s="174"/>
      <c r="DT36" s="174"/>
      <c r="DU36" s="174"/>
      <c r="DV36" s="174"/>
      <c r="DW36" s="174"/>
      <c r="DX36" s="174"/>
      <c r="DY36" s="174"/>
      <c r="DZ36" s="174"/>
      <c r="EA36" s="174"/>
      <c r="EB36" s="174"/>
      <c r="EC36" s="174"/>
      <c r="ED36" s="174"/>
      <c r="EE36" s="174"/>
      <c r="EF36" s="174"/>
      <c r="EG36" s="174"/>
      <c r="EH36" s="174"/>
      <c r="EI36" s="174"/>
      <c r="EJ36" s="174"/>
      <c r="EK36" s="174"/>
      <c r="EL36" s="174"/>
      <c r="EM36" s="174"/>
      <c r="EN36" s="174"/>
      <c r="EO36" s="174"/>
      <c r="EP36" s="174"/>
      <c r="EQ36" s="174"/>
      <c r="ER36" s="174"/>
      <c r="ES36" s="174"/>
      <c r="ET36" s="174"/>
      <c r="EU36" s="174"/>
      <c r="EV36" s="174"/>
      <c r="EW36" s="174"/>
      <c r="EX36" s="174"/>
      <c r="EY36" s="174"/>
      <c r="EZ36" s="174"/>
      <c r="FA36" s="174"/>
      <c r="FB36" s="174"/>
      <c r="FC36" s="174"/>
      <c r="FD36" s="174"/>
      <c r="FE36" s="174"/>
      <c r="FF36" s="174"/>
      <c r="FG36" s="174"/>
      <c r="FH36" s="174"/>
      <c r="FI36" s="174"/>
      <c r="FJ36" s="174"/>
      <c r="FK36" s="174"/>
      <c r="FL36" s="174"/>
      <c r="FM36" s="174"/>
      <c r="FN36" s="174"/>
      <c r="FO36" s="174"/>
      <c r="FP36" s="174"/>
      <c r="FQ36" s="174"/>
      <c r="FR36" s="174"/>
      <c r="FS36" s="174"/>
      <c r="FT36" s="174"/>
      <c r="FU36" s="174"/>
      <c r="FV36" s="174"/>
      <c r="FW36" s="174"/>
      <c r="FX36" s="174"/>
      <c r="FY36" s="174"/>
      <c r="FZ36" s="174"/>
      <c r="GA36" s="174"/>
      <c r="GB36" s="174"/>
      <c r="GC36" s="174"/>
      <c r="GD36" s="174"/>
      <c r="GE36" s="174"/>
      <c r="GF36" s="174"/>
      <c r="GG36" s="174"/>
      <c r="GH36" s="174"/>
      <c r="GI36" s="174"/>
      <c r="GJ36" s="174"/>
      <c r="GK36" s="174"/>
      <c r="GL36" s="174"/>
      <c r="GM36" s="174"/>
      <c r="GN36" s="174"/>
      <c r="GO36" s="174"/>
      <c r="GP36" s="174"/>
      <c r="GQ36" s="174"/>
      <c r="GR36" s="174"/>
      <c r="GS36" s="174"/>
      <c r="GT36" s="174"/>
      <c r="GU36" s="174"/>
      <c r="GV36" s="174"/>
      <c r="GW36" s="174"/>
      <c r="GX36" s="174"/>
      <c r="GY36" s="174"/>
      <c r="GZ36" s="174"/>
      <c r="HA36" s="174"/>
      <c r="HB36" s="174"/>
      <c r="HC36" s="174"/>
      <c r="HD36" s="174"/>
      <c r="HE36" s="174"/>
      <c r="HF36" s="174"/>
      <c r="HG36" s="174"/>
      <c r="HH36" s="174"/>
      <c r="HI36" s="174"/>
      <c r="HJ36" s="174"/>
      <c r="HK36" s="174"/>
      <c r="HL36" s="174"/>
      <c r="HM36" s="174"/>
      <c r="HN36" s="174"/>
      <c r="HO36" s="174"/>
      <c r="HP36" s="174"/>
      <c r="HQ36" s="174"/>
      <c r="HR36" s="174"/>
      <c r="HS36" s="174"/>
      <c r="HT36" s="174"/>
      <c r="HU36" s="174"/>
      <c r="HV36" s="174"/>
      <c r="HW36" s="174"/>
      <c r="HX36" s="174"/>
      <c r="HY36" s="174"/>
      <c r="HZ36" s="174"/>
      <c r="IA36" s="174"/>
      <c r="IB36" s="174"/>
      <c r="IC36" s="174"/>
      <c r="ID36" s="174"/>
      <c r="IE36" s="174"/>
      <c r="IF36" s="174"/>
      <c r="IG36" s="174"/>
      <c r="IH36" s="174"/>
      <c r="II36" s="174"/>
      <c r="IJ36" s="174"/>
      <c r="IK36" s="174"/>
      <c r="IL36" s="174"/>
      <c r="IM36" s="174"/>
      <c r="IN36" s="174"/>
    </row>
    <row r="37" spans="1:248" s="149" customFormat="1" ht="14.25" customHeight="1" thickBot="1">
      <c r="A37" s="174"/>
      <c r="B37" s="174"/>
      <c r="C37" s="174"/>
      <c r="D37" s="175">
        <v>13</v>
      </c>
      <c r="E37" s="963" t="s">
        <v>157</v>
      </c>
      <c r="F37" s="964"/>
      <c r="G37" s="170">
        <v>162285.5</v>
      </c>
      <c r="H37" s="173">
        <f t="shared" si="7"/>
        <v>2.0169323086406708E-2</v>
      </c>
      <c r="I37" s="213">
        <f t="shared" si="8"/>
        <v>175473.11085173837</v>
      </c>
      <c r="J37" s="178" t="s">
        <v>157</v>
      </c>
      <c r="K37" s="209">
        <f>LS_RPRO!B18+MANUAL!B18+OUTSALE!B18</f>
        <v>0</v>
      </c>
      <c r="L37" s="214">
        <f t="shared" si="24"/>
        <v>-175473.11085173837</v>
      </c>
      <c r="M37" s="211">
        <f>K37/G15</f>
        <v>0</v>
      </c>
      <c r="N37" s="212">
        <f t="shared" si="25"/>
        <v>-997608.7729197247</v>
      </c>
      <c r="O37" s="207"/>
      <c r="P37" s="170">
        <v>479.5</v>
      </c>
      <c r="Q37" s="203">
        <f>LS_RPRO!C18+MANUAL!C18+OUTSALE!C18</f>
        <v>0</v>
      </c>
      <c r="R37" s="254">
        <f t="shared" si="9"/>
        <v>-1</v>
      </c>
      <c r="S37" s="250"/>
      <c r="T37" s="251"/>
      <c r="U37" s="663"/>
      <c r="V37" s="255" t="e">
        <f t="shared" si="0"/>
        <v>#DIV/0!</v>
      </c>
      <c r="W37" s="664">
        <f t="shared" si="10"/>
        <v>0</v>
      </c>
      <c r="X37" s="253"/>
      <c r="Y37" s="666">
        <f t="shared" si="11"/>
        <v>0</v>
      </c>
      <c r="Z37" s="279" t="e">
        <f t="shared" si="1"/>
        <v>#DIV/0!</v>
      </c>
      <c r="AA37" s="664">
        <f t="shared" si="12"/>
        <v>0</v>
      </c>
      <c r="AB37" s="667">
        <f t="shared" si="2"/>
        <v>0</v>
      </c>
      <c r="AC37" s="668" t="e">
        <f t="shared" si="13"/>
        <v>#DIV/0!</v>
      </c>
      <c r="AD37" s="280"/>
      <c r="AE37" s="676">
        <v>129005.5</v>
      </c>
      <c r="AF37" s="677">
        <f>LS_RPRO!O18+MANUAL!M18+OUTSALE!M18</f>
        <v>0</v>
      </c>
      <c r="AG37" s="678">
        <f t="shared" si="14"/>
        <v>-1</v>
      </c>
      <c r="AH37" s="174"/>
      <c r="AI37" s="686">
        <v>408</v>
      </c>
      <c r="AJ37" s="687">
        <f>LS_RPRO!M18</f>
        <v>0</v>
      </c>
      <c r="AK37" s="688">
        <f t="shared" si="3"/>
        <v>-1</v>
      </c>
      <c r="AL37" s="689">
        <v>99</v>
      </c>
      <c r="AM37" s="690">
        <f>LS_RPRO!H18+MANUAL!H18+OUTSALE!H18</f>
        <v>0</v>
      </c>
      <c r="AN37" s="688">
        <f t="shared" si="4"/>
        <v>-1</v>
      </c>
      <c r="AO37" s="688">
        <f t="shared" si="5"/>
        <v>0.24264705882352941</v>
      </c>
      <c r="AP37" s="688" t="e">
        <f t="shared" si="5"/>
        <v>#DIV/0!</v>
      </c>
      <c r="AQ37" s="691" t="e">
        <f t="shared" si="6"/>
        <v>#DIV/0!</v>
      </c>
      <c r="AR37" s="174"/>
      <c r="AS37" s="705">
        <v>2</v>
      </c>
      <c r="AT37" s="687">
        <f>LS_RPRO!K18</f>
        <v>0</v>
      </c>
      <c r="AU37" s="688">
        <f t="shared" si="15"/>
        <v>-1</v>
      </c>
      <c r="AV37" s="689">
        <v>1</v>
      </c>
      <c r="AW37" s="706">
        <f>LS_RPRO!L18</f>
        <v>0</v>
      </c>
      <c r="AX37" s="688">
        <f t="shared" si="16"/>
        <v>-1</v>
      </c>
      <c r="AY37" s="709">
        <f t="shared" si="26"/>
        <v>3</v>
      </c>
      <c r="AZ37" s="710">
        <f t="shared" si="26"/>
        <v>0</v>
      </c>
      <c r="BA37" s="691">
        <f t="shared" si="17"/>
        <v>-1</v>
      </c>
      <c r="BB37" s="154"/>
      <c r="BC37" s="720"/>
      <c r="BD37" s="721">
        <v>0</v>
      </c>
      <c r="BE37" s="691" t="e">
        <f t="shared" si="18"/>
        <v>#DIV/0!</v>
      </c>
      <c r="BF37" s="174"/>
      <c r="BG37" s="727"/>
      <c r="BH37" s="728"/>
      <c r="BI37" s="735" t="e">
        <f t="shared" si="19"/>
        <v>#DIV/0!</v>
      </c>
      <c r="BJ37" s="730"/>
      <c r="BK37" s="731"/>
      <c r="BL37" s="732" t="e">
        <f t="shared" si="20"/>
        <v>#DIV/0!</v>
      </c>
      <c r="BM37" s="729" t="e">
        <f t="shared" si="21"/>
        <v>#DIV/0!</v>
      </c>
      <c r="BN37" s="733" t="e">
        <f t="shared" si="21"/>
        <v>#DIV/0!</v>
      </c>
      <c r="BO37" s="734" t="e">
        <f t="shared" si="22"/>
        <v>#DIV/0!</v>
      </c>
      <c r="BP37" s="174"/>
      <c r="BQ37" s="720"/>
      <c r="BR37" s="721"/>
      <c r="BS37" s="691" t="e">
        <f t="shared" si="23"/>
        <v>#DIV/0!</v>
      </c>
      <c r="BT37" s="174"/>
      <c r="BU37" s="174"/>
      <c r="BV37" s="174"/>
      <c r="BW37" s="174"/>
      <c r="BX37" s="174"/>
      <c r="BY37" s="174"/>
      <c r="BZ37" s="174"/>
      <c r="CA37" s="174"/>
      <c r="CB37" s="174"/>
      <c r="CC37" s="174"/>
      <c r="CD37" s="174"/>
      <c r="CE37" s="174"/>
      <c r="CF37" s="174"/>
      <c r="CG37" s="174"/>
      <c r="CH37" s="174"/>
      <c r="CI37" s="174"/>
      <c r="CJ37" s="174"/>
      <c r="CK37" s="174"/>
      <c r="CL37" s="174"/>
      <c r="CM37" s="174"/>
      <c r="CN37" s="174"/>
      <c r="CO37" s="174"/>
      <c r="CP37" s="174"/>
      <c r="CQ37" s="174"/>
      <c r="CR37" s="174"/>
      <c r="CS37" s="174"/>
      <c r="CT37" s="174"/>
      <c r="CU37" s="174"/>
      <c r="CV37" s="174"/>
      <c r="CW37" s="174"/>
      <c r="CX37" s="174"/>
      <c r="CY37" s="174"/>
      <c r="CZ37" s="174"/>
      <c r="DA37" s="174"/>
      <c r="DB37" s="174"/>
      <c r="DC37" s="174"/>
      <c r="DD37" s="174"/>
      <c r="DE37" s="174"/>
      <c r="DF37" s="174"/>
      <c r="DG37" s="174"/>
      <c r="DH37" s="174"/>
      <c r="DI37" s="174"/>
      <c r="DJ37" s="174"/>
      <c r="DK37" s="174"/>
      <c r="DL37" s="174"/>
      <c r="DM37" s="174"/>
      <c r="DN37" s="174"/>
      <c r="DO37" s="174"/>
      <c r="DP37" s="174"/>
      <c r="DQ37" s="174"/>
      <c r="DR37" s="174"/>
      <c r="DS37" s="174"/>
      <c r="DT37" s="174"/>
      <c r="DU37" s="174"/>
      <c r="DV37" s="174"/>
      <c r="DW37" s="174"/>
      <c r="DX37" s="174"/>
      <c r="DY37" s="174"/>
      <c r="DZ37" s="174"/>
      <c r="EA37" s="174"/>
      <c r="EB37" s="174"/>
      <c r="EC37" s="174"/>
      <c r="ED37" s="174"/>
      <c r="EE37" s="174"/>
      <c r="EF37" s="174"/>
      <c r="EG37" s="174"/>
      <c r="EH37" s="174"/>
      <c r="EI37" s="174"/>
      <c r="EJ37" s="174"/>
      <c r="EK37" s="174"/>
      <c r="EL37" s="174"/>
      <c r="EM37" s="174"/>
      <c r="EN37" s="174"/>
      <c r="EO37" s="174"/>
      <c r="EP37" s="174"/>
      <c r="EQ37" s="174"/>
      <c r="ER37" s="174"/>
      <c r="ES37" s="174"/>
      <c r="ET37" s="174"/>
      <c r="EU37" s="174"/>
      <c r="EV37" s="174"/>
      <c r="EW37" s="174"/>
      <c r="EX37" s="174"/>
      <c r="EY37" s="174"/>
      <c r="EZ37" s="174"/>
      <c r="FA37" s="174"/>
      <c r="FB37" s="174"/>
      <c r="FC37" s="174"/>
      <c r="FD37" s="174"/>
      <c r="FE37" s="174"/>
      <c r="FF37" s="174"/>
      <c r="FG37" s="174"/>
      <c r="FH37" s="174"/>
      <c r="FI37" s="174"/>
      <c r="FJ37" s="174"/>
      <c r="FK37" s="174"/>
      <c r="FL37" s="174"/>
      <c r="FM37" s="174"/>
      <c r="FN37" s="174"/>
      <c r="FO37" s="174"/>
      <c r="FP37" s="174"/>
      <c r="FQ37" s="174"/>
      <c r="FR37" s="174"/>
      <c r="FS37" s="174"/>
      <c r="FT37" s="174"/>
      <c r="FU37" s="174"/>
      <c r="FV37" s="174"/>
      <c r="FW37" s="174"/>
      <c r="FX37" s="174"/>
      <c r="FY37" s="174"/>
      <c r="FZ37" s="174"/>
      <c r="GA37" s="174"/>
      <c r="GB37" s="174"/>
      <c r="GC37" s="174"/>
      <c r="GD37" s="174"/>
      <c r="GE37" s="174"/>
      <c r="GF37" s="174"/>
      <c r="GG37" s="174"/>
      <c r="GH37" s="174"/>
      <c r="GI37" s="174"/>
      <c r="GJ37" s="174"/>
      <c r="GK37" s="174"/>
      <c r="GL37" s="174"/>
      <c r="GM37" s="174"/>
      <c r="GN37" s="174"/>
      <c r="GO37" s="174"/>
      <c r="GP37" s="174"/>
      <c r="GQ37" s="174"/>
      <c r="GR37" s="174"/>
      <c r="GS37" s="174"/>
      <c r="GT37" s="174"/>
      <c r="GU37" s="174"/>
      <c r="GV37" s="174"/>
      <c r="GW37" s="174"/>
      <c r="GX37" s="174"/>
      <c r="GY37" s="174"/>
      <c r="GZ37" s="174"/>
      <c r="HA37" s="174"/>
      <c r="HB37" s="174"/>
      <c r="HC37" s="174"/>
      <c r="HD37" s="174"/>
      <c r="HE37" s="174"/>
      <c r="HF37" s="174"/>
      <c r="HG37" s="174"/>
      <c r="HH37" s="174"/>
      <c r="HI37" s="174"/>
      <c r="HJ37" s="174"/>
      <c r="HK37" s="174"/>
      <c r="HL37" s="174"/>
      <c r="HM37" s="174"/>
      <c r="HN37" s="174"/>
      <c r="HO37" s="174"/>
      <c r="HP37" s="174"/>
      <c r="HQ37" s="174"/>
      <c r="HR37" s="174"/>
      <c r="HS37" s="174"/>
      <c r="HT37" s="174"/>
      <c r="HU37" s="174"/>
      <c r="HV37" s="174"/>
      <c r="HW37" s="174"/>
      <c r="HX37" s="174"/>
      <c r="HY37" s="174"/>
      <c r="HZ37" s="174"/>
      <c r="IA37" s="174"/>
      <c r="IB37" s="174"/>
      <c r="IC37" s="174"/>
      <c r="ID37" s="174"/>
      <c r="IE37" s="174"/>
      <c r="IF37" s="174"/>
      <c r="IG37" s="174"/>
      <c r="IH37" s="174"/>
      <c r="II37" s="174"/>
      <c r="IJ37" s="174"/>
      <c r="IK37" s="174"/>
      <c r="IL37" s="174"/>
      <c r="IM37" s="174"/>
      <c r="IN37" s="174"/>
    </row>
    <row r="38" spans="1:248" s="149" customFormat="1" ht="14.25" customHeight="1" thickBot="1">
      <c r="A38" s="174"/>
      <c r="B38" s="174"/>
      <c r="C38" s="174"/>
      <c r="D38" s="175">
        <v>14</v>
      </c>
      <c r="E38" s="963" t="s">
        <v>158</v>
      </c>
      <c r="F38" s="964"/>
      <c r="G38" s="170">
        <v>196776</v>
      </c>
      <c r="H38" s="173">
        <f t="shared" si="7"/>
        <v>2.4455904684341896E-2</v>
      </c>
      <c r="I38" s="213">
        <f t="shared" si="8"/>
        <v>212766.37075377451</v>
      </c>
      <c r="J38" s="178" t="s">
        <v>158</v>
      </c>
      <c r="K38" s="209">
        <f>LS_RPRO!B19+MANUAL!B19+OUTSALE!B19</f>
        <v>0</v>
      </c>
      <c r="L38" s="214">
        <f t="shared" si="24"/>
        <v>-212766.37075377451</v>
      </c>
      <c r="M38" s="211">
        <f>K38/G15</f>
        <v>0</v>
      </c>
      <c r="N38" s="212">
        <f t="shared" si="25"/>
        <v>-1210375.1436734991</v>
      </c>
      <c r="O38" s="207"/>
      <c r="P38" s="170">
        <v>4550.8900000000003</v>
      </c>
      <c r="Q38" s="203">
        <f>LS_RPRO!C19+MANUAL!C19+OUTSALE!C19</f>
        <v>0</v>
      </c>
      <c r="R38" s="254">
        <f t="shared" si="9"/>
        <v>-1</v>
      </c>
      <c r="S38" s="250"/>
      <c r="T38" s="251"/>
      <c r="U38" s="663"/>
      <c r="V38" s="255" t="e">
        <f t="shared" si="0"/>
        <v>#DIV/0!</v>
      </c>
      <c r="W38" s="664">
        <f t="shared" si="10"/>
        <v>0</v>
      </c>
      <c r="X38" s="253"/>
      <c r="Y38" s="666">
        <f t="shared" si="11"/>
        <v>0</v>
      </c>
      <c r="Z38" s="279" t="e">
        <f t="shared" si="1"/>
        <v>#DIV/0!</v>
      </c>
      <c r="AA38" s="664">
        <f t="shared" si="12"/>
        <v>0</v>
      </c>
      <c r="AB38" s="667">
        <f t="shared" si="2"/>
        <v>0</v>
      </c>
      <c r="AC38" s="668" t="e">
        <f t="shared" si="13"/>
        <v>#DIV/0!</v>
      </c>
      <c r="AD38" s="280"/>
      <c r="AE38" s="676">
        <v>149294.51</v>
      </c>
      <c r="AF38" s="677">
        <f>LS_RPRO!O19+MANUAL!M19+OUTSALE!M19</f>
        <v>0</v>
      </c>
      <c r="AG38" s="678">
        <f t="shared" si="14"/>
        <v>-1</v>
      </c>
      <c r="AH38" s="174"/>
      <c r="AI38" s="686">
        <v>556</v>
      </c>
      <c r="AJ38" s="687">
        <f>LS_RPRO!M19</f>
        <v>0</v>
      </c>
      <c r="AK38" s="688">
        <f t="shared" si="3"/>
        <v>-1</v>
      </c>
      <c r="AL38" s="692">
        <v>48</v>
      </c>
      <c r="AM38" s="690">
        <f>LS_RPRO!H19+MANUAL!H19+OUTSALE!H19</f>
        <v>0</v>
      </c>
      <c r="AN38" s="688">
        <f t="shared" si="4"/>
        <v>-1</v>
      </c>
      <c r="AO38" s="688">
        <f t="shared" si="5"/>
        <v>8.6330935251798566E-2</v>
      </c>
      <c r="AP38" s="688" t="e">
        <f t="shared" si="5"/>
        <v>#DIV/0!</v>
      </c>
      <c r="AQ38" s="691" t="e">
        <f t="shared" si="6"/>
        <v>#DIV/0!</v>
      </c>
      <c r="AR38" s="174"/>
      <c r="AS38" s="705">
        <v>0</v>
      </c>
      <c r="AT38" s="687">
        <f>LS_RPRO!K19</f>
        <v>0</v>
      </c>
      <c r="AU38" s="688" t="e">
        <f t="shared" si="15"/>
        <v>#DIV/0!</v>
      </c>
      <c r="AV38" s="689">
        <v>4</v>
      </c>
      <c r="AW38" s="706">
        <f>LS_RPRO!L19</f>
        <v>0</v>
      </c>
      <c r="AX38" s="688">
        <f t="shared" si="16"/>
        <v>-1</v>
      </c>
      <c r="AY38" s="709">
        <f t="shared" si="26"/>
        <v>4</v>
      </c>
      <c r="AZ38" s="710">
        <f t="shared" si="26"/>
        <v>0</v>
      </c>
      <c r="BA38" s="691">
        <f t="shared" si="17"/>
        <v>-1</v>
      </c>
      <c r="BB38" s="154"/>
      <c r="BC38" s="720"/>
      <c r="BD38" s="721">
        <v>0</v>
      </c>
      <c r="BE38" s="691" t="e">
        <f t="shared" si="18"/>
        <v>#DIV/0!</v>
      </c>
      <c r="BF38" s="174"/>
      <c r="BG38" s="727"/>
      <c r="BH38" s="728"/>
      <c r="BI38" s="735" t="e">
        <f t="shared" si="19"/>
        <v>#DIV/0!</v>
      </c>
      <c r="BJ38" s="730"/>
      <c r="BK38" s="731"/>
      <c r="BL38" s="732" t="e">
        <f t="shared" si="20"/>
        <v>#DIV/0!</v>
      </c>
      <c r="BM38" s="729" t="e">
        <f t="shared" si="21"/>
        <v>#DIV/0!</v>
      </c>
      <c r="BN38" s="733" t="e">
        <f t="shared" si="21"/>
        <v>#DIV/0!</v>
      </c>
      <c r="BO38" s="734" t="e">
        <f t="shared" si="22"/>
        <v>#DIV/0!</v>
      </c>
      <c r="BP38" s="174"/>
      <c r="BQ38" s="720"/>
      <c r="BR38" s="721"/>
      <c r="BS38" s="691" t="e">
        <f t="shared" si="23"/>
        <v>#DIV/0!</v>
      </c>
      <c r="BT38" s="174"/>
      <c r="BU38" s="174"/>
      <c r="BV38" s="174"/>
      <c r="BW38" s="174"/>
      <c r="BX38" s="174"/>
      <c r="BY38" s="174"/>
      <c r="BZ38" s="174"/>
      <c r="CA38" s="174"/>
      <c r="CB38" s="174"/>
      <c r="CC38" s="174"/>
      <c r="CD38" s="174"/>
      <c r="CE38" s="174"/>
      <c r="CF38" s="174"/>
      <c r="CG38" s="174"/>
      <c r="CH38" s="174"/>
      <c r="CI38" s="174"/>
      <c r="CJ38" s="174"/>
      <c r="CK38" s="174"/>
      <c r="CL38" s="174"/>
      <c r="CM38" s="174"/>
      <c r="CN38" s="174"/>
      <c r="CO38" s="174"/>
      <c r="CP38" s="174"/>
      <c r="CQ38" s="174"/>
      <c r="CR38" s="174"/>
      <c r="CS38" s="174"/>
      <c r="CT38" s="174"/>
      <c r="CU38" s="174"/>
      <c r="CV38" s="174"/>
      <c r="CW38" s="174"/>
      <c r="CX38" s="174"/>
      <c r="CY38" s="174"/>
      <c r="CZ38" s="174"/>
      <c r="DA38" s="174"/>
      <c r="DB38" s="174"/>
      <c r="DC38" s="174"/>
      <c r="DD38" s="174"/>
      <c r="DE38" s="174"/>
      <c r="DF38" s="174"/>
      <c r="DG38" s="174"/>
      <c r="DH38" s="174"/>
      <c r="DI38" s="174"/>
      <c r="DJ38" s="174"/>
      <c r="DK38" s="174"/>
      <c r="DL38" s="174"/>
      <c r="DM38" s="174"/>
      <c r="DN38" s="174"/>
      <c r="DO38" s="174"/>
      <c r="DP38" s="174"/>
      <c r="DQ38" s="174"/>
      <c r="DR38" s="174"/>
      <c r="DS38" s="174"/>
      <c r="DT38" s="174"/>
      <c r="DU38" s="174"/>
      <c r="DV38" s="174"/>
      <c r="DW38" s="174"/>
      <c r="DX38" s="174"/>
      <c r="DY38" s="174"/>
      <c r="DZ38" s="174"/>
      <c r="EA38" s="174"/>
      <c r="EB38" s="174"/>
      <c r="EC38" s="174"/>
      <c r="ED38" s="174"/>
      <c r="EE38" s="174"/>
      <c r="EF38" s="174"/>
      <c r="EG38" s="174"/>
      <c r="EH38" s="174"/>
      <c r="EI38" s="174"/>
      <c r="EJ38" s="174"/>
      <c r="EK38" s="174"/>
      <c r="EL38" s="174"/>
      <c r="EM38" s="174"/>
      <c r="EN38" s="174"/>
      <c r="EO38" s="174"/>
      <c r="EP38" s="174"/>
      <c r="EQ38" s="174"/>
      <c r="ER38" s="174"/>
      <c r="ES38" s="174"/>
      <c r="ET38" s="174"/>
      <c r="EU38" s="174"/>
      <c r="EV38" s="174"/>
      <c r="EW38" s="174"/>
      <c r="EX38" s="174"/>
      <c r="EY38" s="174"/>
      <c r="EZ38" s="174"/>
      <c r="FA38" s="174"/>
      <c r="FB38" s="174"/>
      <c r="FC38" s="174"/>
      <c r="FD38" s="174"/>
      <c r="FE38" s="174"/>
      <c r="FF38" s="174"/>
      <c r="FG38" s="174"/>
      <c r="FH38" s="174"/>
      <c r="FI38" s="174"/>
      <c r="FJ38" s="174"/>
      <c r="FK38" s="174"/>
      <c r="FL38" s="174"/>
      <c r="FM38" s="174"/>
      <c r="FN38" s="174"/>
      <c r="FO38" s="174"/>
      <c r="FP38" s="174"/>
      <c r="FQ38" s="174"/>
      <c r="FR38" s="174"/>
      <c r="FS38" s="174"/>
      <c r="FT38" s="174"/>
      <c r="FU38" s="174"/>
      <c r="FV38" s="174"/>
      <c r="FW38" s="174"/>
      <c r="FX38" s="174"/>
      <c r="FY38" s="174"/>
      <c r="FZ38" s="174"/>
      <c r="GA38" s="174"/>
      <c r="GB38" s="174"/>
      <c r="GC38" s="174"/>
      <c r="GD38" s="174"/>
      <c r="GE38" s="174"/>
      <c r="GF38" s="174"/>
      <c r="GG38" s="174"/>
      <c r="GH38" s="174"/>
      <c r="GI38" s="174"/>
      <c r="GJ38" s="174"/>
      <c r="GK38" s="174"/>
      <c r="GL38" s="174"/>
      <c r="GM38" s="174"/>
      <c r="GN38" s="174"/>
      <c r="GO38" s="174"/>
      <c r="GP38" s="174"/>
      <c r="GQ38" s="174"/>
      <c r="GR38" s="174"/>
      <c r="GS38" s="174"/>
      <c r="GT38" s="174"/>
      <c r="GU38" s="174"/>
      <c r="GV38" s="174"/>
      <c r="GW38" s="174"/>
      <c r="GX38" s="174"/>
      <c r="GY38" s="174"/>
      <c r="GZ38" s="174"/>
      <c r="HA38" s="174"/>
      <c r="HB38" s="174"/>
      <c r="HC38" s="174"/>
      <c r="HD38" s="174"/>
      <c r="HE38" s="174"/>
      <c r="HF38" s="174"/>
      <c r="HG38" s="174"/>
      <c r="HH38" s="174"/>
      <c r="HI38" s="174"/>
      <c r="HJ38" s="174"/>
      <c r="HK38" s="174"/>
      <c r="HL38" s="174"/>
      <c r="HM38" s="174"/>
      <c r="HN38" s="174"/>
      <c r="HO38" s="174"/>
      <c r="HP38" s="174"/>
      <c r="HQ38" s="174"/>
      <c r="HR38" s="174"/>
      <c r="HS38" s="174"/>
      <c r="HT38" s="174"/>
      <c r="HU38" s="174"/>
      <c r="HV38" s="174"/>
      <c r="HW38" s="174"/>
      <c r="HX38" s="174"/>
      <c r="HY38" s="174"/>
      <c r="HZ38" s="174"/>
      <c r="IA38" s="174"/>
      <c r="IB38" s="174"/>
      <c r="IC38" s="174"/>
      <c r="ID38" s="174"/>
      <c r="IE38" s="174"/>
      <c r="IF38" s="174"/>
      <c r="IG38" s="174"/>
      <c r="IH38" s="174"/>
      <c r="II38" s="174"/>
      <c r="IJ38" s="174"/>
      <c r="IK38" s="174"/>
      <c r="IL38" s="174"/>
      <c r="IM38" s="174"/>
      <c r="IN38" s="174"/>
    </row>
    <row r="39" spans="1:248" s="149" customFormat="1" ht="14.25" customHeight="1" thickBot="1">
      <c r="A39" s="174"/>
      <c r="B39" s="174"/>
      <c r="C39" s="174"/>
      <c r="D39" s="175">
        <v>15</v>
      </c>
      <c r="E39" s="963" t="s">
        <v>159</v>
      </c>
      <c r="F39" s="964"/>
      <c r="G39" s="170">
        <v>217199.4</v>
      </c>
      <c r="H39" s="173">
        <f t="shared" si="7"/>
        <v>2.6994185387934751E-2</v>
      </c>
      <c r="I39" s="213">
        <f t="shared" si="8"/>
        <v>234849.41287503234</v>
      </c>
      <c r="J39" s="178" t="s">
        <v>159</v>
      </c>
      <c r="K39" s="209">
        <f>LS_RPRO!B20+MANUAL!B20+OUTSALE!B20</f>
        <v>0</v>
      </c>
      <c r="L39" s="214">
        <f t="shared" si="24"/>
        <v>-234849.41287503234</v>
      </c>
      <c r="M39" s="211">
        <f>K39/G15</f>
        <v>0</v>
      </c>
      <c r="N39" s="212">
        <f t="shared" si="25"/>
        <v>-1445224.5565485314</v>
      </c>
      <c r="O39" s="207"/>
      <c r="P39" s="170">
        <v>0</v>
      </c>
      <c r="Q39" s="203">
        <f>LS_RPRO!C20+MANUAL!C20+OUTSALE!C20</f>
        <v>0</v>
      </c>
      <c r="R39" s="254" t="e">
        <f t="shared" si="9"/>
        <v>#DIV/0!</v>
      </c>
      <c r="S39" s="250"/>
      <c r="T39" s="251"/>
      <c r="U39" s="663"/>
      <c r="V39" s="255" t="e">
        <f t="shared" si="0"/>
        <v>#DIV/0!</v>
      </c>
      <c r="W39" s="664">
        <f t="shared" si="10"/>
        <v>0</v>
      </c>
      <c r="X39" s="253"/>
      <c r="Y39" s="666">
        <f t="shared" si="11"/>
        <v>0</v>
      </c>
      <c r="Z39" s="279" t="e">
        <f t="shared" si="1"/>
        <v>#DIV/0!</v>
      </c>
      <c r="AA39" s="664">
        <f t="shared" si="12"/>
        <v>0</v>
      </c>
      <c r="AB39" s="667">
        <f t="shared" si="2"/>
        <v>0</v>
      </c>
      <c r="AC39" s="668" t="e">
        <f t="shared" si="13"/>
        <v>#DIV/0!</v>
      </c>
      <c r="AD39" s="280"/>
      <c r="AE39" s="676">
        <v>220023.25</v>
      </c>
      <c r="AF39" s="677">
        <f>LS_RPRO!O20+MANUAL!M20+OUTSALE!M20</f>
        <v>0</v>
      </c>
      <c r="AG39" s="678">
        <f t="shared" si="14"/>
        <v>-1</v>
      </c>
      <c r="AH39" s="174"/>
      <c r="AI39" s="686">
        <v>650</v>
      </c>
      <c r="AJ39" s="687">
        <f>LS_RPRO!M20</f>
        <v>0</v>
      </c>
      <c r="AK39" s="688">
        <f t="shared" si="3"/>
        <v>-1</v>
      </c>
      <c r="AL39" s="692">
        <v>121</v>
      </c>
      <c r="AM39" s="690">
        <f>LS_RPRO!H20+MANUAL!H20+OUTSALE!H20</f>
        <v>0</v>
      </c>
      <c r="AN39" s="688">
        <f t="shared" si="4"/>
        <v>-1</v>
      </c>
      <c r="AO39" s="688">
        <f t="shared" si="5"/>
        <v>0.18615384615384614</v>
      </c>
      <c r="AP39" s="688" t="e">
        <f t="shared" si="5"/>
        <v>#DIV/0!</v>
      </c>
      <c r="AQ39" s="691" t="e">
        <f t="shared" si="6"/>
        <v>#DIV/0!</v>
      </c>
      <c r="AR39" s="174"/>
      <c r="AS39" s="705">
        <v>0</v>
      </c>
      <c r="AT39" s="687">
        <f>LS_RPRO!K20</f>
        <v>0</v>
      </c>
      <c r="AU39" s="688" t="e">
        <f t="shared" si="15"/>
        <v>#DIV/0!</v>
      </c>
      <c r="AV39" s="689">
        <v>0</v>
      </c>
      <c r="AW39" s="706">
        <f>LS_RPRO!L20</f>
        <v>0</v>
      </c>
      <c r="AX39" s="688" t="e">
        <f t="shared" si="16"/>
        <v>#DIV/0!</v>
      </c>
      <c r="AY39" s="709">
        <f t="shared" si="26"/>
        <v>0</v>
      </c>
      <c r="AZ39" s="710">
        <f t="shared" si="26"/>
        <v>0</v>
      </c>
      <c r="BA39" s="691" t="e">
        <f t="shared" si="17"/>
        <v>#DIV/0!</v>
      </c>
      <c r="BB39" s="154"/>
      <c r="BC39" s="720"/>
      <c r="BD39" s="721">
        <v>0</v>
      </c>
      <c r="BE39" s="691" t="e">
        <f t="shared" si="18"/>
        <v>#DIV/0!</v>
      </c>
      <c r="BF39" s="174"/>
      <c r="BG39" s="727"/>
      <c r="BH39" s="728"/>
      <c r="BI39" s="735" t="e">
        <f t="shared" si="19"/>
        <v>#DIV/0!</v>
      </c>
      <c r="BJ39" s="730"/>
      <c r="BK39" s="731"/>
      <c r="BL39" s="732" t="e">
        <f t="shared" si="20"/>
        <v>#DIV/0!</v>
      </c>
      <c r="BM39" s="729" t="e">
        <f t="shared" si="21"/>
        <v>#DIV/0!</v>
      </c>
      <c r="BN39" s="733" t="e">
        <f t="shared" si="21"/>
        <v>#DIV/0!</v>
      </c>
      <c r="BO39" s="734" t="e">
        <f t="shared" si="22"/>
        <v>#DIV/0!</v>
      </c>
      <c r="BP39" s="174"/>
      <c r="BQ39" s="720"/>
      <c r="BR39" s="721"/>
      <c r="BS39" s="691" t="e">
        <f t="shared" si="23"/>
        <v>#DIV/0!</v>
      </c>
      <c r="BT39" s="174"/>
      <c r="BU39" s="174"/>
      <c r="BV39" s="174"/>
      <c r="BW39" s="174"/>
      <c r="BX39" s="174"/>
      <c r="BY39" s="174"/>
      <c r="BZ39" s="174"/>
      <c r="CA39" s="174"/>
      <c r="CB39" s="174"/>
      <c r="CC39" s="174"/>
      <c r="CD39" s="174"/>
      <c r="CE39" s="174"/>
      <c r="CF39" s="174"/>
      <c r="CG39" s="174"/>
      <c r="CH39" s="174"/>
      <c r="CI39" s="174"/>
      <c r="CJ39" s="174"/>
      <c r="CK39" s="174"/>
      <c r="CL39" s="174"/>
      <c r="CM39" s="174"/>
      <c r="CN39" s="174"/>
      <c r="CO39" s="174"/>
      <c r="CP39" s="174"/>
      <c r="CQ39" s="174"/>
      <c r="CR39" s="174"/>
      <c r="CS39" s="174"/>
      <c r="CT39" s="174"/>
      <c r="CU39" s="174"/>
      <c r="CV39" s="174"/>
      <c r="CW39" s="174"/>
      <c r="CX39" s="174"/>
      <c r="CY39" s="174"/>
      <c r="CZ39" s="174"/>
      <c r="DA39" s="174"/>
      <c r="DB39" s="174"/>
      <c r="DC39" s="174"/>
      <c r="DD39" s="174"/>
      <c r="DE39" s="174"/>
      <c r="DF39" s="174"/>
      <c r="DG39" s="174"/>
      <c r="DH39" s="174"/>
      <c r="DI39" s="174"/>
      <c r="DJ39" s="174"/>
      <c r="DK39" s="174"/>
      <c r="DL39" s="174"/>
      <c r="DM39" s="174"/>
      <c r="DN39" s="174"/>
      <c r="DO39" s="174"/>
      <c r="DP39" s="174"/>
      <c r="DQ39" s="174"/>
      <c r="DR39" s="174"/>
      <c r="DS39" s="174"/>
      <c r="DT39" s="174"/>
      <c r="DU39" s="174"/>
      <c r="DV39" s="174"/>
      <c r="DW39" s="174"/>
      <c r="DX39" s="174"/>
      <c r="DY39" s="174"/>
      <c r="DZ39" s="174"/>
      <c r="EA39" s="174"/>
      <c r="EB39" s="174"/>
      <c r="EC39" s="174"/>
      <c r="ED39" s="174"/>
      <c r="EE39" s="174"/>
      <c r="EF39" s="174"/>
      <c r="EG39" s="174"/>
      <c r="EH39" s="174"/>
      <c r="EI39" s="174"/>
      <c r="EJ39" s="174"/>
      <c r="EK39" s="174"/>
      <c r="EL39" s="174"/>
      <c r="EM39" s="174"/>
      <c r="EN39" s="174"/>
      <c r="EO39" s="174"/>
      <c r="EP39" s="174"/>
      <c r="EQ39" s="174"/>
      <c r="ER39" s="174"/>
      <c r="ES39" s="174"/>
      <c r="ET39" s="174"/>
      <c r="EU39" s="174"/>
      <c r="EV39" s="174"/>
      <c r="EW39" s="174"/>
      <c r="EX39" s="174"/>
      <c r="EY39" s="174"/>
      <c r="EZ39" s="174"/>
      <c r="FA39" s="174"/>
      <c r="FB39" s="174"/>
      <c r="FC39" s="174"/>
      <c r="FD39" s="174"/>
      <c r="FE39" s="174"/>
      <c r="FF39" s="174"/>
      <c r="FG39" s="174"/>
      <c r="FH39" s="174"/>
      <c r="FI39" s="174"/>
      <c r="FJ39" s="174"/>
      <c r="FK39" s="174"/>
      <c r="FL39" s="174"/>
      <c r="FM39" s="174"/>
      <c r="FN39" s="174"/>
      <c r="FO39" s="174"/>
      <c r="FP39" s="174"/>
      <c r="FQ39" s="174"/>
      <c r="FR39" s="174"/>
      <c r="FS39" s="174"/>
      <c r="FT39" s="174"/>
      <c r="FU39" s="174"/>
      <c r="FV39" s="174"/>
      <c r="FW39" s="174"/>
      <c r="FX39" s="174"/>
      <c r="FY39" s="174"/>
      <c r="FZ39" s="174"/>
      <c r="GA39" s="174"/>
      <c r="GB39" s="174"/>
      <c r="GC39" s="174"/>
      <c r="GD39" s="174"/>
      <c r="GE39" s="174"/>
      <c r="GF39" s="174"/>
      <c r="GG39" s="174"/>
      <c r="GH39" s="174"/>
      <c r="GI39" s="174"/>
      <c r="GJ39" s="174"/>
      <c r="GK39" s="174"/>
      <c r="GL39" s="174"/>
      <c r="GM39" s="174"/>
      <c r="GN39" s="174"/>
      <c r="GO39" s="174"/>
      <c r="GP39" s="174"/>
      <c r="GQ39" s="174"/>
      <c r="GR39" s="174"/>
      <c r="GS39" s="174"/>
      <c r="GT39" s="174"/>
      <c r="GU39" s="174"/>
      <c r="GV39" s="174"/>
      <c r="GW39" s="174"/>
      <c r="GX39" s="174"/>
      <c r="GY39" s="174"/>
      <c r="GZ39" s="174"/>
      <c r="HA39" s="174"/>
      <c r="HB39" s="174"/>
      <c r="HC39" s="174"/>
      <c r="HD39" s="174"/>
      <c r="HE39" s="174"/>
      <c r="HF39" s="174"/>
      <c r="HG39" s="174"/>
      <c r="HH39" s="174"/>
      <c r="HI39" s="174"/>
      <c r="HJ39" s="174"/>
      <c r="HK39" s="174"/>
      <c r="HL39" s="174"/>
      <c r="HM39" s="174"/>
      <c r="HN39" s="174"/>
      <c r="HO39" s="174"/>
      <c r="HP39" s="174"/>
      <c r="HQ39" s="174"/>
      <c r="HR39" s="174"/>
      <c r="HS39" s="174"/>
      <c r="HT39" s="174"/>
      <c r="HU39" s="174"/>
      <c r="HV39" s="174"/>
      <c r="HW39" s="174"/>
      <c r="HX39" s="174"/>
      <c r="HY39" s="174"/>
      <c r="HZ39" s="174"/>
      <c r="IA39" s="174"/>
      <c r="IB39" s="174"/>
      <c r="IC39" s="174"/>
      <c r="ID39" s="174"/>
      <c r="IE39" s="174"/>
      <c r="IF39" s="174"/>
      <c r="IG39" s="174"/>
      <c r="IH39" s="174"/>
      <c r="II39" s="174"/>
      <c r="IJ39" s="174"/>
      <c r="IK39" s="174"/>
      <c r="IL39" s="174"/>
      <c r="IM39" s="174"/>
      <c r="IN39" s="174"/>
    </row>
    <row r="40" spans="1:248" s="149" customFormat="1" ht="14.25" customHeight="1" thickBot="1">
      <c r="A40" s="174"/>
      <c r="B40" s="174"/>
      <c r="C40" s="174"/>
      <c r="D40" s="175">
        <v>16</v>
      </c>
      <c r="E40" s="963" t="s">
        <v>160</v>
      </c>
      <c r="F40" s="964"/>
      <c r="G40" s="170">
        <v>258189.75</v>
      </c>
      <c r="H40" s="177">
        <f t="shared" si="7"/>
        <v>3.2088587614719596E-2</v>
      </c>
      <c r="I40" s="213">
        <f t="shared" si="8"/>
        <v>279170.7122480605</v>
      </c>
      <c r="J40" s="178" t="s">
        <v>160</v>
      </c>
      <c r="K40" s="215">
        <f>LS_RPRO!B23+MANUAL!B23+OUTSALE!B23</f>
        <v>0</v>
      </c>
      <c r="L40" s="214">
        <f t="shared" si="24"/>
        <v>-279170.7122480605</v>
      </c>
      <c r="M40" s="216">
        <f>K40/G15</f>
        <v>0</v>
      </c>
      <c r="N40" s="217">
        <f t="shared" si="25"/>
        <v>-1724395.268796592</v>
      </c>
      <c r="O40" s="207"/>
      <c r="P40" s="170">
        <v>4249.5600000000004</v>
      </c>
      <c r="Q40" s="215">
        <f>LS_RPRO!C23+MANUAL!C23+OUTSALE!C23</f>
        <v>0</v>
      </c>
      <c r="R40" s="256">
        <f t="shared" si="9"/>
        <v>-1</v>
      </c>
      <c r="S40" s="257"/>
      <c r="T40" s="251"/>
      <c r="U40" s="663"/>
      <c r="V40" s="258" t="e">
        <f t="shared" si="0"/>
        <v>#DIV/0!</v>
      </c>
      <c r="W40" s="664">
        <f t="shared" si="10"/>
        <v>0</v>
      </c>
      <c r="X40" s="253"/>
      <c r="Y40" s="666">
        <f t="shared" si="11"/>
        <v>0</v>
      </c>
      <c r="Z40" s="279" t="e">
        <f t="shared" si="1"/>
        <v>#DIV/0!</v>
      </c>
      <c r="AA40" s="664">
        <f t="shared" si="12"/>
        <v>0</v>
      </c>
      <c r="AB40" s="667">
        <f t="shared" si="2"/>
        <v>0</v>
      </c>
      <c r="AC40" s="668" t="e">
        <f t="shared" si="13"/>
        <v>#DIV/0!</v>
      </c>
      <c r="AD40" s="280"/>
      <c r="AE40" s="676">
        <v>295936.09000000003</v>
      </c>
      <c r="AF40" s="677">
        <f>LS_RPRO!O23+MANUAL!M23+OUTSALE!M23</f>
        <v>0</v>
      </c>
      <c r="AG40" s="679">
        <f t="shared" si="14"/>
        <v>-1</v>
      </c>
      <c r="AH40" s="174"/>
      <c r="AI40" s="686">
        <v>716</v>
      </c>
      <c r="AJ40" s="693">
        <f>LS_RPRO!M23</f>
        <v>0</v>
      </c>
      <c r="AK40" s="694">
        <f t="shared" si="3"/>
        <v>-1</v>
      </c>
      <c r="AL40" s="692">
        <v>160</v>
      </c>
      <c r="AM40" s="690">
        <f>MANUAL!H23+LS_RPRO!H23+OUTSALE!H23</f>
        <v>0</v>
      </c>
      <c r="AN40" s="694">
        <f t="shared" si="4"/>
        <v>-1</v>
      </c>
      <c r="AO40" s="694">
        <f t="shared" si="5"/>
        <v>0.22346368715083798</v>
      </c>
      <c r="AP40" s="694" t="e">
        <f t="shared" si="5"/>
        <v>#DIV/0!</v>
      </c>
      <c r="AQ40" s="695" t="e">
        <f t="shared" si="6"/>
        <v>#DIV/0!</v>
      </c>
      <c r="AR40" s="174"/>
      <c r="AS40" s="705">
        <v>1</v>
      </c>
      <c r="AT40" s="693">
        <f>LS_RPRO!K23</f>
        <v>0</v>
      </c>
      <c r="AU40" s="694">
        <f t="shared" si="15"/>
        <v>-1</v>
      </c>
      <c r="AV40" s="689">
        <v>5</v>
      </c>
      <c r="AW40" s="710">
        <f>LS_RPRO!L23</f>
        <v>0</v>
      </c>
      <c r="AX40" s="694">
        <f t="shared" si="16"/>
        <v>-1</v>
      </c>
      <c r="AY40" s="709">
        <f t="shared" si="26"/>
        <v>6</v>
      </c>
      <c r="AZ40" s="710">
        <f t="shared" si="26"/>
        <v>0</v>
      </c>
      <c r="BA40" s="695">
        <f t="shared" si="17"/>
        <v>-1</v>
      </c>
      <c r="BB40" s="154"/>
      <c r="BC40" s="720"/>
      <c r="BD40" s="721">
        <v>0</v>
      </c>
      <c r="BE40" s="695" t="e">
        <f t="shared" si="18"/>
        <v>#DIV/0!</v>
      </c>
      <c r="BF40" s="174"/>
      <c r="BG40" s="727"/>
      <c r="BH40" s="728"/>
      <c r="BI40" s="735" t="e">
        <f t="shared" si="19"/>
        <v>#DIV/0!</v>
      </c>
      <c r="BJ40" s="730"/>
      <c r="BK40" s="731"/>
      <c r="BL40" s="732" t="e">
        <f t="shared" si="20"/>
        <v>#DIV/0!</v>
      </c>
      <c r="BM40" s="729" t="e">
        <f t="shared" si="21"/>
        <v>#DIV/0!</v>
      </c>
      <c r="BN40" s="733" t="e">
        <f t="shared" si="21"/>
        <v>#DIV/0!</v>
      </c>
      <c r="BO40" s="734" t="e">
        <f t="shared" si="22"/>
        <v>#DIV/0!</v>
      </c>
      <c r="BP40" s="174"/>
      <c r="BQ40" s="720"/>
      <c r="BR40" s="721"/>
      <c r="BS40" s="695" t="e">
        <f t="shared" si="23"/>
        <v>#DIV/0!</v>
      </c>
      <c r="BT40" s="174"/>
      <c r="BU40" s="174"/>
      <c r="BV40" s="174"/>
      <c r="BW40" s="174"/>
      <c r="BX40" s="174"/>
      <c r="BY40" s="174"/>
      <c r="BZ40" s="174"/>
      <c r="CA40" s="174"/>
      <c r="CB40" s="174"/>
      <c r="CC40" s="174"/>
      <c r="CD40" s="174"/>
      <c r="CE40" s="174"/>
      <c r="CF40" s="174"/>
      <c r="CG40" s="174"/>
      <c r="CH40" s="174"/>
      <c r="CI40" s="174"/>
      <c r="CJ40" s="174"/>
      <c r="CK40" s="174"/>
      <c r="CL40" s="174"/>
      <c r="CM40" s="174"/>
      <c r="CN40" s="174"/>
      <c r="CO40" s="174"/>
      <c r="CP40" s="174"/>
      <c r="CQ40" s="174"/>
      <c r="CR40" s="174"/>
      <c r="CS40" s="174"/>
      <c r="CT40" s="174"/>
      <c r="CU40" s="174"/>
      <c r="CV40" s="174"/>
      <c r="CW40" s="174"/>
      <c r="CX40" s="174"/>
      <c r="CY40" s="174"/>
      <c r="CZ40" s="174"/>
      <c r="DA40" s="174"/>
      <c r="DB40" s="174"/>
      <c r="DC40" s="174"/>
      <c r="DD40" s="174"/>
      <c r="DE40" s="174"/>
      <c r="DF40" s="174"/>
      <c r="DG40" s="174"/>
      <c r="DH40" s="174"/>
      <c r="DI40" s="174"/>
      <c r="DJ40" s="174"/>
      <c r="DK40" s="174"/>
      <c r="DL40" s="174"/>
      <c r="DM40" s="174"/>
      <c r="DN40" s="174"/>
      <c r="DO40" s="174"/>
      <c r="DP40" s="174"/>
      <c r="DQ40" s="174"/>
      <c r="DR40" s="174"/>
      <c r="DS40" s="174"/>
      <c r="DT40" s="174"/>
      <c r="DU40" s="174"/>
      <c r="DV40" s="174"/>
      <c r="DW40" s="174"/>
      <c r="DX40" s="174"/>
      <c r="DY40" s="174"/>
      <c r="DZ40" s="174"/>
      <c r="EA40" s="174"/>
      <c r="EB40" s="174"/>
      <c r="EC40" s="174"/>
      <c r="ED40" s="174"/>
      <c r="EE40" s="174"/>
      <c r="EF40" s="174"/>
      <c r="EG40" s="174"/>
      <c r="EH40" s="174"/>
      <c r="EI40" s="174"/>
      <c r="EJ40" s="174"/>
      <c r="EK40" s="174"/>
      <c r="EL40" s="174"/>
      <c r="EM40" s="174"/>
      <c r="EN40" s="174"/>
      <c r="EO40" s="174"/>
      <c r="EP40" s="174"/>
      <c r="EQ40" s="174"/>
      <c r="ER40" s="174"/>
      <c r="ES40" s="174"/>
      <c r="ET40" s="174"/>
      <c r="EU40" s="174"/>
      <c r="EV40" s="174"/>
      <c r="EW40" s="174"/>
      <c r="EX40" s="174"/>
      <c r="EY40" s="174"/>
      <c r="EZ40" s="174"/>
      <c r="FA40" s="174"/>
      <c r="FB40" s="174"/>
      <c r="FC40" s="174"/>
      <c r="FD40" s="174"/>
      <c r="FE40" s="174"/>
      <c r="FF40" s="174"/>
      <c r="FG40" s="174"/>
      <c r="FH40" s="174"/>
      <c r="FI40" s="174"/>
      <c r="FJ40" s="174"/>
      <c r="FK40" s="174"/>
      <c r="FL40" s="174"/>
      <c r="FM40" s="174"/>
      <c r="FN40" s="174"/>
      <c r="FO40" s="174"/>
      <c r="FP40" s="174"/>
      <c r="FQ40" s="174"/>
      <c r="FR40" s="174"/>
      <c r="FS40" s="174"/>
      <c r="FT40" s="174"/>
      <c r="FU40" s="174"/>
      <c r="FV40" s="174"/>
      <c r="FW40" s="174"/>
      <c r="FX40" s="174"/>
      <c r="FY40" s="174"/>
      <c r="FZ40" s="174"/>
      <c r="GA40" s="174"/>
      <c r="GB40" s="174"/>
      <c r="GC40" s="174"/>
      <c r="GD40" s="174"/>
      <c r="GE40" s="174"/>
      <c r="GF40" s="174"/>
      <c r="GG40" s="174"/>
      <c r="GH40" s="174"/>
      <c r="GI40" s="174"/>
      <c r="GJ40" s="174"/>
      <c r="GK40" s="174"/>
      <c r="GL40" s="174"/>
      <c r="GM40" s="174"/>
      <c r="GN40" s="174"/>
      <c r="GO40" s="174"/>
      <c r="GP40" s="174"/>
      <c r="GQ40" s="174"/>
      <c r="GR40" s="174"/>
      <c r="GS40" s="174"/>
      <c r="GT40" s="174"/>
      <c r="GU40" s="174"/>
      <c r="GV40" s="174"/>
      <c r="GW40" s="174"/>
      <c r="GX40" s="174"/>
      <c r="GY40" s="174"/>
      <c r="GZ40" s="174"/>
      <c r="HA40" s="174"/>
      <c r="HB40" s="174"/>
      <c r="HC40" s="174"/>
      <c r="HD40" s="174"/>
      <c r="HE40" s="174"/>
      <c r="HF40" s="174"/>
      <c r="HG40" s="174"/>
      <c r="HH40" s="174"/>
      <c r="HI40" s="174"/>
      <c r="HJ40" s="174"/>
      <c r="HK40" s="174"/>
      <c r="HL40" s="174"/>
      <c r="HM40" s="174"/>
      <c r="HN40" s="174"/>
      <c r="HO40" s="174"/>
      <c r="HP40" s="174"/>
      <c r="HQ40" s="174"/>
      <c r="HR40" s="174"/>
      <c r="HS40" s="174"/>
      <c r="HT40" s="174"/>
      <c r="HU40" s="174"/>
      <c r="HV40" s="174"/>
      <c r="HW40" s="174"/>
      <c r="HX40" s="174"/>
      <c r="HY40" s="174"/>
      <c r="HZ40" s="174"/>
      <c r="IA40" s="174"/>
      <c r="IB40" s="174"/>
      <c r="IC40" s="174"/>
      <c r="ID40" s="174"/>
      <c r="IE40" s="174"/>
      <c r="IF40" s="174"/>
      <c r="IG40" s="174"/>
      <c r="IH40" s="174"/>
      <c r="II40" s="174"/>
      <c r="IJ40" s="174"/>
      <c r="IK40" s="174"/>
      <c r="IL40" s="174"/>
      <c r="IM40" s="174"/>
      <c r="IN40" s="174"/>
    </row>
    <row r="41" spans="1:248" s="149" customFormat="1" ht="14.25" customHeight="1" thickBot="1">
      <c r="A41" s="174"/>
      <c r="B41" s="174"/>
      <c r="C41" s="174"/>
      <c r="D41" s="175">
        <v>17</v>
      </c>
      <c r="E41" s="963" t="s">
        <v>161</v>
      </c>
      <c r="F41" s="964"/>
      <c r="G41" s="170">
        <v>378674.3</v>
      </c>
      <c r="H41" s="177">
        <f t="shared" si="7"/>
        <v>4.7062764703062809E-2</v>
      </c>
      <c r="I41" s="213">
        <f t="shared" si="8"/>
        <v>409446.05291664647</v>
      </c>
      <c r="J41" s="178" t="s">
        <v>161</v>
      </c>
      <c r="K41" s="215">
        <f>LS_RPRO!B24+MANUAL!B24+OUTSALE!B24</f>
        <v>0</v>
      </c>
      <c r="L41" s="214">
        <f t="shared" si="24"/>
        <v>-409446.05291664647</v>
      </c>
      <c r="M41" s="216">
        <f>K41/G15</f>
        <v>0</v>
      </c>
      <c r="N41" s="217">
        <f t="shared" si="25"/>
        <v>-2133841.3217132385</v>
      </c>
      <c r="O41" s="207"/>
      <c r="P41" s="170">
        <v>3515.08</v>
      </c>
      <c r="Q41" s="215">
        <f>LS_RPRO!C24+MANUAL!C24+OUTSALE!C24</f>
        <v>0</v>
      </c>
      <c r="R41" s="256">
        <f t="shared" si="9"/>
        <v>-1</v>
      </c>
      <c r="S41" s="257"/>
      <c r="T41" s="251"/>
      <c r="U41" s="663"/>
      <c r="V41" s="258" t="e">
        <f t="shared" si="0"/>
        <v>#DIV/0!</v>
      </c>
      <c r="W41" s="664">
        <f t="shared" si="10"/>
        <v>0</v>
      </c>
      <c r="X41" s="253"/>
      <c r="Y41" s="666">
        <f t="shared" si="11"/>
        <v>0</v>
      </c>
      <c r="Z41" s="279" t="e">
        <f t="shared" si="1"/>
        <v>#DIV/0!</v>
      </c>
      <c r="AA41" s="664">
        <f t="shared" si="12"/>
        <v>0</v>
      </c>
      <c r="AB41" s="667">
        <f t="shared" si="2"/>
        <v>0</v>
      </c>
      <c r="AC41" s="668" t="e">
        <f t="shared" si="13"/>
        <v>#DIV/0!</v>
      </c>
      <c r="AD41" s="280"/>
      <c r="AE41" s="676">
        <v>334574.30000000005</v>
      </c>
      <c r="AF41" s="677">
        <f>LS_RPRO!O24+MANUAL!M24+OUTSALE!M24</f>
        <v>0</v>
      </c>
      <c r="AG41" s="679">
        <f t="shared" si="14"/>
        <v>-1</v>
      </c>
      <c r="AH41" s="174"/>
      <c r="AI41" s="686">
        <v>981</v>
      </c>
      <c r="AJ41" s="693">
        <f>LS_RPRO!M24</f>
        <v>0</v>
      </c>
      <c r="AK41" s="694">
        <f t="shared" si="3"/>
        <v>-1</v>
      </c>
      <c r="AL41" s="689">
        <v>202</v>
      </c>
      <c r="AM41" s="690">
        <f>MANUAL!H24+LS_RPRO!H24+OUTSALE!H24</f>
        <v>0</v>
      </c>
      <c r="AN41" s="694">
        <f t="shared" si="4"/>
        <v>-1</v>
      </c>
      <c r="AO41" s="694">
        <f t="shared" si="5"/>
        <v>0.20591233435270132</v>
      </c>
      <c r="AP41" s="694" t="e">
        <f t="shared" si="5"/>
        <v>#DIV/0!</v>
      </c>
      <c r="AQ41" s="695" t="e">
        <f t="shared" si="6"/>
        <v>#DIV/0!</v>
      </c>
      <c r="AR41" s="174"/>
      <c r="AS41" s="705">
        <v>1</v>
      </c>
      <c r="AT41" s="693">
        <f>LS_RPRO!K24</f>
        <v>0</v>
      </c>
      <c r="AU41" s="694">
        <f t="shared" si="15"/>
        <v>-1</v>
      </c>
      <c r="AV41" s="689">
        <v>6</v>
      </c>
      <c r="AW41" s="710">
        <f>LS_RPRO!L24</f>
        <v>0</v>
      </c>
      <c r="AX41" s="694">
        <f t="shared" si="16"/>
        <v>-1</v>
      </c>
      <c r="AY41" s="709">
        <f t="shared" si="26"/>
        <v>7</v>
      </c>
      <c r="AZ41" s="710">
        <f t="shared" si="26"/>
        <v>0</v>
      </c>
      <c r="BA41" s="695">
        <f t="shared" si="17"/>
        <v>-1</v>
      </c>
      <c r="BB41" s="154"/>
      <c r="BC41" s="720"/>
      <c r="BD41" s="721">
        <v>0</v>
      </c>
      <c r="BE41" s="695" t="e">
        <f t="shared" si="18"/>
        <v>#DIV/0!</v>
      </c>
      <c r="BF41" s="174"/>
      <c r="BG41" s="727"/>
      <c r="BH41" s="728"/>
      <c r="BI41" s="735" t="e">
        <f t="shared" si="19"/>
        <v>#DIV/0!</v>
      </c>
      <c r="BJ41" s="730"/>
      <c r="BK41" s="731"/>
      <c r="BL41" s="732" t="e">
        <f t="shared" si="20"/>
        <v>#DIV/0!</v>
      </c>
      <c r="BM41" s="729" t="e">
        <f t="shared" si="21"/>
        <v>#DIV/0!</v>
      </c>
      <c r="BN41" s="733" t="e">
        <f t="shared" si="21"/>
        <v>#DIV/0!</v>
      </c>
      <c r="BO41" s="738" t="e">
        <f t="shared" si="22"/>
        <v>#DIV/0!</v>
      </c>
      <c r="BP41" s="174"/>
      <c r="BQ41" s="720"/>
      <c r="BR41" s="721"/>
      <c r="BS41" s="695" t="e">
        <f t="shared" si="23"/>
        <v>#DIV/0!</v>
      </c>
      <c r="BT41" s="174"/>
      <c r="BU41" s="174"/>
      <c r="BV41" s="174"/>
      <c r="BW41" s="174"/>
      <c r="BX41" s="174"/>
      <c r="BY41" s="174"/>
      <c r="BZ41" s="174"/>
      <c r="CA41" s="174"/>
      <c r="CB41" s="174"/>
      <c r="CC41" s="174"/>
      <c r="CD41" s="174"/>
      <c r="CE41" s="174"/>
      <c r="CF41" s="174"/>
      <c r="CG41" s="174"/>
      <c r="CH41" s="174"/>
      <c r="CI41" s="174"/>
      <c r="CJ41" s="174"/>
      <c r="CK41" s="174"/>
      <c r="CL41" s="174"/>
      <c r="CM41" s="174"/>
      <c r="CN41" s="174"/>
      <c r="CO41" s="174"/>
      <c r="CP41" s="174"/>
      <c r="CQ41" s="174"/>
      <c r="CR41" s="174"/>
      <c r="CS41" s="174"/>
      <c r="CT41" s="174"/>
      <c r="CU41" s="174"/>
      <c r="CV41" s="174"/>
      <c r="CW41" s="174"/>
      <c r="CX41" s="174"/>
      <c r="CY41" s="174"/>
      <c r="CZ41" s="174"/>
      <c r="DA41" s="174"/>
      <c r="DB41" s="174"/>
      <c r="DC41" s="174"/>
      <c r="DD41" s="174"/>
      <c r="DE41" s="174"/>
      <c r="DF41" s="174"/>
      <c r="DG41" s="174"/>
      <c r="DH41" s="174"/>
      <c r="DI41" s="174"/>
      <c r="DJ41" s="174"/>
      <c r="DK41" s="174"/>
      <c r="DL41" s="174"/>
      <c r="DM41" s="174"/>
      <c r="DN41" s="174"/>
      <c r="DO41" s="174"/>
      <c r="DP41" s="174"/>
      <c r="DQ41" s="174"/>
      <c r="DR41" s="174"/>
      <c r="DS41" s="174"/>
      <c r="DT41" s="174"/>
      <c r="DU41" s="174"/>
      <c r="DV41" s="174"/>
      <c r="DW41" s="174"/>
      <c r="DX41" s="174"/>
      <c r="DY41" s="174"/>
      <c r="DZ41" s="174"/>
      <c r="EA41" s="174"/>
      <c r="EB41" s="174"/>
      <c r="EC41" s="174"/>
      <c r="ED41" s="174"/>
      <c r="EE41" s="174"/>
      <c r="EF41" s="174"/>
      <c r="EG41" s="174"/>
      <c r="EH41" s="174"/>
      <c r="EI41" s="174"/>
      <c r="EJ41" s="174"/>
      <c r="EK41" s="174"/>
      <c r="EL41" s="174"/>
      <c r="EM41" s="174"/>
      <c r="EN41" s="174"/>
      <c r="EO41" s="174"/>
      <c r="EP41" s="174"/>
      <c r="EQ41" s="174"/>
      <c r="ER41" s="174"/>
      <c r="ES41" s="174"/>
      <c r="ET41" s="174"/>
      <c r="EU41" s="174"/>
      <c r="EV41" s="174"/>
      <c r="EW41" s="174"/>
      <c r="EX41" s="174"/>
      <c r="EY41" s="174"/>
      <c r="EZ41" s="174"/>
      <c r="FA41" s="174"/>
      <c r="FB41" s="174"/>
      <c r="FC41" s="174"/>
      <c r="FD41" s="174"/>
      <c r="FE41" s="174"/>
      <c r="FF41" s="174"/>
      <c r="FG41" s="174"/>
      <c r="FH41" s="174"/>
      <c r="FI41" s="174"/>
      <c r="FJ41" s="174"/>
      <c r="FK41" s="174"/>
      <c r="FL41" s="174"/>
      <c r="FM41" s="174"/>
      <c r="FN41" s="174"/>
      <c r="FO41" s="174"/>
      <c r="FP41" s="174"/>
      <c r="FQ41" s="174"/>
      <c r="FR41" s="174"/>
      <c r="FS41" s="174"/>
      <c r="FT41" s="174"/>
      <c r="FU41" s="174"/>
      <c r="FV41" s="174"/>
      <c r="FW41" s="174"/>
      <c r="FX41" s="174"/>
      <c r="FY41" s="174"/>
      <c r="FZ41" s="174"/>
      <c r="GA41" s="174"/>
      <c r="GB41" s="174"/>
      <c r="GC41" s="174"/>
      <c r="GD41" s="174"/>
      <c r="GE41" s="174"/>
      <c r="GF41" s="174"/>
      <c r="GG41" s="174"/>
      <c r="GH41" s="174"/>
      <c r="GI41" s="174"/>
      <c r="GJ41" s="174"/>
      <c r="GK41" s="174"/>
      <c r="GL41" s="174"/>
      <c r="GM41" s="174"/>
      <c r="GN41" s="174"/>
      <c r="GO41" s="174"/>
      <c r="GP41" s="174"/>
      <c r="GQ41" s="174"/>
      <c r="GR41" s="174"/>
      <c r="GS41" s="174"/>
      <c r="GT41" s="174"/>
      <c r="GU41" s="174"/>
      <c r="GV41" s="174"/>
      <c r="GW41" s="174"/>
      <c r="GX41" s="174"/>
      <c r="GY41" s="174"/>
      <c r="GZ41" s="174"/>
      <c r="HA41" s="174"/>
      <c r="HB41" s="174"/>
      <c r="HC41" s="174"/>
      <c r="HD41" s="174"/>
      <c r="HE41" s="174"/>
      <c r="HF41" s="174"/>
      <c r="HG41" s="174"/>
      <c r="HH41" s="174"/>
      <c r="HI41" s="174"/>
      <c r="HJ41" s="174"/>
      <c r="HK41" s="174"/>
      <c r="HL41" s="174"/>
      <c r="HM41" s="174"/>
      <c r="HN41" s="174"/>
      <c r="HO41" s="174"/>
      <c r="HP41" s="174"/>
      <c r="HQ41" s="174"/>
      <c r="HR41" s="174"/>
      <c r="HS41" s="174"/>
      <c r="HT41" s="174"/>
      <c r="HU41" s="174"/>
      <c r="HV41" s="174"/>
      <c r="HW41" s="174"/>
      <c r="HX41" s="174"/>
      <c r="HY41" s="174"/>
      <c r="HZ41" s="174"/>
      <c r="IA41" s="174"/>
      <c r="IB41" s="174"/>
      <c r="IC41" s="174"/>
      <c r="ID41" s="174"/>
      <c r="IE41" s="174"/>
      <c r="IF41" s="174"/>
      <c r="IG41" s="174"/>
      <c r="IH41" s="174"/>
      <c r="II41" s="174"/>
      <c r="IJ41" s="174"/>
      <c r="IK41" s="174"/>
      <c r="IL41" s="174"/>
      <c r="IM41" s="174"/>
      <c r="IN41" s="174"/>
    </row>
    <row r="42" spans="1:248" s="149" customFormat="1" ht="14.25" customHeight="1" thickBot="1">
      <c r="A42" s="174"/>
      <c r="B42" s="174"/>
      <c r="C42" s="174"/>
      <c r="D42" s="175">
        <v>18</v>
      </c>
      <c r="E42" s="963" t="s">
        <v>155</v>
      </c>
      <c r="F42" s="964"/>
      <c r="G42" s="170">
        <v>420168.9</v>
      </c>
      <c r="H42" s="177">
        <f t="shared" si="7"/>
        <v>5.2219836614855381E-2</v>
      </c>
      <c r="I42" s="213">
        <f t="shared" si="8"/>
        <v>454312.57854924182</v>
      </c>
      <c r="J42" s="178" t="s">
        <v>155</v>
      </c>
      <c r="K42" s="215">
        <f>LS_RPRO!B25+MANUAL!B25+OUTSALE!B25</f>
        <v>0</v>
      </c>
      <c r="L42" s="214">
        <f t="shared" si="24"/>
        <v>-454312.57854924182</v>
      </c>
      <c r="M42" s="216">
        <f>K42/G15</f>
        <v>0</v>
      </c>
      <c r="N42" s="217">
        <f t="shared" si="25"/>
        <v>-2588153.9002624801</v>
      </c>
      <c r="O42" s="207"/>
      <c r="P42" s="170">
        <v>3450.43</v>
      </c>
      <c r="Q42" s="215">
        <f>LS_RPRO!C25+MANUAL!C25+OUTSALE!C25</f>
        <v>0</v>
      </c>
      <c r="R42" s="256">
        <f t="shared" si="9"/>
        <v>-1</v>
      </c>
      <c r="S42" s="257"/>
      <c r="T42" s="251"/>
      <c r="U42" s="663"/>
      <c r="V42" s="258" t="e">
        <f t="shared" si="0"/>
        <v>#DIV/0!</v>
      </c>
      <c r="W42" s="664">
        <f t="shared" si="10"/>
        <v>0</v>
      </c>
      <c r="X42" s="253"/>
      <c r="Y42" s="666">
        <f t="shared" si="11"/>
        <v>0</v>
      </c>
      <c r="Z42" s="279" t="e">
        <f t="shared" si="1"/>
        <v>#DIV/0!</v>
      </c>
      <c r="AA42" s="664">
        <f t="shared" si="12"/>
        <v>0</v>
      </c>
      <c r="AB42" s="667">
        <f t="shared" si="2"/>
        <v>0</v>
      </c>
      <c r="AC42" s="668" t="e">
        <f t="shared" si="13"/>
        <v>#DIV/0!</v>
      </c>
      <c r="AD42" s="280"/>
      <c r="AE42" s="676">
        <v>304557.83999999997</v>
      </c>
      <c r="AF42" s="677">
        <f>LS_RPRO!O25+MANUAL!M25+OUTSALE!M25</f>
        <v>0</v>
      </c>
      <c r="AG42" s="679">
        <f t="shared" si="14"/>
        <v>-1</v>
      </c>
      <c r="AH42" s="174"/>
      <c r="AI42" s="686">
        <v>1020</v>
      </c>
      <c r="AJ42" s="693">
        <f>LS_RPRO!M25</f>
        <v>0</v>
      </c>
      <c r="AK42" s="694">
        <f t="shared" si="3"/>
        <v>-1</v>
      </c>
      <c r="AL42" s="689">
        <v>201</v>
      </c>
      <c r="AM42" s="690">
        <f>MANUAL!H25+LS_RPRO!H25+OUTSALE!H25</f>
        <v>0</v>
      </c>
      <c r="AN42" s="694">
        <f t="shared" si="4"/>
        <v>-1</v>
      </c>
      <c r="AO42" s="694">
        <f t="shared" si="5"/>
        <v>0.19705882352941176</v>
      </c>
      <c r="AP42" s="694" t="e">
        <f t="shared" si="5"/>
        <v>#DIV/0!</v>
      </c>
      <c r="AQ42" s="695" t="e">
        <f t="shared" si="6"/>
        <v>#DIV/0!</v>
      </c>
      <c r="AR42" s="174"/>
      <c r="AS42" s="705">
        <v>0</v>
      </c>
      <c r="AT42" s="693">
        <f>LS_RPRO!K25</f>
        <v>0</v>
      </c>
      <c r="AU42" s="694" t="e">
        <f t="shared" si="15"/>
        <v>#DIV/0!</v>
      </c>
      <c r="AV42" s="689">
        <v>3</v>
      </c>
      <c r="AW42" s="710">
        <f>LS_RPRO!L25</f>
        <v>0</v>
      </c>
      <c r="AX42" s="694">
        <f t="shared" si="16"/>
        <v>-1</v>
      </c>
      <c r="AY42" s="709">
        <f t="shared" si="26"/>
        <v>3</v>
      </c>
      <c r="AZ42" s="710">
        <f t="shared" si="26"/>
        <v>0</v>
      </c>
      <c r="BA42" s="695">
        <f t="shared" si="17"/>
        <v>-1</v>
      </c>
      <c r="BB42" s="154"/>
      <c r="BC42" s="720"/>
      <c r="BD42" s="721">
        <v>0</v>
      </c>
      <c r="BE42" s="695" t="e">
        <f t="shared" si="18"/>
        <v>#DIV/0!</v>
      </c>
      <c r="BF42" s="174"/>
      <c r="BG42" s="727"/>
      <c r="BH42" s="728"/>
      <c r="BI42" s="735" t="e">
        <f t="shared" si="19"/>
        <v>#DIV/0!</v>
      </c>
      <c r="BJ42" s="730"/>
      <c r="BK42" s="731"/>
      <c r="BL42" s="732" t="e">
        <f t="shared" si="20"/>
        <v>#DIV/0!</v>
      </c>
      <c r="BM42" s="729" t="e">
        <f t="shared" si="21"/>
        <v>#DIV/0!</v>
      </c>
      <c r="BN42" s="733" t="e">
        <f t="shared" si="21"/>
        <v>#DIV/0!</v>
      </c>
      <c r="BO42" s="738" t="e">
        <f t="shared" si="22"/>
        <v>#DIV/0!</v>
      </c>
      <c r="BP42" s="174"/>
      <c r="BQ42" s="720"/>
      <c r="BR42" s="721"/>
      <c r="BS42" s="695" t="e">
        <f t="shared" si="23"/>
        <v>#DIV/0!</v>
      </c>
      <c r="BT42" s="174"/>
      <c r="BU42" s="174"/>
      <c r="BV42" s="174"/>
      <c r="BW42" s="174"/>
      <c r="BX42" s="174"/>
      <c r="BY42" s="174"/>
      <c r="BZ42" s="174"/>
      <c r="CA42" s="174"/>
      <c r="CB42" s="174"/>
      <c r="CC42" s="174"/>
      <c r="CD42" s="174"/>
      <c r="CE42" s="174"/>
      <c r="CF42" s="174"/>
      <c r="CG42" s="174"/>
      <c r="CH42" s="174"/>
      <c r="CI42" s="174"/>
      <c r="CJ42" s="174"/>
      <c r="CK42" s="174"/>
      <c r="CL42" s="174"/>
      <c r="CM42" s="174"/>
      <c r="CN42" s="174"/>
      <c r="CO42" s="174"/>
      <c r="CP42" s="174"/>
      <c r="CQ42" s="174"/>
      <c r="CR42" s="174"/>
      <c r="CS42" s="174"/>
      <c r="CT42" s="174"/>
      <c r="CU42" s="174"/>
      <c r="CV42" s="174"/>
      <c r="CW42" s="174"/>
      <c r="CX42" s="174"/>
      <c r="CY42" s="174"/>
      <c r="CZ42" s="174"/>
      <c r="DA42" s="174"/>
      <c r="DB42" s="174"/>
      <c r="DC42" s="174"/>
      <c r="DD42" s="174"/>
      <c r="DE42" s="174"/>
      <c r="DF42" s="174"/>
      <c r="DG42" s="174"/>
      <c r="DH42" s="174"/>
      <c r="DI42" s="174"/>
      <c r="DJ42" s="174"/>
      <c r="DK42" s="174"/>
      <c r="DL42" s="174"/>
      <c r="DM42" s="174"/>
      <c r="DN42" s="174"/>
      <c r="DO42" s="174"/>
      <c r="DP42" s="174"/>
      <c r="DQ42" s="174"/>
      <c r="DR42" s="174"/>
      <c r="DS42" s="174"/>
      <c r="DT42" s="174"/>
      <c r="DU42" s="174"/>
      <c r="DV42" s="174"/>
      <c r="DW42" s="174"/>
      <c r="DX42" s="174"/>
      <c r="DY42" s="174"/>
      <c r="DZ42" s="174"/>
      <c r="EA42" s="174"/>
      <c r="EB42" s="174"/>
      <c r="EC42" s="174"/>
      <c r="ED42" s="174"/>
      <c r="EE42" s="174"/>
      <c r="EF42" s="174"/>
      <c r="EG42" s="174"/>
      <c r="EH42" s="174"/>
      <c r="EI42" s="174"/>
      <c r="EJ42" s="174"/>
      <c r="EK42" s="174"/>
      <c r="EL42" s="174"/>
      <c r="EM42" s="174"/>
      <c r="EN42" s="174"/>
      <c r="EO42" s="174"/>
      <c r="EP42" s="174"/>
      <c r="EQ42" s="174"/>
      <c r="ER42" s="174"/>
      <c r="ES42" s="174"/>
      <c r="ET42" s="174"/>
      <c r="EU42" s="174"/>
      <c r="EV42" s="174"/>
      <c r="EW42" s="174"/>
      <c r="EX42" s="174"/>
      <c r="EY42" s="174"/>
      <c r="EZ42" s="174"/>
      <c r="FA42" s="174"/>
      <c r="FB42" s="174"/>
      <c r="FC42" s="174"/>
      <c r="FD42" s="174"/>
      <c r="FE42" s="174"/>
      <c r="FF42" s="174"/>
      <c r="FG42" s="174"/>
      <c r="FH42" s="174"/>
      <c r="FI42" s="174"/>
      <c r="FJ42" s="174"/>
      <c r="FK42" s="174"/>
      <c r="FL42" s="174"/>
      <c r="FM42" s="174"/>
      <c r="FN42" s="174"/>
      <c r="FO42" s="174"/>
      <c r="FP42" s="174"/>
      <c r="FQ42" s="174"/>
      <c r="FR42" s="174"/>
      <c r="FS42" s="174"/>
      <c r="FT42" s="174"/>
      <c r="FU42" s="174"/>
      <c r="FV42" s="174"/>
      <c r="FW42" s="174"/>
      <c r="FX42" s="174"/>
      <c r="FY42" s="174"/>
      <c r="FZ42" s="174"/>
      <c r="GA42" s="174"/>
      <c r="GB42" s="174"/>
      <c r="GC42" s="174"/>
      <c r="GD42" s="174"/>
      <c r="GE42" s="174"/>
      <c r="GF42" s="174"/>
      <c r="GG42" s="174"/>
      <c r="GH42" s="174"/>
      <c r="GI42" s="174"/>
      <c r="GJ42" s="174"/>
      <c r="GK42" s="174"/>
      <c r="GL42" s="174"/>
      <c r="GM42" s="174"/>
      <c r="GN42" s="174"/>
      <c r="GO42" s="174"/>
      <c r="GP42" s="174"/>
      <c r="GQ42" s="174"/>
      <c r="GR42" s="174"/>
      <c r="GS42" s="174"/>
      <c r="GT42" s="174"/>
      <c r="GU42" s="174"/>
      <c r="GV42" s="174"/>
      <c r="GW42" s="174"/>
      <c r="GX42" s="174"/>
      <c r="GY42" s="174"/>
      <c r="GZ42" s="174"/>
      <c r="HA42" s="174"/>
      <c r="HB42" s="174"/>
      <c r="HC42" s="174"/>
      <c r="HD42" s="174"/>
      <c r="HE42" s="174"/>
      <c r="HF42" s="174"/>
      <c r="HG42" s="174"/>
      <c r="HH42" s="174"/>
      <c r="HI42" s="174"/>
      <c r="HJ42" s="174"/>
      <c r="HK42" s="174"/>
      <c r="HL42" s="174"/>
      <c r="HM42" s="174"/>
      <c r="HN42" s="174"/>
      <c r="HO42" s="174"/>
      <c r="HP42" s="174"/>
      <c r="HQ42" s="174"/>
      <c r="HR42" s="174"/>
      <c r="HS42" s="174"/>
      <c r="HT42" s="174"/>
      <c r="HU42" s="174"/>
      <c r="HV42" s="174"/>
      <c r="HW42" s="174"/>
      <c r="HX42" s="174"/>
      <c r="HY42" s="174"/>
      <c r="HZ42" s="174"/>
      <c r="IA42" s="174"/>
      <c r="IB42" s="174"/>
      <c r="IC42" s="174"/>
      <c r="ID42" s="174"/>
      <c r="IE42" s="174"/>
      <c r="IF42" s="174"/>
      <c r="IG42" s="174"/>
      <c r="IH42" s="174"/>
      <c r="II42" s="174"/>
      <c r="IJ42" s="174"/>
      <c r="IK42" s="174"/>
      <c r="IL42" s="174"/>
      <c r="IM42" s="174"/>
      <c r="IN42" s="174"/>
    </row>
    <row r="43" spans="1:248" s="149" customFormat="1" ht="14.25" customHeight="1" thickBot="1">
      <c r="A43" s="174"/>
      <c r="B43" s="174"/>
      <c r="C43" s="174"/>
      <c r="D43" s="175">
        <v>19</v>
      </c>
      <c r="E43" s="963" t="s">
        <v>156</v>
      </c>
      <c r="F43" s="964"/>
      <c r="G43" s="170">
        <v>420278.56</v>
      </c>
      <c r="H43" s="177">
        <f t="shared" si="7"/>
        <v>5.2233465484776934E-2</v>
      </c>
      <c r="I43" s="213">
        <f t="shared" si="8"/>
        <v>454431.14971755934</v>
      </c>
      <c r="J43" s="178" t="s">
        <v>156</v>
      </c>
      <c r="K43" s="215">
        <f>LS_RPRO!B26+MANUAL!B26+OUTSALE!B26</f>
        <v>0</v>
      </c>
      <c r="L43" s="214">
        <f t="shared" si="24"/>
        <v>-454431.14971755934</v>
      </c>
      <c r="M43" s="216">
        <f>K43/G15</f>
        <v>0</v>
      </c>
      <c r="N43" s="217">
        <f t="shared" si="25"/>
        <v>-3042585.0499800397</v>
      </c>
      <c r="O43" s="207"/>
      <c r="P43" s="170">
        <v>0</v>
      </c>
      <c r="Q43" s="215">
        <f>LS_RPRO!C26+MANUAL!C26+OUTSALE!C26</f>
        <v>0</v>
      </c>
      <c r="R43" s="256" t="e">
        <f t="shared" si="9"/>
        <v>#DIV/0!</v>
      </c>
      <c r="S43" s="257"/>
      <c r="T43" s="251"/>
      <c r="U43" s="663"/>
      <c r="V43" s="258" t="e">
        <f t="shared" si="0"/>
        <v>#DIV/0!</v>
      </c>
      <c r="W43" s="664">
        <f t="shared" si="10"/>
        <v>0</v>
      </c>
      <c r="X43" s="253"/>
      <c r="Y43" s="666">
        <f t="shared" si="11"/>
        <v>0</v>
      </c>
      <c r="Z43" s="279" t="e">
        <f t="shared" si="1"/>
        <v>#DIV/0!</v>
      </c>
      <c r="AA43" s="664">
        <f t="shared" si="12"/>
        <v>0</v>
      </c>
      <c r="AB43" s="667">
        <f t="shared" si="2"/>
        <v>0</v>
      </c>
      <c r="AC43" s="668" t="e">
        <f t="shared" si="13"/>
        <v>#DIV/0!</v>
      </c>
      <c r="AD43" s="280"/>
      <c r="AE43" s="676">
        <v>150434</v>
      </c>
      <c r="AF43" s="677">
        <f>LS_RPRO!O26+MANUAL!M26+OUTSALE!M26</f>
        <v>0</v>
      </c>
      <c r="AG43" s="679">
        <f t="shared" si="14"/>
        <v>-1</v>
      </c>
      <c r="AH43" s="174"/>
      <c r="AI43" s="686">
        <v>464</v>
      </c>
      <c r="AJ43" s="693">
        <f>LS_RPRO!M26</f>
        <v>0</v>
      </c>
      <c r="AK43" s="694">
        <f t="shared" si="3"/>
        <v>-1</v>
      </c>
      <c r="AL43" s="689">
        <v>68</v>
      </c>
      <c r="AM43" s="690">
        <f>MANUAL!H26+LS_RPRO!H26+OUTSALE!H26</f>
        <v>0</v>
      </c>
      <c r="AN43" s="694">
        <f t="shared" si="4"/>
        <v>-1</v>
      </c>
      <c r="AO43" s="694">
        <f t="shared" si="5"/>
        <v>0.14655172413793102</v>
      </c>
      <c r="AP43" s="694" t="e">
        <f t="shared" si="5"/>
        <v>#DIV/0!</v>
      </c>
      <c r="AQ43" s="695" t="e">
        <f t="shared" si="6"/>
        <v>#DIV/0!</v>
      </c>
      <c r="AR43" s="174"/>
      <c r="AS43" s="705">
        <v>3</v>
      </c>
      <c r="AT43" s="693">
        <f>LS_RPRO!K26</f>
        <v>0</v>
      </c>
      <c r="AU43" s="694">
        <f t="shared" si="15"/>
        <v>-1</v>
      </c>
      <c r="AV43" s="689">
        <v>0</v>
      </c>
      <c r="AW43" s="710">
        <f>LS_RPRO!L26</f>
        <v>0</v>
      </c>
      <c r="AX43" s="694" t="e">
        <f t="shared" si="16"/>
        <v>#DIV/0!</v>
      </c>
      <c r="AY43" s="709">
        <f t="shared" si="26"/>
        <v>3</v>
      </c>
      <c r="AZ43" s="710">
        <f t="shared" si="26"/>
        <v>0</v>
      </c>
      <c r="BA43" s="695">
        <f t="shared" si="17"/>
        <v>-1</v>
      </c>
      <c r="BB43" s="154"/>
      <c r="BC43" s="720"/>
      <c r="BD43" s="721">
        <v>0</v>
      </c>
      <c r="BE43" s="695" t="e">
        <f t="shared" si="18"/>
        <v>#DIV/0!</v>
      </c>
      <c r="BF43" s="174"/>
      <c r="BG43" s="727"/>
      <c r="BH43" s="728"/>
      <c r="BI43" s="735" t="e">
        <f t="shared" si="19"/>
        <v>#DIV/0!</v>
      </c>
      <c r="BJ43" s="730"/>
      <c r="BK43" s="731"/>
      <c r="BL43" s="732" t="e">
        <f t="shared" si="20"/>
        <v>#DIV/0!</v>
      </c>
      <c r="BM43" s="729" t="e">
        <f t="shared" si="21"/>
        <v>#DIV/0!</v>
      </c>
      <c r="BN43" s="733" t="e">
        <f t="shared" si="21"/>
        <v>#DIV/0!</v>
      </c>
      <c r="BO43" s="738" t="e">
        <f t="shared" si="22"/>
        <v>#DIV/0!</v>
      </c>
      <c r="BP43" s="174"/>
      <c r="BQ43" s="720"/>
      <c r="BR43" s="721"/>
      <c r="BS43" s="695" t="e">
        <f t="shared" si="23"/>
        <v>#DIV/0!</v>
      </c>
      <c r="BT43" s="174"/>
      <c r="BU43" s="174"/>
      <c r="BV43" s="174"/>
      <c r="BW43" s="174"/>
      <c r="BX43" s="174"/>
      <c r="BY43" s="174"/>
      <c r="BZ43" s="174"/>
      <c r="CA43" s="174"/>
      <c r="CB43" s="174"/>
      <c r="CC43" s="174"/>
      <c r="CD43" s="174"/>
      <c r="CE43" s="174"/>
      <c r="CF43" s="174"/>
      <c r="CG43" s="174"/>
      <c r="CH43" s="174"/>
      <c r="CI43" s="174"/>
      <c r="CJ43" s="174"/>
      <c r="CK43" s="174"/>
      <c r="CL43" s="174"/>
      <c r="CM43" s="174"/>
      <c r="CN43" s="174"/>
      <c r="CO43" s="174"/>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c r="DN43" s="174"/>
      <c r="DO43" s="174"/>
      <c r="DP43" s="174"/>
      <c r="DQ43" s="174"/>
      <c r="DR43" s="174"/>
      <c r="DS43" s="174"/>
      <c r="DT43" s="174"/>
      <c r="DU43" s="174"/>
      <c r="DV43" s="174"/>
      <c r="DW43" s="174"/>
      <c r="DX43" s="174"/>
      <c r="DY43" s="174"/>
      <c r="DZ43" s="174"/>
      <c r="EA43" s="174"/>
      <c r="EB43" s="174"/>
      <c r="EC43" s="174"/>
      <c r="ED43" s="174"/>
      <c r="EE43" s="174"/>
      <c r="EF43" s="174"/>
      <c r="EG43" s="174"/>
      <c r="EH43" s="174"/>
      <c r="EI43" s="174"/>
      <c r="EJ43" s="174"/>
      <c r="EK43" s="174"/>
      <c r="EL43" s="174"/>
      <c r="EM43" s="174"/>
      <c r="EN43" s="174"/>
      <c r="EO43" s="174"/>
      <c r="EP43" s="174"/>
      <c r="EQ43" s="174"/>
      <c r="ER43" s="174"/>
      <c r="ES43" s="174"/>
      <c r="ET43" s="174"/>
      <c r="EU43" s="174"/>
      <c r="EV43" s="174"/>
      <c r="EW43" s="174"/>
      <c r="EX43" s="174"/>
      <c r="EY43" s="174"/>
      <c r="EZ43" s="174"/>
      <c r="FA43" s="174"/>
      <c r="FB43" s="174"/>
      <c r="FC43" s="174"/>
      <c r="FD43" s="174"/>
      <c r="FE43" s="174"/>
      <c r="FF43" s="174"/>
      <c r="FG43" s="174"/>
      <c r="FH43" s="174"/>
      <c r="FI43" s="174"/>
      <c r="FJ43" s="174"/>
      <c r="FK43" s="174"/>
      <c r="FL43" s="174"/>
      <c r="FM43" s="174"/>
      <c r="FN43" s="174"/>
      <c r="FO43" s="174"/>
      <c r="FP43" s="174"/>
      <c r="FQ43" s="174"/>
      <c r="FR43" s="174"/>
      <c r="FS43" s="174"/>
      <c r="FT43" s="174"/>
      <c r="FU43" s="174"/>
      <c r="FV43" s="174"/>
      <c r="FW43" s="174"/>
      <c r="FX43" s="174"/>
      <c r="FY43" s="174"/>
      <c r="FZ43" s="174"/>
      <c r="GA43" s="174"/>
      <c r="GB43" s="174"/>
      <c r="GC43" s="174"/>
      <c r="GD43" s="174"/>
      <c r="GE43" s="174"/>
      <c r="GF43" s="174"/>
      <c r="GG43" s="174"/>
      <c r="GH43" s="174"/>
      <c r="GI43" s="174"/>
      <c r="GJ43" s="174"/>
      <c r="GK43" s="174"/>
      <c r="GL43" s="174"/>
      <c r="GM43" s="174"/>
      <c r="GN43" s="174"/>
      <c r="GO43" s="174"/>
      <c r="GP43" s="174"/>
      <c r="GQ43" s="174"/>
      <c r="GR43" s="174"/>
      <c r="GS43" s="174"/>
      <c r="GT43" s="174"/>
      <c r="GU43" s="174"/>
      <c r="GV43" s="174"/>
      <c r="GW43" s="174"/>
      <c r="GX43" s="174"/>
      <c r="GY43" s="174"/>
      <c r="GZ43" s="174"/>
      <c r="HA43" s="174"/>
      <c r="HB43" s="174"/>
      <c r="HC43" s="174"/>
      <c r="HD43" s="174"/>
      <c r="HE43" s="174"/>
      <c r="HF43" s="174"/>
      <c r="HG43" s="174"/>
      <c r="HH43" s="174"/>
      <c r="HI43" s="174"/>
      <c r="HJ43" s="174"/>
      <c r="HK43" s="174"/>
      <c r="HL43" s="174"/>
      <c r="HM43" s="174"/>
      <c r="HN43" s="174"/>
      <c r="HO43" s="174"/>
      <c r="HP43" s="174"/>
      <c r="HQ43" s="174"/>
      <c r="HR43" s="174"/>
      <c r="HS43" s="174"/>
      <c r="HT43" s="174"/>
      <c r="HU43" s="174"/>
      <c r="HV43" s="174"/>
      <c r="HW43" s="174"/>
      <c r="HX43" s="174"/>
      <c r="HY43" s="174"/>
      <c r="HZ43" s="174"/>
      <c r="IA43" s="174"/>
      <c r="IB43" s="174"/>
      <c r="IC43" s="174"/>
      <c r="ID43" s="174"/>
      <c r="IE43" s="174"/>
      <c r="IF43" s="174"/>
      <c r="IG43" s="174"/>
      <c r="IH43" s="174"/>
      <c r="II43" s="174"/>
      <c r="IJ43" s="174"/>
      <c r="IK43" s="174"/>
      <c r="IL43" s="174"/>
      <c r="IM43" s="174"/>
      <c r="IN43" s="174"/>
    </row>
    <row r="44" spans="1:248" s="149" customFormat="1" ht="14.25" customHeight="1" thickBot="1">
      <c r="A44" s="174"/>
      <c r="B44" s="174"/>
      <c r="C44" s="174"/>
      <c r="D44" s="175">
        <v>20</v>
      </c>
      <c r="E44" s="963" t="s">
        <v>157</v>
      </c>
      <c r="F44" s="964"/>
      <c r="G44" s="170">
        <v>179352.45</v>
      </c>
      <c r="H44" s="177">
        <f t="shared" si="7"/>
        <v>2.2290454232747874E-2</v>
      </c>
      <c r="I44" s="213">
        <f t="shared" si="8"/>
        <v>193926.95182490651</v>
      </c>
      <c r="J44" s="178" t="s">
        <v>157</v>
      </c>
      <c r="K44" s="215">
        <f>LS_RPRO!B27+MANUAL!B27+OUTSALE!B27</f>
        <v>0</v>
      </c>
      <c r="L44" s="214">
        <f t="shared" si="24"/>
        <v>-193926.95182490651</v>
      </c>
      <c r="M44" s="216">
        <f>K44/G15</f>
        <v>0</v>
      </c>
      <c r="N44" s="217">
        <f t="shared" si="25"/>
        <v>-3236512.001804946</v>
      </c>
      <c r="O44" s="207"/>
      <c r="P44" s="170">
        <v>2300</v>
      </c>
      <c r="Q44" s="215">
        <f>LS_RPRO!C27+MANUAL!C27+OUTSALE!C27</f>
        <v>0</v>
      </c>
      <c r="R44" s="256">
        <f t="shared" si="9"/>
        <v>-1</v>
      </c>
      <c r="S44" s="257"/>
      <c r="T44" s="251"/>
      <c r="U44" s="663"/>
      <c r="V44" s="258" t="e">
        <f t="shared" si="0"/>
        <v>#DIV/0!</v>
      </c>
      <c r="W44" s="664">
        <f t="shared" si="10"/>
        <v>0</v>
      </c>
      <c r="X44" s="253"/>
      <c r="Y44" s="666">
        <f t="shared" si="11"/>
        <v>0</v>
      </c>
      <c r="Z44" s="279" t="e">
        <f t="shared" si="1"/>
        <v>#DIV/0!</v>
      </c>
      <c r="AA44" s="664">
        <f t="shared" si="12"/>
        <v>0</v>
      </c>
      <c r="AB44" s="667">
        <f t="shared" si="2"/>
        <v>0</v>
      </c>
      <c r="AC44" s="668" t="e">
        <f t="shared" si="13"/>
        <v>#DIV/0!</v>
      </c>
      <c r="AD44" s="280"/>
      <c r="AE44" s="676">
        <v>138094.6</v>
      </c>
      <c r="AF44" s="677">
        <f>LS_RPRO!O27+MANUAL!M27+OUTSALE!M27</f>
        <v>0</v>
      </c>
      <c r="AG44" s="679">
        <f t="shared" si="14"/>
        <v>-1</v>
      </c>
      <c r="AH44" s="174"/>
      <c r="AI44" s="686">
        <v>307</v>
      </c>
      <c r="AJ44" s="693">
        <f>LS_RPRO!M27</f>
        <v>0</v>
      </c>
      <c r="AK44" s="694">
        <f t="shared" si="3"/>
        <v>-1</v>
      </c>
      <c r="AL44" s="689">
        <v>75</v>
      </c>
      <c r="AM44" s="690">
        <f>MANUAL!H27+LS_RPRO!H27+OUTSALE!H27</f>
        <v>0</v>
      </c>
      <c r="AN44" s="694">
        <f t="shared" si="4"/>
        <v>-1</v>
      </c>
      <c r="AO44" s="694">
        <f t="shared" si="5"/>
        <v>0.24429967426710097</v>
      </c>
      <c r="AP44" s="694" t="e">
        <f t="shared" si="5"/>
        <v>#DIV/0!</v>
      </c>
      <c r="AQ44" s="695" t="e">
        <f t="shared" si="6"/>
        <v>#DIV/0!</v>
      </c>
      <c r="AR44" s="174"/>
      <c r="AS44" s="705">
        <v>1</v>
      </c>
      <c r="AT44" s="693">
        <f>LS_RPRO!K27</f>
        <v>0</v>
      </c>
      <c r="AU44" s="694">
        <f t="shared" si="15"/>
        <v>-1</v>
      </c>
      <c r="AV44" s="689">
        <v>2</v>
      </c>
      <c r="AW44" s="710">
        <f>LS_RPRO!L27</f>
        <v>0</v>
      </c>
      <c r="AX44" s="694">
        <f t="shared" si="16"/>
        <v>-1</v>
      </c>
      <c r="AY44" s="709">
        <f t="shared" si="26"/>
        <v>3</v>
      </c>
      <c r="AZ44" s="710">
        <f t="shared" si="26"/>
        <v>0</v>
      </c>
      <c r="BA44" s="695">
        <f t="shared" si="17"/>
        <v>-1</v>
      </c>
      <c r="BB44" s="154"/>
      <c r="BC44" s="720"/>
      <c r="BD44" s="721">
        <v>0</v>
      </c>
      <c r="BE44" s="695" t="e">
        <f t="shared" si="18"/>
        <v>#DIV/0!</v>
      </c>
      <c r="BF44" s="174"/>
      <c r="BG44" s="727"/>
      <c r="BH44" s="728"/>
      <c r="BI44" s="735" t="e">
        <f t="shared" si="19"/>
        <v>#DIV/0!</v>
      </c>
      <c r="BJ44" s="730"/>
      <c r="BK44" s="731"/>
      <c r="BL44" s="732" t="e">
        <f t="shared" si="20"/>
        <v>#DIV/0!</v>
      </c>
      <c r="BM44" s="729" t="e">
        <f t="shared" si="21"/>
        <v>#DIV/0!</v>
      </c>
      <c r="BN44" s="733" t="e">
        <f t="shared" si="21"/>
        <v>#DIV/0!</v>
      </c>
      <c r="BO44" s="738" t="e">
        <f t="shared" si="22"/>
        <v>#DIV/0!</v>
      </c>
      <c r="BP44" s="174"/>
      <c r="BQ44" s="720"/>
      <c r="BR44" s="721"/>
      <c r="BS44" s="695" t="e">
        <f t="shared" si="23"/>
        <v>#DIV/0!</v>
      </c>
      <c r="BT44" s="174"/>
      <c r="BU44" s="174"/>
      <c r="BV44" s="174"/>
      <c r="BW44" s="174"/>
      <c r="BX44" s="174"/>
      <c r="BY44" s="174"/>
      <c r="BZ44" s="174"/>
      <c r="CA44" s="174"/>
      <c r="CB44" s="174"/>
      <c r="CC44" s="174"/>
      <c r="CD44" s="174"/>
      <c r="CE44" s="174"/>
      <c r="CF44" s="174"/>
      <c r="CG44" s="174"/>
      <c r="CH44" s="174"/>
      <c r="CI44" s="174"/>
      <c r="CJ44" s="174"/>
      <c r="CK44" s="174"/>
      <c r="CL44" s="174"/>
      <c r="CM44" s="174"/>
      <c r="CN44" s="174"/>
      <c r="CO44" s="174"/>
      <c r="CP44" s="174"/>
      <c r="CQ44" s="174"/>
      <c r="CR44" s="174"/>
      <c r="CS44" s="174"/>
      <c r="CT44" s="174"/>
      <c r="CU44" s="174"/>
      <c r="CV44" s="174"/>
      <c r="CW44" s="174"/>
      <c r="CX44" s="174"/>
      <c r="CY44" s="174"/>
      <c r="CZ44" s="174"/>
      <c r="DA44" s="174"/>
      <c r="DB44" s="174"/>
      <c r="DC44" s="174"/>
      <c r="DD44" s="174"/>
      <c r="DE44" s="174"/>
      <c r="DF44" s="174"/>
      <c r="DG44" s="174"/>
      <c r="DH44" s="174"/>
      <c r="DI44" s="174"/>
      <c r="DJ44" s="174"/>
      <c r="DK44" s="174"/>
      <c r="DL44" s="174"/>
      <c r="DM44" s="174"/>
      <c r="DN44" s="174"/>
      <c r="DO44" s="174"/>
      <c r="DP44" s="174"/>
      <c r="DQ44" s="174"/>
      <c r="DR44" s="174"/>
      <c r="DS44" s="174"/>
      <c r="DT44" s="174"/>
      <c r="DU44" s="174"/>
      <c r="DV44" s="174"/>
      <c r="DW44" s="174"/>
      <c r="DX44" s="174"/>
      <c r="DY44" s="174"/>
      <c r="DZ44" s="174"/>
      <c r="EA44" s="174"/>
      <c r="EB44" s="174"/>
      <c r="EC44" s="174"/>
      <c r="ED44" s="174"/>
      <c r="EE44" s="174"/>
      <c r="EF44" s="174"/>
      <c r="EG44" s="174"/>
      <c r="EH44" s="174"/>
      <c r="EI44" s="174"/>
      <c r="EJ44" s="174"/>
      <c r="EK44" s="174"/>
      <c r="EL44" s="174"/>
      <c r="EM44" s="174"/>
      <c r="EN44" s="174"/>
      <c r="EO44" s="174"/>
      <c r="EP44" s="174"/>
      <c r="EQ44" s="174"/>
      <c r="ER44" s="174"/>
      <c r="ES44" s="174"/>
      <c r="ET44" s="174"/>
      <c r="EU44" s="174"/>
      <c r="EV44" s="174"/>
      <c r="EW44" s="174"/>
      <c r="EX44" s="174"/>
      <c r="EY44" s="174"/>
      <c r="EZ44" s="174"/>
      <c r="FA44" s="174"/>
      <c r="FB44" s="174"/>
      <c r="FC44" s="174"/>
      <c r="FD44" s="174"/>
      <c r="FE44" s="174"/>
      <c r="FF44" s="174"/>
      <c r="FG44" s="174"/>
      <c r="FH44" s="174"/>
      <c r="FI44" s="174"/>
      <c r="FJ44" s="174"/>
      <c r="FK44" s="174"/>
      <c r="FL44" s="174"/>
      <c r="FM44" s="174"/>
      <c r="FN44" s="174"/>
      <c r="FO44" s="174"/>
      <c r="FP44" s="174"/>
      <c r="FQ44" s="174"/>
      <c r="FR44" s="174"/>
      <c r="FS44" s="174"/>
      <c r="FT44" s="174"/>
      <c r="FU44" s="174"/>
      <c r="FV44" s="174"/>
      <c r="FW44" s="174"/>
      <c r="FX44" s="174"/>
      <c r="FY44" s="174"/>
      <c r="FZ44" s="174"/>
      <c r="GA44" s="174"/>
      <c r="GB44" s="174"/>
      <c r="GC44" s="174"/>
      <c r="GD44" s="174"/>
      <c r="GE44" s="174"/>
      <c r="GF44" s="174"/>
      <c r="GG44" s="174"/>
      <c r="GH44" s="174"/>
      <c r="GI44" s="174"/>
      <c r="GJ44" s="174"/>
      <c r="GK44" s="174"/>
      <c r="GL44" s="174"/>
      <c r="GM44" s="174"/>
      <c r="GN44" s="174"/>
      <c r="GO44" s="174"/>
      <c r="GP44" s="174"/>
      <c r="GQ44" s="174"/>
      <c r="GR44" s="174"/>
      <c r="GS44" s="174"/>
      <c r="GT44" s="174"/>
      <c r="GU44" s="174"/>
      <c r="GV44" s="174"/>
      <c r="GW44" s="174"/>
      <c r="GX44" s="174"/>
      <c r="GY44" s="174"/>
      <c r="GZ44" s="174"/>
      <c r="HA44" s="174"/>
      <c r="HB44" s="174"/>
      <c r="HC44" s="174"/>
      <c r="HD44" s="174"/>
      <c r="HE44" s="174"/>
      <c r="HF44" s="174"/>
      <c r="HG44" s="174"/>
      <c r="HH44" s="174"/>
      <c r="HI44" s="174"/>
      <c r="HJ44" s="174"/>
      <c r="HK44" s="174"/>
      <c r="HL44" s="174"/>
      <c r="HM44" s="174"/>
      <c r="HN44" s="174"/>
      <c r="HO44" s="174"/>
      <c r="HP44" s="174"/>
      <c r="HQ44" s="174"/>
      <c r="HR44" s="174"/>
      <c r="HS44" s="174"/>
      <c r="HT44" s="174"/>
      <c r="HU44" s="174"/>
      <c r="HV44" s="174"/>
      <c r="HW44" s="174"/>
      <c r="HX44" s="174"/>
      <c r="HY44" s="174"/>
      <c r="HZ44" s="174"/>
      <c r="IA44" s="174"/>
      <c r="IB44" s="174"/>
      <c r="IC44" s="174"/>
      <c r="ID44" s="174"/>
      <c r="IE44" s="174"/>
      <c r="IF44" s="174"/>
      <c r="IG44" s="174"/>
      <c r="IH44" s="174"/>
      <c r="II44" s="174"/>
      <c r="IJ44" s="174"/>
      <c r="IK44" s="174"/>
      <c r="IL44" s="174"/>
      <c r="IM44" s="174"/>
      <c r="IN44" s="174"/>
    </row>
    <row r="45" spans="1:248" s="150" customFormat="1" ht="14.25" customHeight="1" thickBot="1">
      <c r="A45" s="174"/>
      <c r="B45" s="174"/>
      <c r="C45" s="174"/>
      <c r="D45" s="175">
        <v>21</v>
      </c>
      <c r="E45" s="963" t="s">
        <v>158</v>
      </c>
      <c r="F45" s="964"/>
      <c r="G45" s="170">
        <v>171150.6</v>
      </c>
      <c r="H45" s="177">
        <f t="shared" si="7"/>
        <v>2.1271103997783907E-2</v>
      </c>
      <c r="I45" s="213">
        <f t="shared" si="8"/>
        <v>185058.60478071999</v>
      </c>
      <c r="J45" s="178" t="s">
        <v>158</v>
      </c>
      <c r="K45" s="215">
        <f>LS_RPRO!B28+MANUAL!B28+OUTSALE!B28</f>
        <v>0</v>
      </c>
      <c r="L45" s="214">
        <f t="shared" si="24"/>
        <v>-185058.60478071999</v>
      </c>
      <c r="M45" s="216">
        <f>K45/G15</f>
        <v>0</v>
      </c>
      <c r="N45" s="217">
        <f t="shared" si="25"/>
        <v>-3421570.6065856661</v>
      </c>
      <c r="O45" s="207"/>
      <c r="P45" s="170">
        <v>90</v>
      </c>
      <c r="Q45" s="215">
        <f>LS_RPRO!C28+MANUAL!C28+OUTSALE!C28</f>
        <v>0</v>
      </c>
      <c r="R45" s="256">
        <f t="shared" si="9"/>
        <v>-1</v>
      </c>
      <c r="S45" s="257"/>
      <c r="T45" s="251"/>
      <c r="U45" s="663"/>
      <c r="V45" s="258" t="e">
        <f t="shared" si="0"/>
        <v>#DIV/0!</v>
      </c>
      <c r="W45" s="664">
        <f t="shared" si="10"/>
        <v>0</v>
      </c>
      <c r="X45" s="253"/>
      <c r="Y45" s="666">
        <f t="shared" si="11"/>
        <v>0</v>
      </c>
      <c r="Z45" s="279" t="e">
        <f t="shared" si="1"/>
        <v>#DIV/0!</v>
      </c>
      <c r="AA45" s="664">
        <f t="shared" si="12"/>
        <v>0</v>
      </c>
      <c r="AB45" s="667">
        <f t="shared" si="2"/>
        <v>0</v>
      </c>
      <c r="AC45" s="668" t="e">
        <f t="shared" si="13"/>
        <v>#DIV/0!</v>
      </c>
      <c r="AD45" s="280"/>
      <c r="AE45" s="676">
        <v>113559</v>
      </c>
      <c r="AF45" s="677">
        <f>LS_RPRO!O28+MANUAL!M28+OUTSALE!M28</f>
        <v>0</v>
      </c>
      <c r="AG45" s="679">
        <f t="shared" si="14"/>
        <v>-1</v>
      </c>
      <c r="AH45" s="174"/>
      <c r="AI45" s="686">
        <v>298</v>
      </c>
      <c r="AJ45" s="693">
        <f>LS_RPRO!M28</f>
        <v>0</v>
      </c>
      <c r="AK45" s="694">
        <f t="shared" si="3"/>
        <v>-1</v>
      </c>
      <c r="AL45" s="689">
        <v>76</v>
      </c>
      <c r="AM45" s="690">
        <f>MANUAL!H28+LS_RPRO!H28+OUTSALE!H28</f>
        <v>0</v>
      </c>
      <c r="AN45" s="694">
        <f t="shared" si="4"/>
        <v>-1</v>
      </c>
      <c r="AO45" s="694">
        <f t="shared" si="5"/>
        <v>0.25503355704697989</v>
      </c>
      <c r="AP45" s="694" t="e">
        <f t="shared" si="5"/>
        <v>#DIV/0!</v>
      </c>
      <c r="AQ45" s="695" t="e">
        <f t="shared" si="6"/>
        <v>#DIV/0!</v>
      </c>
      <c r="AR45" s="174"/>
      <c r="AS45" s="705">
        <v>0</v>
      </c>
      <c r="AT45" s="693">
        <f>LS_RPRO!K28</f>
        <v>0</v>
      </c>
      <c r="AU45" s="694" t="e">
        <f t="shared" si="15"/>
        <v>#DIV/0!</v>
      </c>
      <c r="AV45" s="689">
        <v>5</v>
      </c>
      <c r="AW45" s="710">
        <f>LS_RPRO!L28</f>
        <v>0</v>
      </c>
      <c r="AX45" s="694">
        <f t="shared" si="16"/>
        <v>-1</v>
      </c>
      <c r="AY45" s="709">
        <f t="shared" si="26"/>
        <v>5</v>
      </c>
      <c r="AZ45" s="710">
        <f t="shared" si="26"/>
        <v>0</v>
      </c>
      <c r="BA45" s="695">
        <f t="shared" si="17"/>
        <v>-1</v>
      </c>
      <c r="BB45" s="154"/>
      <c r="BC45" s="720"/>
      <c r="BD45" s="721">
        <v>0</v>
      </c>
      <c r="BE45" s="695" t="e">
        <f t="shared" si="18"/>
        <v>#DIV/0!</v>
      </c>
      <c r="BF45" s="174"/>
      <c r="BG45" s="727"/>
      <c r="BH45" s="728"/>
      <c r="BI45" s="735" t="e">
        <f t="shared" si="19"/>
        <v>#DIV/0!</v>
      </c>
      <c r="BJ45" s="730"/>
      <c r="BK45" s="731"/>
      <c r="BL45" s="732" t="e">
        <f t="shared" si="20"/>
        <v>#DIV/0!</v>
      </c>
      <c r="BM45" s="729" t="e">
        <f t="shared" si="21"/>
        <v>#DIV/0!</v>
      </c>
      <c r="BN45" s="733" t="e">
        <f t="shared" si="21"/>
        <v>#DIV/0!</v>
      </c>
      <c r="BO45" s="738" t="e">
        <f t="shared" si="22"/>
        <v>#DIV/0!</v>
      </c>
      <c r="BP45" s="174"/>
      <c r="BQ45" s="720"/>
      <c r="BR45" s="721"/>
      <c r="BS45" s="695" t="e">
        <f t="shared" si="23"/>
        <v>#DIV/0!</v>
      </c>
      <c r="BT45" s="174"/>
      <c r="BU45" s="174"/>
      <c r="BV45" s="174"/>
      <c r="BW45" s="174"/>
      <c r="BX45" s="174"/>
      <c r="BY45" s="174"/>
      <c r="BZ45" s="174"/>
      <c r="CA45" s="174"/>
      <c r="CB45" s="174"/>
      <c r="CC45" s="174"/>
      <c r="CD45" s="174"/>
      <c r="CE45" s="174"/>
      <c r="CF45" s="174"/>
      <c r="CG45" s="174"/>
      <c r="CH45" s="174"/>
      <c r="CI45" s="174"/>
      <c r="CJ45" s="174"/>
      <c r="CK45" s="174"/>
      <c r="CL45" s="174"/>
      <c r="CM45" s="174"/>
      <c r="CN45" s="174"/>
      <c r="CO45" s="174"/>
      <c r="CP45" s="174"/>
      <c r="CQ45" s="174"/>
      <c r="CR45" s="174"/>
      <c r="CS45" s="174"/>
      <c r="CT45" s="174"/>
      <c r="CU45" s="174"/>
      <c r="CV45" s="174"/>
      <c r="CW45" s="174"/>
      <c r="CX45" s="174"/>
      <c r="CY45" s="174"/>
      <c r="CZ45" s="174"/>
      <c r="DA45" s="174"/>
      <c r="DB45" s="174"/>
      <c r="DC45" s="174"/>
      <c r="DD45" s="174"/>
      <c r="DE45" s="174"/>
      <c r="DF45" s="174"/>
      <c r="DG45" s="174"/>
      <c r="DH45" s="174"/>
      <c r="DI45" s="174"/>
      <c r="DJ45" s="174"/>
      <c r="DK45" s="174"/>
      <c r="DL45" s="174"/>
      <c r="DM45" s="174"/>
      <c r="DN45" s="174"/>
      <c r="DO45" s="174"/>
      <c r="DP45" s="174"/>
      <c r="DQ45" s="174"/>
      <c r="DR45" s="174"/>
      <c r="DS45" s="174"/>
      <c r="DT45" s="174"/>
      <c r="DU45" s="174"/>
      <c r="DV45" s="174"/>
      <c r="DW45" s="174"/>
      <c r="DX45" s="174"/>
      <c r="DY45" s="174"/>
      <c r="DZ45" s="174"/>
      <c r="EA45" s="174"/>
      <c r="EB45" s="174"/>
      <c r="EC45" s="174"/>
      <c r="ED45" s="174"/>
      <c r="EE45" s="174"/>
      <c r="EF45" s="174"/>
      <c r="EG45" s="174"/>
      <c r="EH45" s="174"/>
      <c r="EI45" s="174"/>
      <c r="EJ45" s="174"/>
      <c r="EK45" s="174"/>
      <c r="EL45" s="174"/>
      <c r="EM45" s="174"/>
      <c r="EN45" s="174"/>
      <c r="EO45" s="174"/>
      <c r="EP45" s="174"/>
      <c r="EQ45" s="174"/>
      <c r="ER45" s="174"/>
      <c r="ES45" s="174"/>
      <c r="ET45" s="174"/>
      <c r="EU45" s="174"/>
      <c r="EV45" s="174"/>
      <c r="EW45" s="174"/>
      <c r="EX45" s="174"/>
      <c r="EY45" s="174"/>
      <c r="EZ45" s="174"/>
      <c r="FA45" s="174"/>
      <c r="FB45" s="174"/>
      <c r="FC45" s="174"/>
      <c r="FD45" s="174"/>
      <c r="FE45" s="174"/>
      <c r="FF45" s="174"/>
      <c r="FG45" s="174"/>
      <c r="FH45" s="174"/>
      <c r="FI45" s="174"/>
      <c r="FJ45" s="174"/>
      <c r="FK45" s="174"/>
      <c r="FL45" s="174"/>
      <c r="FM45" s="174"/>
      <c r="FN45" s="174"/>
      <c r="FO45" s="174"/>
      <c r="FP45" s="174"/>
      <c r="FQ45" s="174"/>
      <c r="FR45" s="174"/>
      <c r="FS45" s="174"/>
      <c r="FT45" s="174"/>
      <c r="FU45" s="174"/>
      <c r="FV45" s="174"/>
      <c r="FW45" s="174"/>
      <c r="FX45" s="174"/>
      <c r="FY45" s="174"/>
      <c r="FZ45" s="174"/>
      <c r="GA45" s="174"/>
      <c r="GB45" s="174"/>
      <c r="GC45" s="174"/>
      <c r="GD45" s="174"/>
      <c r="GE45" s="174"/>
      <c r="GF45" s="174"/>
      <c r="GG45" s="174"/>
      <c r="GH45" s="174"/>
      <c r="GI45" s="174"/>
      <c r="GJ45" s="174"/>
      <c r="GK45" s="174"/>
      <c r="GL45" s="174"/>
      <c r="GM45" s="174"/>
      <c r="GN45" s="174"/>
      <c r="GO45" s="174"/>
      <c r="GP45" s="174"/>
      <c r="GQ45" s="174"/>
      <c r="GR45" s="174"/>
      <c r="GS45" s="174"/>
      <c r="GT45" s="174"/>
      <c r="GU45" s="174"/>
      <c r="GV45" s="174"/>
      <c r="GW45" s="174"/>
      <c r="GX45" s="174"/>
      <c r="GY45" s="174"/>
      <c r="GZ45" s="174"/>
      <c r="HA45" s="174"/>
      <c r="HB45" s="174"/>
      <c r="HC45" s="174"/>
      <c r="HD45" s="174"/>
      <c r="HE45" s="174"/>
      <c r="HF45" s="174"/>
      <c r="HG45" s="174"/>
      <c r="HH45" s="174"/>
      <c r="HI45" s="174"/>
      <c r="HJ45" s="174"/>
      <c r="HK45" s="174"/>
      <c r="HL45" s="174"/>
      <c r="HM45" s="174"/>
      <c r="HN45" s="174"/>
      <c r="HO45" s="174"/>
      <c r="HP45" s="174"/>
      <c r="HQ45" s="174"/>
      <c r="HR45" s="174"/>
      <c r="HS45" s="174"/>
      <c r="HT45" s="174"/>
      <c r="HU45" s="174"/>
      <c r="HV45" s="174"/>
      <c r="HW45" s="174"/>
      <c r="HX45" s="174"/>
      <c r="HY45" s="174"/>
      <c r="HZ45" s="174"/>
      <c r="IA45" s="174"/>
      <c r="IB45" s="174"/>
      <c r="IC45" s="174"/>
      <c r="ID45" s="174"/>
      <c r="IE45" s="174"/>
      <c r="IF45" s="174"/>
      <c r="IG45" s="174"/>
      <c r="IH45" s="174"/>
      <c r="II45" s="174"/>
      <c r="IJ45" s="174"/>
      <c r="IK45" s="174"/>
      <c r="IL45" s="174"/>
      <c r="IM45" s="174"/>
      <c r="IN45" s="174"/>
    </row>
    <row r="46" spans="1:248" s="151" customFormat="1" ht="14.25" customHeight="1" thickBot="1">
      <c r="A46" s="174"/>
      <c r="B46" s="174"/>
      <c r="C46" s="174"/>
      <c r="D46" s="175">
        <v>22</v>
      </c>
      <c r="E46" s="963" t="s">
        <v>159</v>
      </c>
      <c r="F46" s="964"/>
      <c r="G46" s="170">
        <v>152381.75</v>
      </c>
      <c r="H46" s="177">
        <f t="shared" si="7"/>
        <v>1.8938455673624913E-2</v>
      </c>
      <c r="I46" s="213">
        <f t="shared" si="8"/>
        <v>164764.56436053675</v>
      </c>
      <c r="J46" s="178" t="s">
        <v>159</v>
      </c>
      <c r="K46" s="215">
        <f>LS_RPRO!B29+MANUAL!B29+OUTSALE!B29</f>
        <v>0</v>
      </c>
      <c r="L46" s="214">
        <f t="shared" si="24"/>
        <v>-164764.56436053675</v>
      </c>
      <c r="M46" s="216">
        <f>K46/G15</f>
        <v>0</v>
      </c>
      <c r="N46" s="217">
        <f t="shared" si="25"/>
        <v>-3586335.1709462027</v>
      </c>
      <c r="O46" s="207"/>
      <c r="P46" s="170">
        <v>639.12</v>
      </c>
      <c r="Q46" s="215">
        <f>LS_RPRO!C29+MANUAL!C29+OUTSALE!C29</f>
        <v>0</v>
      </c>
      <c r="R46" s="256">
        <f t="shared" si="9"/>
        <v>-1</v>
      </c>
      <c r="S46" s="257"/>
      <c r="T46" s="251"/>
      <c r="U46" s="663"/>
      <c r="V46" s="258" t="e">
        <f t="shared" si="0"/>
        <v>#DIV/0!</v>
      </c>
      <c r="W46" s="664">
        <f t="shared" si="10"/>
        <v>0</v>
      </c>
      <c r="X46" s="253"/>
      <c r="Y46" s="666">
        <f t="shared" si="11"/>
        <v>0</v>
      </c>
      <c r="Z46" s="279" t="e">
        <f t="shared" si="1"/>
        <v>#DIV/0!</v>
      </c>
      <c r="AA46" s="664">
        <f t="shared" si="12"/>
        <v>0</v>
      </c>
      <c r="AB46" s="667">
        <f t="shared" si="2"/>
        <v>0</v>
      </c>
      <c r="AC46" s="668" t="e">
        <f t="shared" si="13"/>
        <v>#DIV/0!</v>
      </c>
      <c r="AD46" s="280"/>
      <c r="AE46" s="676">
        <v>156088.54</v>
      </c>
      <c r="AF46" s="677">
        <f>LS_RPRO!O29+MANUAL!M29+OUTSALE!M29</f>
        <v>0</v>
      </c>
      <c r="AG46" s="679">
        <f t="shared" si="14"/>
        <v>-1</v>
      </c>
      <c r="AH46" s="174"/>
      <c r="AI46" s="686">
        <v>397</v>
      </c>
      <c r="AJ46" s="693">
        <f>LS_RPRO!M29</f>
        <v>0</v>
      </c>
      <c r="AK46" s="694">
        <f t="shared" si="3"/>
        <v>-1</v>
      </c>
      <c r="AL46" s="689">
        <v>104</v>
      </c>
      <c r="AM46" s="690">
        <f>MANUAL!H29+LS_RPRO!H29+OUTSALE!H29</f>
        <v>0</v>
      </c>
      <c r="AN46" s="694">
        <f t="shared" si="4"/>
        <v>-1</v>
      </c>
      <c r="AO46" s="694">
        <f t="shared" si="5"/>
        <v>0.26196473551637278</v>
      </c>
      <c r="AP46" s="694" t="e">
        <f t="shared" si="5"/>
        <v>#DIV/0!</v>
      </c>
      <c r="AQ46" s="695" t="e">
        <f t="shared" si="6"/>
        <v>#DIV/0!</v>
      </c>
      <c r="AR46" s="174"/>
      <c r="AS46" s="705">
        <v>0</v>
      </c>
      <c r="AT46" s="693">
        <f>LS_RPRO!K29</f>
        <v>0</v>
      </c>
      <c r="AU46" s="694" t="e">
        <f t="shared" si="15"/>
        <v>#DIV/0!</v>
      </c>
      <c r="AV46" s="689">
        <v>0</v>
      </c>
      <c r="AW46" s="710">
        <f>LS_RPRO!L29</f>
        <v>0</v>
      </c>
      <c r="AX46" s="694" t="e">
        <f t="shared" si="16"/>
        <v>#DIV/0!</v>
      </c>
      <c r="AY46" s="709">
        <f t="shared" si="26"/>
        <v>0</v>
      </c>
      <c r="AZ46" s="710">
        <f t="shared" si="26"/>
        <v>0</v>
      </c>
      <c r="BA46" s="695" t="e">
        <f t="shared" si="17"/>
        <v>#DIV/0!</v>
      </c>
      <c r="BB46" s="154"/>
      <c r="BC46" s="720"/>
      <c r="BD46" s="721">
        <v>0</v>
      </c>
      <c r="BE46" s="695" t="e">
        <f t="shared" si="18"/>
        <v>#DIV/0!</v>
      </c>
      <c r="BF46" s="174"/>
      <c r="BG46" s="727"/>
      <c r="BH46" s="728"/>
      <c r="BI46" s="735" t="e">
        <f t="shared" si="19"/>
        <v>#DIV/0!</v>
      </c>
      <c r="BJ46" s="730"/>
      <c r="BK46" s="731"/>
      <c r="BL46" s="732" t="e">
        <f t="shared" si="20"/>
        <v>#DIV/0!</v>
      </c>
      <c r="BM46" s="729" t="e">
        <f t="shared" si="21"/>
        <v>#DIV/0!</v>
      </c>
      <c r="BN46" s="733" t="e">
        <f t="shared" si="21"/>
        <v>#DIV/0!</v>
      </c>
      <c r="BO46" s="738" t="e">
        <f t="shared" si="22"/>
        <v>#DIV/0!</v>
      </c>
      <c r="BP46" s="174"/>
      <c r="BQ46" s="720"/>
      <c r="BR46" s="721"/>
      <c r="BS46" s="695" t="e">
        <f t="shared" si="23"/>
        <v>#DIV/0!</v>
      </c>
      <c r="BT46" s="174"/>
      <c r="BU46" s="174"/>
      <c r="BV46" s="174"/>
      <c r="BW46" s="174"/>
      <c r="BX46" s="174"/>
      <c r="BY46" s="174"/>
      <c r="BZ46" s="174"/>
      <c r="CA46" s="174"/>
      <c r="CB46" s="174"/>
      <c r="CC46" s="174"/>
      <c r="CD46" s="174"/>
      <c r="CE46" s="174"/>
      <c r="CF46" s="174"/>
      <c r="CG46" s="174"/>
      <c r="CH46" s="174"/>
      <c r="CI46" s="174"/>
      <c r="CJ46" s="174"/>
      <c r="CK46" s="174"/>
      <c r="CL46" s="174"/>
      <c r="CM46" s="174"/>
      <c r="CN46" s="174"/>
      <c r="CO46" s="174"/>
      <c r="CP46" s="174"/>
      <c r="CQ46" s="174"/>
      <c r="CR46" s="174"/>
      <c r="CS46" s="174"/>
      <c r="CT46" s="174"/>
      <c r="CU46" s="174"/>
      <c r="CV46" s="174"/>
      <c r="CW46" s="174"/>
      <c r="CX46" s="174"/>
      <c r="CY46" s="174"/>
      <c r="CZ46" s="174"/>
      <c r="DA46" s="174"/>
      <c r="DB46" s="174"/>
      <c r="DC46" s="174"/>
      <c r="DD46" s="174"/>
      <c r="DE46" s="174"/>
      <c r="DF46" s="174"/>
      <c r="DG46" s="174"/>
      <c r="DH46" s="174"/>
      <c r="DI46" s="174"/>
      <c r="DJ46" s="174"/>
      <c r="DK46" s="174"/>
      <c r="DL46" s="174"/>
      <c r="DM46" s="174"/>
      <c r="DN46" s="174"/>
      <c r="DO46" s="174"/>
      <c r="DP46" s="174"/>
      <c r="DQ46" s="174"/>
      <c r="DR46" s="174"/>
      <c r="DS46" s="174"/>
      <c r="DT46" s="174"/>
      <c r="DU46" s="174"/>
      <c r="DV46" s="174"/>
      <c r="DW46" s="174"/>
      <c r="DX46" s="174"/>
      <c r="DY46" s="174"/>
      <c r="DZ46" s="174"/>
      <c r="EA46" s="174"/>
      <c r="EB46" s="174"/>
      <c r="EC46" s="174"/>
      <c r="ED46" s="174"/>
      <c r="EE46" s="174"/>
      <c r="EF46" s="174"/>
      <c r="EG46" s="174"/>
      <c r="EH46" s="174"/>
      <c r="EI46" s="174"/>
      <c r="EJ46" s="174"/>
      <c r="EK46" s="174"/>
      <c r="EL46" s="174"/>
      <c r="EM46" s="174"/>
      <c r="EN46" s="174"/>
      <c r="EO46" s="174"/>
      <c r="EP46" s="174"/>
      <c r="EQ46" s="174"/>
      <c r="ER46" s="174"/>
      <c r="ES46" s="174"/>
      <c r="ET46" s="174"/>
      <c r="EU46" s="174"/>
      <c r="EV46" s="174"/>
      <c r="EW46" s="174"/>
      <c r="EX46" s="174"/>
      <c r="EY46" s="174"/>
      <c r="EZ46" s="174"/>
      <c r="FA46" s="174"/>
      <c r="FB46" s="174"/>
      <c r="FC46" s="174"/>
      <c r="FD46" s="174"/>
      <c r="FE46" s="174"/>
      <c r="FF46" s="174"/>
      <c r="FG46" s="174"/>
      <c r="FH46" s="174"/>
      <c r="FI46" s="174"/>
      <c r="FJ46" s="174"/>
      <c r="FK46" s="174"/>
      <c r="FL46" s="174"/>
      <c r="FM46" s="174"/>
      <c r="FN46" s="174"/>
      <c r="FO46" s="174"/>
      <c r="FP46" s="174"/>
      <c r="FQ46" s="174"/>
      <c r="FR46" s="174"/>
      <c r="FS46" s="174"/>
      <c r="FT46" s="174"/>
      <c r="FU46" s="174"/>
      <c r="FV46" s="174"/>
      <c r="FW46" s="174"/>
      <c r="FX46" s="174"/>
      <c r="FY46" s="174"/>
      <c r="FZ46" s="174"/>
      <c r="GA46" s="174"/>
      <c r="GB46" s="174"/>
      <c r="GC46" s="174"/>
      <c r="GD46" s="174"/>
      <c r="GE46" s="174"/>
      <c r="GF46" s="174"/>
      <c r="GG46" s="174"/>
      <c r="GH46" s="174"/>
      <c r="GI46" s="174"/>
      <c r="GJ46" s="174"/>
      <c r="GK46" s="174"/>
      <c r="GL46" s="174"/>
      <c r="GM46" s="174"/>
      <c r="GN46" s="174"/>
      <c r="GO46" s="174"/>
      <c r="GP46" s="174"/>
      <c r="GQ46" s="174"/>
      <c r="GR46" s="174"/>
      <c r="GS46" s="174"/>
      <c r="GT46" s="174"/>
      <c r="GU46" s="174"/>
      <c r="GV46" s="174"/>
      <c r="GW46" s="174"/>
      <c r="GX46" s="174"/>
      <c r="GY46" s="174"/>
      <c r="GZ46" s="174"/>
      <c r="HA46" s="174"/>
      <c r="HB46" s="174"/>
      <c r="HC46" s="174"/>
      <c r="HD46" s="174"/>
      <c r="HE46" s="174"/>
      <c r="HF46" s="174"/>
      <c r="HG46" s="174"/>
      <c r="HH46" s="174"/>
      <c r="HI46" s="174"/>
      <c r="HJ46" s="174"/>
      <c r="HK46" s="174"/>
      <c r="HL46" s="174"/>
      <c r="HM46" s="174"/>
      <c r="HN46" s="174"/>
      <c r="HO46" s="174"/>
      <c r="HP46" s="174"/>
      <c r="HQ46" s="174"/>
      <c r="HR46" s="174"/>
      <c r="HS46" s="174"/>
      <c r="HT46" s="174"/>
      <c r="HU46" s="174"/>
      <c r="HV46" s="174"/>
      <c r="HW46" s="174"/>
      <c r="HX46" s="174"/>
      <c r="HY46" s="174"/>
      <c r="HZ46" s="174"/>
      <c r="IA46" s="174"/>
      <c r="IB46" s="174"/>
      <c r="IC46" s="174"/>
      <c r="ID46" s="174"/>
      <c r="IE46" s="174"/>
      <c r="IF46" s="174"/>
      <c r="IG46" s="174"/>
      <c r="IH46" s="174"/>
      <c r="II46" s="174"/>
      <c r="IJ46" s="174"/>
      <c r="IK46" s="174"/>
      <c r="IL46" s="174"/>
      <c r="IM46" s="174"/>
      <c r="IN46" s="174"/>
    </row>
    <row r="47" spans="1:248" ht="13.8" thickBot="1">
      <c r="A47" s="174"/>
      <c r="B47" s="174"/>
      <c r="C47" s="174"/>
      <c r="D47" s="175">
        <v>23</v>
      </c>
      <c r="E47" s="963" t="s">
        <v>160</v>
      </c>
      <c r="F47" s="964"/>
      <c r="G47" s="170">
        <v>242351.47999999998</v>
      </c>
      <c r="H47" s="177">
        <f t="shared" si="7"/>
        <v>3.0120160461586731E-2</v>
      </c>
      <c r="I47" s="213">
        <f t="shared" si="8"/>
        <v>262045.39601580455</v>
      </c>
      <c r="J47" s="178" t="s">
        <v>160</v>
      </c>
      <c r="K47" s="215">
        <f>LS_RPRO!B30+MANUAL!B30+OUTSALE!B30</f>
        <v>0</v>
      </c>
      <c r="L47" s="214">
        <f t="shared" si="24"/>
        <v>-262045.39601580455</v>
      </c>
      <c r="M47" s="216">
        <f>K47/G15</f>
        <v>0</v>
      </c>
      <c r="N47" s="217">
        <f t="shared" si="25"/>
        <v>-3848380.5669620074</v>
      </c>
      <c r="O47" s="207"/>
      <c r="P47" s="170">
        <v>86.25</v>
      </c>
      <c r="Q47" s="215">
        <f>LS_RPRO!C30+MANUAL!C30+OUTSALE!C30</f>
        <v>0</v>
      </c>
      <c r="R47" s="256">
        <f t="shared" si="9"/>
        <v>-1</v>
      </c>
      <c r="S47" s="257"/>
      <c r="T47" s="251"/>
      <c r="U47" s="663"/>
      <c r="V47" s="258" t="e">
        <f t="shared" si="0"/>
        <v>#DIV/0!</v>
      </c>
      <c r="W47" s="664">
        <f t="shared" si="10"/>
        <v>0</v>
      </c>
      <c r="X47" s="253"/>
      <c r="Y47" s="666">
        <f t="shared" si="11"/>
        <v>0</v>
      </c>
      <c r="Z47" s="279" t="e">
        <f t="shared" si="1"/>
        <v>#DIV/0!</v>
      </c>
      <c r="AA47" s="664">
        <f t="shared" si="12"/>
        <v>0</v>
      </c>
      <c r="AB47" s="667">
        <f t="shared" si="2"/>
        <v>0</v>
      </c>
      <c r="AC47" s="668" t="e">
        <f t="shared" si="13"/>
        <v>#DIV/0!</v>
      </c>
      <c r="AD47" s="280"/>
      <c r="AE47" s="676">
        <v>85931.45</v>
      </c>
      <c r="AF47" s="677">
        <f>LS_RPRO!O30+MANUAL!M30+OUTSALE!M30</f>
        <v>0</v>
      </c>
      <c r="AG47" s="679">
        <f t="shared" si="14"/>
        <v>-1</v>
      </c>
      <c r="AH47" s="174"/>
      <c r="AI47" s="686">
        <v>402</v>
      </c>
      <c r="AJ47" s="693">
        <f>LS_RPRO!M30</f>
        <v>0</v>
      </c>
      <c r="AK47" s="694">
        <f t="shared" si="3"/>
        <v>-1</v>
      </c>
      <c r="AL47" s="689">
        <v>97</v>
      </c>
      <c r="AM47" s="690">
        <f>MANUAL!H30+LS_RPRO!H30+OUTSALE!H30</f>
        <v>0</v>
      </c>
      <c r="AN47" s="694">
        <f t="shared" si="4"/>
        <v>-1</v>
      </c>
      <c r="AO47" s="694">
        <f t="shared" si="5"/>
        <v>0.24129353233830847</v>
      </c>
      <c r="AP47" s="694" t="e">
        <f t="shared" si="5"/>
        <v>#DIV/0!</v>
      </c>
      <c r="AQ47" s="695" t="e">
        <f t="shared" si="6"/>
        <v>#DIV/0!</v>
      </c>
      <c r="AR47" s="174"/>
      <c r="AS47" s="705">
        <v>4</v>
      </c>
      <c r="AT47" s="693">
        <f>LS_RPRO!K30</f>
        <v>0</v>
      </c>
      <c r="AU47" s="694">
        <f t="shared" si="15"/>
        <v>-1</v>
      </c>
      <c r="AV47" s="689">
        <v>2</v>
      </c>
      <c r="AW47" s="710">
        <f>LS_RPRO!L30</f>
        <v>0</v>
      </c>
      <c r="AX47" s="694">
        <f t="shared" si="16"/>
        <v>-1</v>
      </c>
      <c r="AY47" s="709">
        <f t="shared" si="26"/>
        <v>6</v>
      </c>
      <c r="AZ47" s="710">
        <f t="shared" si="26"/>
        <v>0</v>
      </c>
      <c r="BA47" s="695">
        <f t="shared" si="17"/>
        <v>-1</v>
      </c>
      <c r="BC47" s="720"/>
      <c r="BD47" s="721">
        <v>0</v>
      </c>
      <c r="BE47" s="695" t="e">
        <f t="shared" si="18"/>
        <v>#DIV/0!</v>
      </c>
      <c r="BF47" s="174"/>
      <c r="BG47" s="727"/>
      <c r="BH47" s="728"/>
      <c r="BI47" s="735" t="e">
        <f t="shared" si="19"/>
        <v>#DIV/0!</v>
      </c>
      <c r="BJ47" s="730"/>
      <c r="BK47" s="731"/>
      <c r="BL47" s="732" t="e">
        <f t="shared" si="20"/>
        <v>#DIV/0!</v>
      </c>
      <c r="BM47" s="729" t="e">
        <f t="shared" si="21"/>
        <v>#DIV/0!</v>
      </c>
      <c r="BN47" s="733" t="e">
        <f t="shared" si="21"/>
        <v>#DIV/0!</v>
      </c>
      <c r="BO47" s="738" t="e">
        <f t="shared" si="22"/>
        <v>#DIV/0!</v>
      </c>
      <c r="BP47" s="174"/>
      <c r="BQ47" s="720"/>
      <c r="BR47" s="721"/>
      <c r="BS47" s="695" t="e">
        <f t="shared" si="23"/>
        <v>#DIV/0!</v>
      </c>
      <c r="BT47" s="174"/>
      <c r="BU47" s="174"/>
      <c r="BV47" s="174"/>
      <c r="BW47" s="174"/>
      <c r="BX47" s="174"/>
      <c r="BY47" s="174"/>
      <c r="BZ47" s="174"/>
      <c r="CA47" s="174"/>
      <c r="CB47" s="174"/>
      <c r="CC47" s="174"/>
      <c r="CD47" s="174"/>
      <c r="CE47" s="174"/>
      <c r="CF47" s="174"/>
      <c r="CG47" s="174"/>
      <c r="CH47" s="174"/>
      <c r="CI47" s="174"/>
      <c r="CJ47" s="174"/>
      <c r="CK47" s="174"/>
      <c r="CL47" s="174"/>
      <c r="CM47" s="174"/>
      <c r="CN47" s="174"/>
      <c r="CO47" s="174"/>
      <c r="CP47" s="174"/>
      <c r="CQ47" s="174"/>
      <c r="CR47" s="174"/>
      <c r="CS47" s="174"/>
      <c r="CT47" s="174"/>
      <c r="CU47" s="174"/>
      <c r="CV47" s="174"/>
      <c r="CW47" s="174"/>
      <c r="CX47" s="174"/>
      <c r="CY47" s="174"/>
      <c r="CZ47" s="174"/>
      <c r="DA47" s="174"/>
      <c r="DB47" s="174"/>
      <c r="DC47" s="174"/>
      <c r="DD47" s="174"/>
      <c r="DE47" s="174"/>
      <c r="DF47" s="174"/>
      <c r="DG47" s="174"/>
      <c r="DH47" s="174"/>
      <c r="DI47" s="174"/>
      <c r="DJ47" s="174"/>
      <c r="DK47" s="174"/>
      <c r="DL47" s="174"/>
      <c r="DM47" s="174"/>
      <c r="DN47" s="174"/>
      <c r="DO47" s="174"/>
      <c r="DP47" s="174"/>
      <c r="DQ47" s="174"/>
      <c r="DR47" s="174"/>
      <c r="DS47" s="174"/>
      <c r="DT47" s="174"/>
      <c r="DU47" s="174"/>
      <c r="DV47" s="174"/>
      <c r="DW47" s="174"/>
      <c r="DX47" s="174"/>
      <c r="DY47" s="174"/>
      <c r="DZ47" s="174"/>
      <c r="EA47" s="174"/>
      <c r="EB47" s="174"/>
      <c r="EC47" s="174"/>
      <c r="ED47" s="174"/>
      <c r="EE47" s="174"/>
      <c r="EF47" s="174"/>
      <c r="EG47" s="174"/>
      <c r="EH47" s="174"/>
      <c r="EI47" s="174"/>
      <c r="EJ47" s="174"/>
      <c r="EK47" s="174"/>
      <c r="EL47" s="174"/>
      <c r="EM47" s="174"/>
      <c r="EN47" s="174"/>
      <c r="EO47" s="174"/>
      <c r="EP47" s="174"/>
      <c r="EQ47" s="174"/>
      <c r="ER47" s="174"/>
      <c r="ES47" s="174"/>
      <c r="ET47" s="174"/>
      <c r="EU47" s="174"/>
      <c r="EV47" s="174"/>
      <c r="EW47" s="174"/>
      <c r="EX47" s="174"/>
      <c r="EY47" s="174"/>
      <c r="EZ47" s="174"/>
      <c r="FA47" s="174"/>
      <c r="FB47" s="174"/>
      <c r="FC47" s="174"/>
      <c r="FD47" s="174"/>
      <c r="FE47" s="174"/>
      <c r="FF47" s="174"/>
      <c r="FG47" s="174"/>
      <c r="FH47" s="174"/>
      <c r="FI47" s="174"/>
      <c r="FJ47" s="174"/>
      <c r="FK47" s="174"/>
      <c r="FL47" s="174"/>
      <c r="FM47" s="174"/>
      <c r="FN47" s="174"/>
      <c r="FO47" s="174"/>
      <c r="FP47" s="174"/>
      <c r="FQ47" s="174"/>
      <c r="FR47" s="174"/>
      <c r="FS47" s="174"/>
      <c r="FT47" s="174"/>
      <c r="FU47" s="174"/>
      <c r="FV47" s="174"/>
      <c r="FW47" s="174"/>
      <c r="FX47" s="174"/>
      <c r="FY47" s="174"/>
      <c r="FZ47" s="174"/>
      <c r="GA47" s="174"/>
      <c r="GB47" s="174"/>
      <c r="GC47" s="174"/>
      <c r="GD47" s="174"/>
      <c r="GE47" s="174"/>
      <c r="GF47" s="174"/>
      <c r="GG47" s="174"/>
      <c r="GH47" s="174"/>
      <c r="GI47" s="174"/>
      <c r="GJ47" s="174"/>
      <c r="GK47" s="174"/>
      <c r="GL47" s="174"/>
      <c r="GM47" s="174"/>
      <c r="GN47" s="174"/>
      <c r="GO47" s="174"/>
      <c r="GP47" s="174"/>
      <c r="GQ47" s="174"/>
      <c r="GR47" s="174"/>
      <c r="GS47" s="174"/>
      <c r="GT47" s="174"/>
      <c r="GU47" s="174"/>
      <c r="GV47" s="174"/>
      <c r="GW47" s="174"/>
      <c r="GX47" s="174"/>
      <c r="GY47" s="174"/>
      <c r="GZ47" s="174"/>
      <c r="HA47" s="174"/>
      <c r="HB47" s="174"/>
      <c r="HC47" s="174"/>
      <c r="HD47" s="174"/>
      <c r="HE47" s="174"/>
      <c r="HF47" s="174"/>
      <c r="HG47" s="174"/>
      <c r="HH47" s="174"/>
      <c r="HI47" s="174"/>
      <c r="HJ47" s="174"/>
      <c r="HK47" s="174"/>
      <c r="HL47" s="174"/>
      <c r="HM47" s="174"/>
      <c r="HN47" s="174"/>
      <c r="HO47" s="174"/>
      <c r="HP47" s="174"/>
      <c r="HQ47" s="174"/>
      <c r="HR47" s="174"/>
      <c r="HS47" s="174"/>
      <c r="HT47" s="174"/>
      <c r="HU47" s="174"/>
      <c r="HV47" s="174"/>
      <c r="HW47" s="174"/>
      <c r="HX47" s="174"/>
      <c r="HY47" s="174"/>
      <c r="HZ47" s="174"/>
      <c r="IA47" s="174"/>
      <c r="IB47" s="174"/>
      <c r="IC47" s="174"/>
      <c r="ID47" s="174"/>
      <c r="IE47" s="174"/>
      <c r="IF47" s="174"/>
      <c r="IG47" s="174"/>
      <c r="IH47" s="174"/>
      <c r="II47" s="174"/>
      <c r="IJ47" s="174"/>
      <c r="IK47" s="174"/>
      <c r="IL47" s="174"/>
      <c r="IM47" s="174"/>
      <c r="IN47" s="174"/>
    </row>
    <row r="48" spans="1:248" ht="13.8" thickBot="1">
      <c r="A48" s="174"/>
      <c r="B48" s="174"/>
      <c r="C48" s="174"/>
      <c r="D48" s="175">
        <v>24</v>
      </c>
      <c r="E48" s="963" t="s">
        <v>161</v>
      </c>
      <c r="F48" s="964"/>
      <c r="G48" s="170">
        <v>156071.95000000001</v>
      </c>
      <c r="H48" s="177">
        <f t="shared" si="7"/>
        <v>1.9397084670383452E-2</v>
      </c>
      <c r="I48" s="213">
        <f t="shared" si="8"/>
        <v>168754.63663233604</v>
      </c>
      <c r="J48" s="178" t="s">
        <v>161</v>
      </c>
      <c r="K48" s="215">
        <f>LS_RPRO!B31+MANUAL!B31+OUTSALE!B31</f>
        <v>0</v>
      </c>
      <c r="L48" s="214">
        <f t="shared" si="24"/>
        <v>-168754.63663233604</v>
      </c>
      <c r="M48" s="216">
        <f>K48/G15</f>
        <v>0</v>
      </c>
      <c r="N48" s="217">
        <f t="shared" si="25"/>
        <v>-4017135.2035943433</v>
      </c>
      <c r="O48" s="207"/>
      <c r="P48" s="170">
        <v>447.5</v>
      </c>
      <c r="Q48" s="215">
        <f>LS_RPRO!C31+MANUAL!C31+OUTSALE!C31</f>
        <v>0</v>
      </c>
      <c r="R48" s="256">
        <f t="shared" si="9"/>
        <v>-1</v>
      </c>
      <c r="S48" s="257"/>
      <c r="T48" s="251"/>
      <c r="U48" s="663"/>
      <c r="V48" s="258" t="e">
        <f t="shared" si="0"/>
        <v>#DIV/0!</v>
      </c>
      <c r="W48" s="664">
        <f t="shared" si="10"/>
        <v>0</v>
      </c>
      <c r="X48" s="253"/>
      <c r="Y48" s="666">
        <f t="shared" si="11"/>
        <v>0</v>
      </c>
      <c r="Z48" s="279" t="e">
        <f t="shared" si="1"/>
        <v>#DIV/0!</v>
      </c>
      <c r="AA48" s="664">
        <f t="shared" si="12"/>
        <v>0</v>
      </c>
      <c r="AB48" s="667">
        <f t="shared" si="2"/>
        <v>0</v>
      </c>
      <c r="AC48" s="668" t="e">
        <f t="shared" si="13"/>
        <v>#DIV/0!</v>
      </c>
      <c r="AD48" s="280"/>
      <c r="AE48" s="676">
        <v>232305.8</v>
      </c>
      <c r="AF48" s="677">
        <f>LS_RPRO!O31+MANUAL!M31+OUTSALE!M31</f>
        <v>0</v>
      </c>
      <c r="AG48" s="679">
        <f t="shared" si="14"/>
        <v>-1</v>
      </c>
      <c r="AH48" s="174"/>
      <c r="AI48" s="686">
        <v>638</v>
      </c>
      <c r="AJ48" s="693">
        <f>LS_RPRO!M31</f>
        <v>0</v>
      </c>
      <c r="AK48" s="694">
        <f t="shared" si="3"/>
        <v>-1</v>
      </c>
      <c r="AL48" s="689">
        <v>176</v>
      </c>
      <c r="AM48" s="690">
        <f>MANUAL!H31+LS_RPRO!H31+OUTSALE!H31</f>
        <v>0</v>
      </c>
      <c r="AN48" s="694">
        <f t="shared" si="4"/>
        <v>-1</v>
      </c>
      <c r="AO48" s="694">
        <f t="shared" si="5"/>
        <v>0.27586206896551724</v>
      </c>
      <c r="AP48" s="694" t="e">
        <f t="shared" si="5"/>
        <v>#DIV/0!</v>
      </c>
      <c r="AQ48" s="695" t="e">
        <f t="shared" si="6"/>
        <v>#DIV/0!</v>
      </c>
      <c r="AR48" s="174"/>
      <c r="AS48" s="705">
        <v>1</v>
      </c>
      <c r="AT48" s="693">
        <f>LS_RPRO!K31</f>
        <v>0</v>
      </c>
      <c r="AU48" s="694">
        <f t="shared" si="15"/>
        <v>-1</v>
      </c>
      <c r="AV48" s="689">
        <v>6</v>
      </c>
      <c r="AW48" s="710">
        <f>LS_RPRO!L31</f>
        <v>0</v>
      </c>
      <c r="AX48" s="694">
        <f t="shared" si="16"/>
        <v>-1</v>
      </c>
      <c r="AY48" s="709">
        <f t="shared" si="26"/>
        <v>7</v>
      </c>
      <c r="AZ48" s="710">
        <f t="shared" si="26"/>
        <v>0</v>
      </c>
      <c r="BA48" s="695">
        <f t="shared" si="17"/>
        <v>-1</v>
      </c>
      <c r="BC48" s="720"/>
      <c r="BD48" s="721">
        <v>0</v>
      </c>
      <c r="BE48" s="695" t="e">
        <f t="shared" si="18"/>
        <v>#DIV/0!</v>
      </c>
      <c r="BF48" s="174"/>
      <c r="BG48" s="727"/>
      <c r="BH48" s="728"/>
      <c r="BI48" s="735" t="e">
        <f t="shared" si="19"/>
        <v>#DIV/0!</v>
      </c>
      <c r="BJ48" s="730"/>
      <c r="BK48" s="731"/>
      <c r="BL48" s="732" t="e">
        <f t="shared" si="20"/>
        <v>#DIV/0!</v>
      </c>
      <c r="BM48" s="729" t="e">
        <f t="shared" si="21"/>
        <v>#DIV/0!</v>
      </c>
      <c r="BN48" s="733" t="e">
        <f t="shared" si="21"/>
        <v>#DIV/0!</v>
      </c>
      <c r="BO48" s="738" t="e">
        <f t="shared" si="22"/>
        <v>#DIV/0!</v>
      </c>
      <c r="BP48" s="174"/>
      <c r="BQ48" s="720"/>
      <c r="BR48" s="721"/>
      <c r="BS48" s="695" t="e">
        <f t="shared" si="23"/>
        <v>#DIV/0!</v>
      </c>
      <c r="BT48" s="174"/>
      <c r="BU48" s="174"/>
      <c r="BV48" s="174"/>
      <c r="BW48" s="174"/>
      <c r="BX48" s="174"/>
      <c r="BY48" s="174"/>
      <c r="BZ48" s="174"/>
      <c r="CA48" s="174"/>
      <c r="CB48" s="174"/>
      <c r="CC48" s="174"/>
      <c r="CD48" s="174"/>
      <c r="CE48" s="174"/>
      <c r="CF48" s="174"/>
      <c r="CG48" s="174"/>
      <c r="CH48" s="174"/>
      <c r="CI48" s="174"/>
      <c r="CJ48" s="174"/>
      <c r="CK48" s="174"/>
      <c r="CL48" s="174"/>
      <c r="CM48" s="174"/>
      <c r="CN48" s="174"/>
      <c r="CO48" s="174"/>
      <c r="CP48" s="174"/>
      <c r="CQ48" s="174"/>
      <c r="CR48" s="174"/>
      <c r="CS48" s="174"/>
      <c r="CT48" s="174"/>
      <c r="CU48" s="174"/>
      <c r="CV48" s="174"/>
      <c r="CW48" s="174"/>
      <c r="CX48" s="174"/>
      <c r="CY48" s="174"/>
      <c r="CZ48" s="174"/>
      <c r="DA48" s="174"/>
      <c r="DB48" s="174"/>
      <c r="DC48" s="174"/>
      <c r="DD48" s="174"/>
      <c r="DE48" s="174"/>
      <c r="DF48" s="174"/>
      <c r="DG48" s="174"/>
      <c r="DH48" s="174"/>
      <c r="DI48" s="174"/>
      <c r="DJ48" s="174"/>
      <c r="DK48" s="174"/>
      <c r="DL48" s="174"/>
      <c r="DM48" s="174"/>
      <c r="DN48" s="174"/>
      <c r="DO48" s="174"/>
      <c r="DP48" s="174"/>
      <c r="DQ48" s="174"/>
      <c r="DR48" s="174"/>
      <c r="DS48" s="174"/>
      <c r="DT48" s="174"/>
      <c r="DU48" s="174"/>
      <c r="DV48" s="174"/>
      <c r="DW48" s="174"/>
      <c r="DX48" s="174"/>
      <c r="DY48" s="174"/>
      <c r="DZ48" s="174"/>
      <c r="EA48" s="174"/>
      <c r="EB48" s="174"/>
      <c r="EC48" s="174"/>
      <c r="ED48" s="174"/>
      <c r="EE48" s="174"/>
      <c r="EF48" s="174"/>
      <c r="EG48" s="174"/>
      <c r="EH48" s="174"/>
      <c r="EI48" s="174"/>
      <c r="EJ48" s="174"/>
      <c r="EK48" s="174"/>
      <c r="EL48" s="174"/>
      <c r="EM48" s="174"/>
      <c r="EN48" s="174"/>
      <c r="EO48" s="174"/>
      <c r="EP48" s="174"/>
      <c r="EQ48" s="174"/>
      <c r="ER48" s="174"/>
      <c r="ES48" s="174"/>
      <c r="ET48" s="174"/>
      <c r="EU48" s="174"/>
      <c r="EV48" s="174"/>
      <c r="EW48" s="174"/>
      <c r="EX48" s="174"/>
      <c r="EY48" s="174"/>
      <c r="EZ48" s="174"/>
      <c r="FA48" s="174"/>
      <c r="FB48" s="174"/>
      <c r="FC48" s="174"/>
      <c r="FD48" s="174"/>
      <c r="FE48" s="174"/>
      <c r="FF48" s="174"/>
      <c r="FG48" s="174"/>
      <c r="FH48" s="174"/>
      <c r="FI48" s="174"/>
      <c r="FJ48" s="174"/>
      <c r="FK48" s="174"/>
      <c r="FL48" s="174"/>
      <c r="FM48" s="174"/>
      <c r="FN48" s="174"/>
      <c r="FO48" s="174"/>
      <c r="FP48" s="174"/>
      <c r="FQ48" s="174"/>
      <c r="FR48" s="174"/>
      <c r="FS48" s="174"/>
      <c r="FT48" s="174"/>
      <c r="FU48" s="174"/>
      <c r="FV48" s="174"/>
      <c r="FW48" s="174"/>
      <c r="FX48" s="174"/>
      <c r="FY48" s="174"/>
      <c r="FZ48" s="174"/>
      <c r="GA48" s="174"/>
      <c r="GB48" s="174"/>
      <c r="GC48" s="174"/>
      <c r="GD48" s="174"/>
      <c r="GE48" s="174"/>
      <c r="GF48" s="174"/>
      <c r="GG48" s="174"/>
      <c r="GH48" s="174"/>
      <c r="GI48" s="174"/>
      <c r="GJ48" s="174"/>
      <c r="GK48" s="174"/>
      <c r="GL48" s="174"/>
      <c r="GM48" s="174"/>
      <c r="GN48" s="174"/>
      <c r="GO48" s="174"/>
      <c r="GP48" s="174"/>
      <c r="GQ48" s="174"/>
      <c r="GR48" s="174"/>
      <c r="GS48" s="174"/>
      <c r="GT48" s="174"/>
      <c r="GU48" s="174"/>
      <c r="GV48" s="174"/>
      <c r="GW48" s="174"/>
      <c r="GX48" s="174"/>
      <c r="GY48" s="174"/>
      <c r="GZ48" s="174"/>
      <c r="HA48" s="174"/>
      <c r="HB48" s="174"/>
      <c r="HC48" s="174"/>
      <c r="HD48" s="174"/>
      <c r="HE48" s="174"/>
      <c r="HF48" s="174"/>
      <c r="HG48" s="174"/>
      <c r="HH48" s="174"/>
      <c r="HI48" s="174"/>
      <c r="HJ48" s="174"/>
      <c r="HK48" s="174"/>
      <c r="HL48" s="174"/>
      <c r="HM48" s="174"/>
      <c r="HN48" s="174"/>
      <c r="HO48" s="174"/>
      <c r="HP48" s="174"/>
      <c r="HQ48" s="174"/>
      <c r="HR48" s="174"/>
      <c r="HS48" s="174"/>
      <c r="HT48" s="174"/>
      <c r="HU48" s="174"/>
      <c r="HV48" s="174"/>
      <c r="HW48" s="174"/>
      <c r="HX48" s="174"/>
      <c r="HY48" s="174"/>
      <c r="HZ48" s="174"/>
      <c r="IA48" s="174"/>
      <c r="IB48" s="174"/>
      <c r="IC48" s="174"/>
      <c r="ID48" s="174"/>
      <c r="IE48" s="174"/>
      <c r="IF48" s="174"/>
      <c r="IG48" s="174"/>
      <c r="IH48" s="174"/>
      <c r="II48" s="174"/>
      <c r="IJ48" s="174"/>
      <c r="IK48" s="174"/>
      <c r="IL48" s="174"/>
      <c r="IM48" s="174"/>
      <c r="IN48" s="174"/>
    </row>
    <row r="49" spans="1:248" ht="14.25" customHeight="1" thickBot="1">
      <c r="A49" s="174"/>
      <c r="B49" s="174"/>
      <c r="C49" s="174"/>
      <c r="D49" s="175">
        <v>25</v>
      </c>
      <c r="E49" s="963" t="s">
        <v>155</v>
      </c>
      <c r="F49" s="964"/>
      <c r="G49" s="170">
        <v>341333.8</v>
      </c>
      <c r="H49" s="177">
        <f t="shared" si="7"/>
        <v>4.2421976655406243E-2</v>
      </c>
      <c r="I49" s="213">
        <f t="shared" si="8"/>
        <v>369071.19690203434</v>
      </c>
      <c r="J49" s="178" t="s">
        <v>155</v>
      </c>
      <c r="K49" s="215">
        <f>LS_RPRO!B32+MANUAL!B32+OUTSALE!B32</f>
        <v>0</v>
      </c>
      <c r="L49" s="214">
        <f t="shared" si="24"/>
        <v>-369071.19690203434</v>
      </c>
      <c r="M49" s="216">
        <f>K49/G15</f>
        <v>0</v>
      </c>
      <c r="N49" s="217">
        <f t="shared" si="25"/>
        <v>-4386206.4004963776</v>
      </c>
      <c r="O49" s="207"/>
      <c r="P49" s="170">
        <v>1043.48</v>
      </c>
      <c r="Q49" s="215">
        <f>LS_RPRO!C32+MANUAL!C32+OUTSALE!C32</f>
        <v>0</v>
      </c>
      <c r="R49" s="256">
        <f t="shared" si="9"/>
        <v>-1</v>
      </c>
      <c r="S49" s="257"/>
      <c r="T49" s="251"/>
      <c r="U49" s="663"/>
      <c r="V49" s="258" t="e">
        <f t="shared" si="0"/>
        <v>#DIV/0!</v>
      </c>
      <c r="W49" s="664">
        <f t="shared" si="10"/>
        <v>0</v>
      </c>
      <c r="X49" s="253"/>
      <c r="Y49" s="666">
        <f t="shared" si="11"/>
        <v>0</v>
      </c>
      <c r="Z49" s="279" t="e">
        <f t="shared" si="1"/>
        <v>#DIV/0!</v>
      </c>
      <c r="AA49" s="664">
        <f t="shared" si="12"/>
        <v>0</v>
      </c>
      <c r="AB49" s="667">
        <f t="shared" si="2"/>
        <v>0</v>
      </c>
      <c r="AC49" s="668" t="e">
        <f t="shared" si="13"/>
        <v>#DIV/0!</v>
      </c>
      <c r="AD49" s="280"/>
      <c r="AE49" s="676">
        <v>310398.95</v>
      </c>
      <c r="AF49" s="677">
        <f>LS_RPRO!O32+MANUAL!M32+OUTSALE!M32</f>
        <v>0</v>
      </c>
      <c r="AG49" s="679">
        <f t="shared" si="14"/>
        <v>-1</v>
      </c>
      <c r="AH49" s="174"/>
      <c r="AI49" s="686">
        <v>880</v>
      </c>
      <c r="AJ49" s="693">
        <f>LS_RPRO!M32</f>
        <v>0</v>
      </c>
      <c r="AK49" s="694">
        <f t="shared" si="3"/>
        <v>-1</v>
      </c>
      <c r="AL49" s="689">
        <v>157</v>
      </c>
      <c r="AM49" s="690">
        <f>MANUAL!H32+LS_RPRO!H32+OUTSALE!H32</f>
        <v>0</v>
      </c>
      <c r="AN49" s="694">
        <f t="shared" si="4"/>
        <v>-1</v>
      </c>
      <c r="AO49" s="694">
        <f t="shared" si="5"/>
        <v>0.17840909090909091</v>
      </c>
      <c r="AP49" s="694" t="e">
        <f t="shared" si="5"/>
        <v>#DIV/0!</v>
      </c>
      <c r="AQ49" s="695" t="e">
        <f t="shared" si="6"/>
        <v>#DIV/0!</v>
      </c>
      <c r="AR49" s="174"/>
      <c r="AS49" s="705">
        <v>0</v>
      </c>
      <c r="AT49" s="693">
        <f>LS_RPRO!K32</f>
        <v>0</v>
      </c>
      <c r="AU49" s="694" t="e">
        <f t="shared" si="15"/>
        <v>#DIV/0!</v>
      </c>
      <c r="AV49" s="689">
        <v>0</v>
      </c>
      <c r="AW49" s="710">
        <f>LS_RPRO!L32</f>
        <v>0</v>
      </c>
      <c r="AX49" s="694" t="e">
        <f t="shared" si="16"/>
        <v>#DIV/0!</v>
      </c>
      <c r="AY49" s="709">
        <f t="shared" si="26"/>
        <v>0</v>
      </c>
      <c r="AZ49" s="710">
        <f t="shared" si="26"/>
        <v>0</v>
      </c>
      <c r="BA49" s="695" t="e">
        <f t="shared" si="17"/>
        <v>#DIV/0!</v>
      </c>
      <c r="BC49" s="720"/>
      <c r="BD49" s="721">
        <v>0</v>
      </c>
      <c r="BE49" s="695" t="e">
        <f t="shared" si="18"/>
        <v>#DIV/0!</v>
      </c>
      <c r="BF49" s="174"/>
      <c r="BG49" s="727"/>
      <c r="BH49" s="728"/>
      <c r="BI49" s="735" t="e">
        <f t="shared" si="19"/>
        <v>#DIV/0!</v>
      </c>
      <c r="BJ49" s="730"/>
      <c r="BK49" s="731"/>
      <c r="BL49" s="732" t="e">
        <f t="shared" si="20"/>
        <v>#DIV/0!</v>
      </c>
      <c r="BM49" s="729" t="e">
        <f t="shared" si="21"/>
        <v>#DIV/0!</v>
      </c>
      <c r="BN49" s="733" t="e">
        <f t="shared" si="21"/>
        <v>#DIV/0!</v>
      </c>
      <c r="BO49" s="738" t="e">
        <f t="shared" si="22"/>
        <v>#DIV/0!</v>
      </c>
      <c r="BP49" s="174"/>
      <c r="BQ49" s="720"/>
      <c r="BR49" s="721"/>
      <c r="BS49" s="695" t="e">
        <f t="shared" si="23"/>
        <v>#DIV/0!</v>
      </c>
      <c r="BT49" s="174"/>
      <c r="BU49" s="174"/>
      <c r="BV49" s="174"/>
      <c r="BW49" s="174"/>
      <c r="BX49" s="174"/>
      <c r="BY49" s="174"/>
      <c r="BZ49" s="174"/>
      <c r="CA49" s="174"/>
      <c r="CB49" s="174"/>
      <c r="CC49" s="174"/>
      <c r="CD49" s="174"/>
      <c r="CE49" s="174"/>
      <c r="CF49" s="174"/>
      <c r="CG49" s="174"/>
      <c r="CH49" s="174"/>
      <c r="CI49" s="174"/>
      <c r="CJ49" s="174"/>
      <c r="CK49" s="174"/>
      <c r="CL49" s="174"/>
      <c r="CM49" s="174"/>
      <c r="CN49" s="174"/>
      <c r="CO49" s="174"/>
      <c r="CP49" s="174"/>
      <c r="CQ49" s="174"/>
      <c r="CR49" s="174"/>
      <c r="CS49" s="174"/>
      <c r="CT49" s="174"/>
      <c r="CU49" s="174"/>
      <c r="CV49" s="174"/>
      <c r="CW49" s="174"/>
      <c r="CX49" s="174"/>
      <c r="CY49" s="174"/>
      <c r="CZ49" s="174"/>
      <c r="DA49" s="174"/>
      <c r="DB49" s="174"/>
      <c r="DC49" s="174"/>
      <c r="DD49" s="174"/>
      <c r="DE49" s="174"/>
      <c r="DF49" s="174"/>
      <c r="DG49" s="174"/>
      <c r="DH49" s="174"/>
      <c r="DI49" s="174"/>
      <c r="DJ49" s="174"/>
      <c r="DK49" s="174"/>
      <c r="DL49" s="174"/>
      <c r="DM49" s="174"/>
      <c r="DN49" s="174"/>
      <c r="DO49" s="174"/>
      <c r="DP49" s="174"/>
      <c r="DQ49" s="174"/>
      <c r="DR49" s="174"/>
      <c r="DS49" s="174"/>
      <c r="DT49" s="174"/>
      <c r="DU49" s="174"/>
      <c r="DV49" s="174"/>
      <c r="DW49" s="174"/>
      <c r="DX49" s="174"/>
      <c r="DY49" s="174"/>
      <c r="DZ49" s="174"/>
      <c r="EA49" s="174"/>
      <c r="EB49" s="174"/>
      <c r="EC49" s="174"/>
      <c r="ED49" s="174"/>
      <c r="EE49" s="174"/>
      <c r="EF49" s="174"/>
      <c r="EG49" s="174"/>
      <c r="EH49" s="174"/>
      <c r="EI49" s="174"/>
      <c r="EJ49" s="174"/>
      <c r="EK49" s="174"/>
      <c r="EL49" s="174"/>
      <c r="EM49" s="174"/>
      <c r="EN49" s="174"/>
      <c r="EO49" s="174"/>
      <c r="EP49" s="174"/>
      <c r="EQ49" s="174"/>
      <c r="ER49" s="174"/>
      <c r="ES49" s="174"/>
      <c r="ET49" s="174"/>
      <c r="EU49" s="174"/>
      <c r="EV49" s="174"/>
      <c r="EW49" s="174"/>
      <c r="EX49" s="174"/>
      <c r="EY49" s="174"/>
      <c r="EZ49" s="174"/>
      <c r="FA49" s="174"/>
      <c r="FB49" s="174"/>
      <c r="FC49" s="174"/>
      <c r="FD49" s="174"/>
      <c r="FE49" s="174"/>
      <c r="FF49" s="174"/>
      <c r="FG49" s="174"/>
      <c r="FH49" s="174"/>
      <c r="FI49" s="174"/>
      <c r="FJ49" s="174"/>
      <c r="FK49" s="174"/>
      <c r="FL49" s="174"/>
      <c r="FM49" s="174"/>
      <c r="FN49" s="174"/>
      <c r="FO49" s="174"/>
      <c r="FP49" s="174"/>
      <c r="FQ49" s="174"/>
      <c r="FR49" s="174"/>
      <c r="FS49" s="174"/>
      <c r="FT49" s="174"/>
      <c r="FU49" s="174"/>
      <c r="FV49" s="174"/>
      <c r="FW49" s="174"/>
      <c r="FX49" s="174"/>
      <c r="FY49" s="174"/>
      <c r="FZ49" s="174"/>
      <c r="GA49" s="174"/>
      <c r="GB49" s="174"/>
      <c r="GC49" s="174"/>
      <c r="GD49" s="174"/>
      <c r="GE49" s="174"/>
      <c r="GF49" s="174"/>
      <c r="GG49" s="174"/>
      <c r="GH49" s="174"/>
      <c r="GI49" s="174"/>
      <c r="GJ49" s="174"/>
      <c r="GK49" s="174"/>
      <c r="GL49" s="174"/>
      <c r="GM49" s="174"/>
      <c r="GN49" s="174"/>
      <c r="GO49" s="174"/>
      <c r="GP49" s="174"/>
      <c r="GQ49" s="174"/>
      <c r="GR49" s="174"/>
      <c r="GS49" s="174"/>
      <c r="GT49" s="174"/>
      <c r="GU49" s="174"/>
      <c r="GV49" s="174"/>
      <c r="GW49" s="174"/>
      <c r="GX49" s="174"/>
      <c r="GY49" s="174"/>
      <c r="GZ49" s="174"/>
      <c r="HA49" s="174"/>
      <c r="HB49" s="174"/>
      <c r="HC49" s="174"/>
      <c r="HD49" s="174"/>
      <c r="HE49" s="174"/>
      <c r="HF49" s="174"/>
      <c r="HG49" s="174"/>
      <c r="HH49" s="174"/>
      <c r="HI49" s="174"/>
      <c r="HJ49" s="174"/>
      <c r="HK49" s="174"/>
      <c r="HL49" s="174"/>
      <c r="HM49" s="174"/>
      <c r="HN49" s="174"/>
      <c r="HO49" s="174"/>
      <c r="HP49" s="174"/>
      <c r="HQ49" s="174"/>
      <c r="HR49" s="174"/>
      <c r="HS49" s="174"/>
      <c r="HT49" s="174"/>
      <c r="HU49" s="174"/>
      <c r="HV49" s="174"/>
      <c r="HW49" s="174"/>
      <c r="HX49" s="174"/>
      <c r="HY49" s="174"/>
      <c r="HZ49" s="174"/>
      <c r="IA49" s="174"/>
      <c r="IB49" s="174"/>
      <c r="IC49" s="174"/>
      <c r="ID49" s="174"/>
      <c r="IE49" s="174"/>
      <c r="IF49" s="174"/>
      <c r="IG49" s="174"/>
      <c r="IH49" s="174"/>
      <c r="II49" s="174"/>
      <c r="IJ49" s="174"/>
      <c r="IK49" s="174"/>
      <c r="IL49" s="174"/>
      <c r="IM49" s="174"/>
      <c r="IN49" s="174"/>
    </row>
    <row r="50" spans="1:248" ht="13.8" thickBot="1">
      <c r="A50" s="174"/>
      <c r="B50" s="174"/>
      <c r="C50" s="174"/>
      <c r="D50" s="175">
        <v>26</v>
      </c>
      <c r="E50" s="963" t="s">
        <v>156</v>
      </c>
      <c r="F50" s="964"/>
      <c r="G50" s="170">
        <v>387732.12</v>
      </c>
      <c r="H50" s="177">
        <f t="shared" si="7"/>
        <v>4.8188497427419062E-2</v>
      </c>
      <c r="I50" s="213">
        <f t="shared" si="8"/>
        <v>419239.92761854583</v>
      </c>
      <c r="J50" s="178" t="s">
        <v>156</v>
      </c>
      <c r="K50" s="215">
        <f>LS_RPRO!B33+MANUAL!B33+OUTSALE!B33</f>
        <v>0</v>
      </c>
      <c r="L50" s="214">
        <f t="shared" si="24"/>
        <v>-419239.92761854583</v>
      </c>
      <c r="M50" s="216">
        <f>K50/G15</f>
        <v>0</v>
      </c>
      <c r="N50" s="217">
        <f t="shared" si="25"/>
        <v>-4805446.3281149231</v>
      </c>
      <c r="O50" s="207"/>
      <c r="P50" s="170">
        <v>168.75</v>
      </c>
      <c r="Q50" s="215">
        <f>LS_RPRO!C33+MANUAL!C33+OUTSALE!C33</f>
        <v>0</v>
      </c>
      <c r="R50" s="256">
        <f t="shared" si="9"/>
        <v>-1</v>
      </c>
      <c r="S50" s="257"/>
      <c r="T50" s="251"/>
      <c r="U50" s="663"/>
      <c r="V50" s="258" t="e">
        <f t="shared" si="0"/>
        <v>#DIV/0!</v>
      </c>
      <c r="W50" s="664">
        <f t="shared" si="10"/>
        <v>0</v>
      </c>
      <c r="X50" s="253"/>
      <c r="Y50" s="666">
        <f t="shared" si="11"/>
        <v>0</v>
      </c>
      <c r="Z50" s="279" t="e">
        <f t="shared" si="1"/>
        <v>#DIV/0!</v>
      </c>
      <c r="AA50" s="664">
        <f t="shared" si="12"/>
        <v>0</v>
      </c>
      <c r="AB50" s="667">
        <f t="shared" si="2"/>
        <v>0</v>
      </c>
      <c r="AC50" s="668" t="e">
        <f t="shared" si="13"/>
        <v>#DIV/0!</v>
      </c>
      <c r="AD50" s="280"/>
      <c r="AE50" s="676">
        <v>90373.25</v>
      </c>
      <c r="AF50" s="677">
        <f>LS_RPRO!O33+MANUAL!M33+OUTSALE!M33</f>
        <v>0</v>
      </c>
      <c r="AG50" s="679">
        <f t="shared" si="14"/>
        <v>-1</v>
      </c>
      <c r="AH50" s="174"/>
      <c r="AI50" s="686">
        <v>307</v>
      </c>
      <c r="AJ50" s="693">
        <f>LS_RPRO!M33</f>
        <v>0</v>
      </c>
      <c r="AK50" s="694">
        <f t="shared" si="3"/>
        <v>-1</v>
      </c>
      <c r="AL50" s="689">
        <v>83</v>
      </c>
      <c r="AM50" s="690">
        <f>MANUAL!H33+LS_RPRO!H33+OUTSALE!H33</f>
        <v>0</v>
      </c>
      <c r="AN50" s="694">
        <f t="shared" si="4"/>
        <v>-1</v>
      </c>
      <c r="AO50" s="694">
        <f t="shared" si="5"/>
        <v>0.27035830618892509</v>
      </c>
      <c r="AP50" s="694" t="e">
        <f t="shared" si="5"/>
        <v>#DIV/0!</v>
      </c>
      <c r="AQ50" s="695" t="e">
        <f t="shared" si="6"/>
        <v>#DIV/0!</v>
      </c>
      <c r="AR50" s="174"/>
      <c r="AS50" s="705">
        <v>0</v>
      </c>
      <c r="AT50" s="693">
        <f>LS_RPRO!K33</f>
        <v>0</v>
      </c>
      <c r="AU50" s="694" t="e">
        <f t="shared" si="15"/>
        <v>#DIV/0!</v>
      </c>
      <c r="AV50" s="689">
        <v>3</v>
      </c>
      <c r="AW50" s="710">
        <f>LS_RPRO!L33</f>
        <v>0</v>
      </c>
      <c r="AX50" s="694">
        <f t="shared" si="16"/>
        <v>-1</v>
      </c>
      <c r="AY50" s="709">
        <f t="shared" si="26"/>
        <v>3</v>
      </c>
      <c r="AZ50" s="710">
        <f t="shared" si="26"/>
        <v>0</v>
      </c>
      <c r="BA50" s="695">
        <f t="shared" si="17"/>
        <v>-1</v>
      </c>
      <c r="BC50" s="720"/>
      <c r="BD50" s="721">
        <v>0</v>
      </c>
      <c r="BE50" s="695" t="e">
        <f t="shared" si="18"/>
        <v>#DIV/0!</v>
      </c>
      <c r="BF50" s="174"/>
      <c r="BG50" s="727"/>
      <c r="BH50" s="728"/>
      <c r="BI50" s="735" t="e">
        <f t="shared" si="19"/>
        <v>#DIV/0!</v>
      </c>
      <c r="BJ50" s="730"/>
      <c r="BK50" s="731"/>
      <c r="BL50" s="735" t="e">
        <f t="shared" si="20"/>
        <v>#DIV/0!</v>
      </c>
      <c r="BM50" s="729" t="e">
        <f t="shared" si="21"/>
        <v>#DIV/0!</v>
      </c>
      <c r="BN50" s="733" t="e">
        <f t="shared" si="21"/>
        <v>#DIV/0!</v>
      </c>
      <c r="BO50" s="738" t="e">
        <f t="shared" si="22"/>
        <v>#DIV/0!</v>
      </c>
      <c r="BP50" s="174"/>
      <c r="BQ50" s="720"/>
      <c r="BR50" s="721"/>
      <c r="BS50" s="695" t="e">
        <f t="shared" si="23"/>
        <v>#DIV/0!</v>
      </c>
      <c r="BT50" s="174"/>
      <c r="BU50" s="174"/>
      <c r="BV50" s="174"/>
      <c r="BW50" s="174"/>
      <c r="BX50" s="174"/>
      <c r="BY50" s="174"/>
      <c r="BZ50" s="174"/>
      <c r="CA50" s="174"/>
      <c r="CB50" s="174"/>
      <c r="CC50" s="174"/>
      <c r="CD50" s="174"/>
      <c r="CE50" s="174"/>
      <c r="CF50" s="174"/>
      <c r="CG50" s="174"/>
      <c r="CH50" s="174"/>
      <c r="CI50" s="174"/>
      <c r="CJ50" s="174"/>
      <c r="CK50" s="174"/>
      <c r="CL50" s="174"/>
      <c r="CM50" s="174"/>
      <c r="CN50" s="174"/>
      <c r="CO50" s="174"/>
      <c r="CP50" s="174"/>
      <c r="CQ50" s="174"/>
      <c r="CR50" s="174"/>
      <c r="CS50" s="174"/>
      <c r="CT50" s="174"/>
      <c r="CU50" s="174"/>
      <c r="CV50" s="174"/>
      <c r="CW50" s="174"/>
      <c r="CX50" s="174"/>
      <c r="CY50" s="174"/>
      <c r="CZ50" s="174"/>
      <c r="DA50" s="174"/>
      <c r="DB50" s="174"/>
      <c r="DC50" s="174"/>
      <c r="DD50" s="174"/>
      <c r="DE50" s="174"/>
      <c r="DF50" s="174"/>
      <c r="DG50" s="174"/>
      <c r="DH50" s="174"/>
      <c r="DI50" s="174"/>
      <c r="DJ50" s="174"/>
      <c r="DK50" s="174"/>
      <c r="DL50" s="174"/>
      <c r="DM50" s="174"/>
      <c r="DN50" s="174"/>
      <c r="DO50" s="174"/>
      <c r="DP50" s="174"/>
      <c r="DQ50" s="174"/>
      <c r="DR50" s="174"/>
      <c r="DS50" s="174"/>
      <c r="DT50" s="174"/>
      <c r="DU50" s="174"/>
      <c r="DV50" s="174"/>
      <c r="DW50" s="174"/>
      <c r="DX50" s="174"/>
      <c r="DY50" s="174"/>
      <c r="DZ50" s="174"/>
      <c r="EA50" s="174"/>
      <c r="EB50" s="174"/>
      <c r="EC50" s="174"/>
      <c r="ED50" s="174"/>
      <c r="EE50" s="174"/>
      <c r="EF50" s="174"/>
      <c r="EG50" s="174"/>
      <c r="EH50" s="174"/>
      <c r="EI50" s="174"/>
      <c r="EJ50" s="174"/>
      <c r="EK50" s="174"/>
      <c r="EL50" s="174"/>
      <c r="EM50" s="174"/>
      <c r="EN50" s="174"/>
      <c r="EO50" s="174"/>
      <c r="EP50" s="174"/>
      <c r="EQ50" s="174"/>
      <c r="ER50" s="174"/>
      <c r="ES50" s="174"/>
      <c r="ET50" s="174"/>
      <c r="EU50" s="174"/>
      <c r="EV50" s="174"/>
      <c r="EW50" s="174"/>
      <c r="EX50" s="174"/>
      <c r="EY50" s="174"/>
      <c r="EZ50" s="174"/>
      <c r="FA50" s="174"/>
      <c r="FB50" s="174"/>
      <c r="FC50" s="174"/>
      <c r="FD50" s="174"/>
      <c r="FE50" s="174"/>
      <c r="FF50" s="174"/>
      <c r="FG50" s="174"/>
      <c r="FH50" s="174"/>
      <c r="FI50" s="174"/>
      <c r="FJ50" s="174"/>
      <c r="FK50" s="174"/>
      <c r="FL50" s="174"/>
      <c r="FM50" s="174"/>
      <c r="FN50" s="174"/>
      <c r="FO50" s="174"/>
      <c r="FP50" s="174"/>
      <c r="FQ50" s="174"/>
      <c r="FR50" s="174"/>
      <c r="FS50" s="174"/>
      <c r="FT50" s="174"/>
      <c r="FU50" s="174"/>
      <c r="FV50" s="174"/>
      <c r="FW50" s="174"/>
      <c r="FX50" s="174"/>
      <c r="FY50" s="174"/>
      <c r="FZ50" s="174"/>
      <c r="GA50" s="174"/>
      <c r="GB50" s="174"/>
      <c r="GC50" s="174"/>
      <c r="GD50" s="174"/>
      <c r="GE50" s="174"/>
      <c r="GF50" s="174"/>
      <c r="GG50" s="174"/>
      <c r="GH50" s="174"/>
      <c r="GI50" s="174"/>
      <c r="GJ50" s="174"/>
      <c r="GK50" s="174"/>
      <c r="GL50" s="174"/>
      <c r="GM50" s="174"/>
      <c r="GN50" s="174"/>
      <c r="GO50" s="174"/>
      <c r="GP50" s="174"/>
      <c r="GQ50" s="174"/>
      <c r="GR50" s="174"/>
      <c r="GS50" s="174"/>
      <c r="GT50" s="174"/>
      <c r="GU50" s="174"/>
      <c r="GV50" s="174"/>
      <c r="GW50" s="174"/>
      <c r="GX50" s="174"/>
      <c r="GY50" s="174"/>
      <c r="GZ50" s="174"/>
      <c r="HA50" s="174"/>
      <c r="HB50" s="174"/>
      <c r="HC50" s="174"/>
      <c r="HD50" s="174"/>
      <c r="HE50" s="174"/>
      <c r="HF50" s="174"/>
      <c r="HG50" s="174"/>
      <c r="HH50" s="174"/>
      <c r="HI50" s="174"/>
      <c r="HJ50" s="174"/>
      <c r="HK50" s="174"/>
      <c r="HL50" s="174"/>
      <c r="HM50" s="174"/>
      <c r="HN50" s="174"/>
      <c r="HO50" s="174"/>
      <c r="HP50" s="174"/>
      <c r="HQ50" s="174"/>
      <c r="HR50" s="174"/>
      <c r="HS50" s="174"/>
      <c r="HT50" s="174"/>
      <c r="HU50" s="174"/>
      <c r="HV50" s="174"/>
      <c r="HW50" s="174"/>
      <c r="HX50" s="174"/>
      <c r="HY50" s="174"/>
      <c r="HZ50" s="174"/>
      <c r="IA50" s="174"/>
      <c r="IB50" s="174"/>
      <c r="IC50" s="174"/>
      <c r="ID50" s="174"/>
      <c r="IE50" s="174"/>
      <c r="IF50" s="174"/>
      <c r="IG50" s="174"/>
      <c r="IH50" s="174"/>
      <c r="II50" s="174"/>
      <c r="IJ50" s="174"/>
      <c r="IK50" s="174"/>
      <c r="IL50" s="174"/>
      <c r="IM50" s="174"/>
      <c r="IN50" s="174"/>
    </row>
    <row r="51" spans="1:248" ht="13.8" thickBot="1">
      <c r="A51" s="174"/>
      <c r="B51" s="174"/>
      <c r="C51" s="174"/>
      <c r="D51" s="175">
        <v>27</v>
      </c>
      <c r="E51" s="963" t="s">
        <v>157</v>
      </c>
      <c r="F51" s="964"/>
      <c r="G51" s="170">
        <v>154971.75</v>
      </c>
      <c r="H51" s="177">
        <f t="shared" si="7"/>
        <v>1.9260348552494515E-2</v>
      </c>
      <c r="I51" s="213">
        <f t="shared" si="8"/>
        <v>167565.03240670229</v>
      </c>
      <c r="J51" s="178" t="s">
        <v>157</v>
      </c>
      <c r="K51" s="215">
        <f>LS_RPRO!B34+MANUAL!B34+OUTSALE!B34</f>
        <v>0</v>
      </c>
      <c r="L51" s="214">
        <f t="shared" si="24"/>
        <v>-167565.03240670229</v>
      </c>
      <c r="M51" s="216">
        <f>K51/G15</f>
        <v>0</v>
      </c>
      <c r="N51" s="217">
        <f t="shared" si="25"/>
        <v>-4973011.3605216257</v>
      </c>
      <c r="O51" s="207"/>
      <c r="P51" s="170">
        <v>3550.1</v>
      </c>
      <c r="Q51" s="215">
        <f>LS_RPRO!C34+MANUAL!C34+OUTSALE!C34</f>
        <v>0</v>
      </c>
      <c r="R51" s="256">
        <f t="shared" si="9"/>
        <v>-1</v>
      </c>
      <c r="S51" s="257"/>
      <c r="T51" s="251"/>
      <c r="U51" s="663"/>
      <c r="V51" s="258" t="e">
        <f t="shared" si="0"/>
        <v>#DIV/0!</v>
      </c>
      <c r="W51" s="664">
        <f t="shared" si="10"/>
        <v>0</v>
      </c>
      <c r="X51" s="253"/>
      <c r="Y51" s="666">
        <f t="shared" si="11"/>
        <v>0</v>
      </c>
      <c r="Z51" s="279" t="e">
        <f t="shared" si="1"/>
        <v>#DIV/0!</v>
      </c>
      <c r="AA51" s="664">
        <f t="shared" si="12"/>
        <v>0</v>
      </c>
      <c r="AB51" s="667">
        <f t="shared" si="2"/>
        <v>0</v>
      </c>
      <c r="AC51" s="668" t="e">
        <f t="shared" si="13"/>
        <v>#DIV/0!</v>
      </c>
      <c r="AD51" s="280"/>
      <c r="AE51" s="676">
        <v>155842.5</v>
      </c>
      <c r="AF51" s="677">
        <f>LS_RPRO!O34+MANUAL!M34+OUTSALE!M34</f>
        <v>0</v>
      </c>
      <c r="AG51" s="679">
        <f t="shared" si="14"/>
        <v>-1</v>
      </c>
      <c r="AH51" s="174"/>
      <c r="AI51" s="686">
        <v>381</v>
      </c>
      <c r="AJ51" s="693">
        <f>LS_RPRO!M34</f>
        <v>0</v>
      </c>
      <c r="AK51" s="694">
        <f t="shared" si="3"/>
        <v>-1</v>
      </c>
      <c r="AL51" s="689">
        <v>85</v>
      </c>
      <c r="AM51" s="690">
        <f>MANUAL!H34+LS_RPRO!H34+OUTSALE!H34</f>
        <v>0</v>
      </c>
      <c r="AN51" s="694">
        <f t="shared" si="4"/>
        <v>-1</v>
      </c>
      <c r="AO51" s="694">
        <f t="shared" si="5"/>
        <v>0.2230971128608924</v>
      </c>
      <c r="AP51" s="694" t="e">
        <f t="shared" si="5"/>
        <v>#DIV/0!</v>
      </c>
      <c r="AQ51" s="695" t="e">
        <f t="shared" si="6"/>
        <v>#DIV/0!</v>
      </c>
      <c r="AR51" s="174"/>
      <c r="AS51" s="705">
        <v>0</v>
      </c>
      <c r="AT51" s="693">
        <f>LS_RPRO!K34</f>
        <v>0</v>
      </c>
      <c r="AU51" s="694" t="e">
        <f t="shared" si="15"/>
        <v>#DIV/0!</v>
      </c>
      <c r="AV51" s="689">
        <v>6</v>
      </c>
      <c r="AW51" s="710">
        <f>LS_RPRO!L34</f>
        <v>0</v>
      </c>
      <c r="AX51" s="694">
        <f t="shared" si="16"/>
        <v>-1</v>
      </c>
      <c r="AY51" s="709">
        <f t="shared" si="26"/>
        <v>6</v>
      </c>
      <c r="AZ51" s="710">
        <f t="shared" si="26"/>
        <v>0</v>
      </c>
      <c r="BA51" s="695">
        <f t="shared" si="17"/>
        <v>-1</v>
      </c>
      <c r="BC51" s="720"/>
      <c r="BD51" s="721">
        <v>0</v>
      </c>
      <c r="BE51" s="695" t="e">
        <f t="shared" si="18"/>
        <v>#DIV/0!</v>
      </c>
      <c r="BF51" s="174"/>
      <c r="BG51" s="727"/>
      <c r="BH51" s="728"/>
      <c r="BI51" s="739" t="e">
        <f t="shared" si="19"/>
        <v>#DIV/0!</v>
      </c>
      <c r="BJ51" s="730"/>
      <c r="BK51" s="731"/>
      <c r="BL51" s="739" t="e">
        <f t="shared" si="20"/>
        <v>#DIV/0!</v>
      </c>
      <c r="BM51" s="740" t="e">
        <f t="shared" si="21"/>
        <v>#DIV/0!</v>
      </c>
      <c r="BN51" s="733" t="e">
        <f t="shared" si="21"/>
        <v>#DIV/0!</v>
      </c>
      <c r="BO51" s="741" t="e">
        <f t="shared" si="22"/>
        <v>#DIV/0!</v>
      </c>
      <c r="BP51" s="174"/>
      <c r="BQ51" s="720"/>
      <c r="BR51" s="721"/>
      <c r="BS51" s="695" t="e">
        <f t="shared" si="23"/>
        <v>#DIV/0!</v>
      </c>
      <c r="BT51" s="174"/>
      <c r="BU51" s="174" t="s">
        <v>38</v>
      </c>
      <c r="BV51" s="174"/>
      <c r="BW51" s="174"/>
      <c r="BX51" s="174"/>
      <c r="BY51" s="174"/>
      <c r="BZ51" s="174"/>
      <c r="CA51" s="174"/>
      <c r="CB51" s="174"/>
      <c r="CC51" s="174"/>
      <c r="CD51" s="174"/>
      <c r="CE51" s="174"/>
      <c r="CF51" s="174"/>
      <c r="CG51" s="174"/>
      <c r="CH51" s="174"/>
      <c r="CI51" s="174"/>
      <c r="CJ51" s="174"/>
      <c r="CK51" s="174"/>
      <c r="CL51" s="174"/>
      <c r="CM51" s="174"/>
      <c r="CN51" s="174"/>
      <c r="CO51" s="174"/>
      <c r="CP51" s="174"/>
      <c r="CQ51" s="174"/>
      <c r="CR51" s="174"/>
      <c r="CS51" s="174"/>
      <c r="CT51" s="174"/>
      <c r="CU51" s="174"/>
      <c r="CV51" s="174"/>
      <c r="CW51" s="174"/>
      <c r="CX51" s="174"/>
      <c r="CY51" s="174"/>
      <c r="CZ51" s="174"/>
      <c r="DA51" s="174"/>
      <c r="DB51" s="174"/>
      <c r="DC51" s="174"/>
      <c r="DD51" s="174"/>
      <c r="DE51" s="174"/>
      <c r="DF51" s="174"/>
      <c r="DG51" s="174"/>
      <c r="DH51" s="174"/>
      <c r="DI51" s="174"/>
      <c r="DJ51" s="174"/>
      <c r="DK51" s="174"/>
      <c r="DL51" s="174"/>
      <c r="DM51" s="174"/>
      <c r="DN51" s="174"/>
      <c r="DO51" s="174"/>
      <c r="DP51" s="174"/>
      <c r="DQ51" s="174"/>
      <c r="DR51" s="174"/>
      <c r="DS51" s="174"/>
      <c r="DT51" s="174"/>
      <c r="DU51" s="174"/>
      <c r="DV51" s="174"/>
      <c r="DW51" s="174"/>
      <c r="DX51" s="174"/>
      <c r="DY51" s="174"/>
      <c r="DZ51" s="174"/>
      <c r="EA51" s="174"/>
      <c r="EB51" s="174"/>
      <c r="EC51" s="174"/>
      <c r="ED51" s="174"/>
      <c r="EE51" s="174"/>
      <c r="EF51" s="174"/>
      <c r="EG51" s="174"/>
      <c r="EH51" s="174"/>
      <c r="EI51" s="174"/>
      <c r="EJ51" s="174"/>
      <c r="EK51" s="174"/>
      <c r="EL51" s="174"/>
      <c r="EM51" s="174"/>
      <c r="EN51" s="174"/>
      <c r="EO51" s="174"/>
      <c r="EP51" s="174"/>
      <c r="EQ51" s="174"/>
      <c r="ER51" s="174"/>
      <c r="ES51" s="174"/>
      <c r="ET51" s="174"/>
      <c r="EU51" s="174"/>
      <c r="EV51" s="174"/>
      <c r="EW51" s="174"/>
      <c r="EX51" s="174"/>
      <c r="EY51" s="174"/>
      <c r="EZ51" s="174"/>
      <c r="FA51" s="174"/>
      <c r="FB51" s="174"/>
      <c r="FC51" s="174"/>
      <c r="FD51" s="174"/>
      <c r="FE51" s="174"/>
      <c r="FF51" s="174"/>
      <c r="FG51" s="174"/>
      <c r="FH51" s="174"/>
      <c r="FI51" s="174"/>
      <c r="FJ51" s="174"/>
      <c r="FK51" s="174"/>
      <c r="FL51" s="174"/>
      <c r="FM51" s="174"/>
      <c r="FN51" s="174"/>
      <c r="FO51" s="174"/>
      <c r="FP51" s="174"/>
      <c r="FQ51" s="174"/>
      <c r="FR51" s="174"/>
      <c r="FS51" s="174"/>
      <c r="FT51" s="174"/>
      <c r="FU51" s="174"/>
      <c r="FV51" s="174"/>
      <c r="FW51" s="174"/>
      <c r="FX51" s="174"/>
      <c r="FY51" s="174"/>
      <c r="FZ51" s="174"/>
      <c r="GA51" s="174"/>
      <c r="GB51" s="174"/>
      <c r="GC51" s="174"/>
      <c r="GD51" s="174"/>
      <c r="GE51" s="174"/>
      <c r="GF51" s="174"/>
      <c r="GG51" s="174"/>
      <c r="GH51" s="174"/>
      <c r="GI51" s="174"/>
      <c r="GJ51" s="174"/>
      <c r="GK51" s="174"/>
      <c r="GL51" s="174"/>
      <c r="GM51" s="174"/>
      <c r="GN51" s="174"/>
      <c r="GO51" s="174"/>
      <c r="GP51" s="174"/>
      <c r="GQ51" s="174"/>
      <c r="GR51" s="174"/>
      <c r="GS51" s="174"/>
      <c r="GT51" s="174"/>
      <c r="GU51" s="174"/>
      <c r="GV51" s="174"/>
      <c r="GW51" s="174"/>
      <c r="GX51" s="174"/>
      <c r="GY51" s="174"/>
      <c r="GZ51" s="174"/>
      <c r="HA51" s="174"/>
      <c r="HB51" s="174"/>
      <c r="HC51" s="174"/>
      <c r="HD51" s="174"/>
      <c r="HE51" s="174"/>
      <c r="HF51" s="174"/>
      <c r="HG51" s="174"/>
      <c r="HH51" s="174"/>
      <c r="HI51" s="174"/>
      <c r="HJ51" s="174"/>
      <c r="HK51" s="174"/>
      <c r="HL51" s="174"/>
      <c r="HM51" s="174"/>
      <c r="HN51" s="174"/>
      <c r="HO51" s="174"/>
      <c r="HP51" s="174"/>
      <c r="HQ51" s="174"/>
      <c r="HR51" s="174"/>
      <c r="HS51" s="174"/>
      <c r="HT51" s="174"/>
      <c r="HU51" s="174"/>
      <c r="HV51" s="174"/>
      <c r="HW51" s="174"/>
      <c r="HX51" s="174"/>
      <c r="HY51" s="174"/>
      <c r="HZ51" s="174"/>
      <c r="IA51" s="174"/>
      <c r="IB51" s="174"/>
      <c r="IC51" s="174"/>
      <c r="ID51" s="174"/>
      <c r="IE51" s="174"/>
      <c r="IF51" s="174"/>
      <c r="IG51" s="174"/>
      <c r="IH51" s="174"/>
      <c r="II51" s="174"/>
      <c r="IJ51" s="174"/>
      <c r="IK51" s="174"/>
      <c r="IL51" s="174"/>
      <c r="IM51" s="174"/>
      <c r="IN51" s="174"/>
    </row>
    <row r="52" spans="1:248" s="152" customFormat="1" ht="13.8" thickBot="1">
      <c r="A52" s="174"/>
      <c r="B52" s="174"/>
      <c r="C52" s="174"/>
      <c r="D52" s="175">
        <v>28</v>
      </c>
      <c r="E52" s="963" t="s">
        <v>158</v>
      </c>
      <c r="F52" s="964"/>
      <c r="G52" s="170">
        <v>213757.6</v>
      </c>
      <c r="H52" s="177">
        <f t="shared" si="7"/>
        <v>2.656642827963614E-2</v>
      </c>
      <c r="I52" s="213">
        <f t="shared" si="8"/>
        <v>231127.92603283442</v>
      </c>
      <c r="J52" s="178" t="s">
        <v>158</v>
      </c>
      <c r="K52" s="215">
        <f>LS_RPRO!B35+MANUAL!B35+OUTSALE!B35</f>
        <v>0</v>
      </c>
      <c r="L52" s="214">
        <f t="shared" si="24"/>
        <v>-231127.92603283442</v>
      </c>
      <c r="M52" s="216">
        <f>K52/G15</f>
        <v>0</v>
      </c>
      <c r="N52" s="217">
        <f t="shared" si="25"/>
        <v>-5204139.2865544604</v>
      </c>
      <c r="O52" s="207"/>
      <c r="P52" s="170">
        <v>316</v>
      </c>
      <c r="Q52" s="215">
        <f>LS_RPRO!C35+MANUAL!C35+OUTSALE!C35</f>
        <v>0</v>
      </c>
      <c r="R52" s="256">
        <f t="shared" si="9"/>
        <v>-1</v>
      </c>
      <c r="S52" s="257"/>
      <c r="T52" s="251"/>
      <c r="U52" s="663"/>
      <c r="V52" s="258" t="e">
        <f t="shared" si="0"/>
        <v>#DIV/0!</v>
      </c>
      <c r="W52" s="664">
        <f t="shared" si="10"/>
        <v>0</v>
      </c>
      <c r="X52" s="253"/>
      <c r="Y52" s="666">
        <f t="shared" si="11"/>
        <v>0</v>
      </c>
      <c r="Z52" s="279" t="e">
        <f t="shared" si="1"/>
        <v>#DIV/0!</v>
      </c>
      <c r="AA52" s="664">
        <f t="shared" si="12"/>
        <v>0</v>
      </c>
      <c r="AB52" s="667">
        <f t="shared" si="2"/>
        <v>0</v>
      </c>
      <c r="AC52" s="668" t="e">
        <f t="shared" si="13"/>
        <v>#DIV/0!</v>
      </c>
      <c r="AD52" s="280"/>
      <c r="AE52" s="676">
        <v>174420.4</v>
      </c>
      <c r="AF52" s="677">
        <f>LS_RPRO!O35+MANUAL!M35+OUTSALE!M35</f>
        <v>0</v>
      </c>
      <c r="AG52" s="679">
        <f t="shared" si="14"/>
        <v>-1</v>
      </c>
      <c r="AH52" s="174"/>
      <c r="AI52" s="686">
        <v>620</v>
      </c>
      <c r="AJ52" s="693">
        <f>LS_RPRO!M35</f>
        <v>0</v>
      </c>
      <c r="AK52" s="694">
        <f t="shared" si="3"/>
        <v>-1</v>
      </c>
      <c r="AL52" s="689">
        <v>110</v>
      </c>
      <c r="AM52" s="690">
        <f>MANUAL!H35+LS_RPRO!H35+OUTSALE!H35</f>
        <v>0</v>
      </c>
      <c r="AN52" s="694">
        <f t="shared" si="4"/>
        <v>-1</v>
      </c>
      <c r="AO52" s="694">
        <f t="shared" si="5"/>
        <v>0.17741935483870969</v>
      </c>
      <c r="AP52" s="694" t="e">
        <f t="shared" si="5"/>
        <v>#DIV/0!</v>
      </c>
      <c r="AQ52" s="695" t="e">
        <f t="shared" si="6"/>
        <v>#DIV/0!</v>
      </c>
      <c r="AR52" s="174"/>
      <c r="AS52" s="705">
        <v>0</v>
      </c>
      <c r="AT52" s="693">
        <f>LS_RPRO!K35</f>
        <v>0</v>
      </c>
      <c r="AU52" s="694" t="e">
        <f t="shared" si="15"/>
        <v>#DIV/0!</v>
      </c>
      <c r="AV52" s="689">
        <v>3</v>
      </c>
      <c r="AW52" s="710">
        <f>LS_RPRO!L35</f>
        <v>0</v>
      </c>
      <c r="AX52" s="694">
        <f t="shared" si="16"/>
        <v>-1</v>
      </c>
      <c r="AY52" s="709">
        <f t="shared" si="26"/>
        <v>3</v>
      </c>
      <c r="AZ52" s="710">
        <f t="shared" si="26"/>
        <v>0</v>
      </c>
      <c r="BA52" s="695">
        <f t="shared" si="17"/>
        <v>-1</v>
      </c>
      <c r="BB52" s="154"/>
      <c r="BC52" s="720"/>
      <c r="BD52" s="721">
        <v>0</v>
      </c>
      <c r="BE52" s="695" t="e">
        <f t="shared" si="18"/>
        <v>#DIV/0!</v>
      </c>
      <c r="BF52" s="174"/>
      <c r="BG52" s="727"/>
      <c r="BH52" s="728"/>
      <c r="BI52" s="735" t="e">
        <f t="shared" si="19"/>
        <v>#DIV/0!</v>
      </c>
      <c r="BJ52" s="730"/>
      <c r="BK52" s="731"/>
      <c r="BL52" s="735" t="e">
        <f t="shared" si="20"/>
        <v>#DIV/0!</v>
      </c>
      <c r="BM52" s="729" t="e">
        <f t="shared" si="21"/>
        <v>#DIV/0!</v>
      </c>
      <c r="BN52" s="733" t="e">
        <f t="shared" si="21"/>
        <v>#DIV/0!</v>
      </c>
      <c r="BO52" s="738" t="e">
        <f t="shared" si="22"/>
        <v>#DIV/0!</v>
      </c>
      <c r="BP52" s="174"/>
      <c r="BQ52" s="720"/>
      <c r="BR52" s="721"/>
      <c r="BS52" s="695" t="e">
        <f t="shared" si="23"/>
        <v>#DIV/0!</v>
      </c>
      <c r="BT52" s="174"/>
      <c r="BU52" s="174"/>
      <c r="BV52" s="174"/>
      <c r="BW52" s="174"/>
      <c r="BX52" s="174"/>
      <c r="BY52" s="174"/>
      <c r="BZ52" s="174"/>
      <c r="CA52" s="174"/>
      <c r="CB52" s="174"/>
      <c r="CC52" s="174"/>
      <c r="CD52" s="174"/>
      <c r="CE52" s="174"/>
      <c r="CF52" s="174"/>
      <c r="CG52" s="174"/>
      <c r="CH52" s="174"/>
      <c r="CI52" s="174"/>
      <c r="CJ52" s="174"/>
      <c r="CK52" s="174"/>
      <c r="CL52" s="174"/>
      <c r="CM52" s="174"/>
      <c r="CN52" s="174"/>
      <c r="CO52" s="174"/>
      <c r="CP52" s="174"/>
      <c r="CQ52" s="174"/>
      <c r="CR52" s="174"/>
      <c r="CS52" s="174"/>
      <c r="CT52" s="174"/>
      <c r="CU52" s="174"/>
      <c r="CV52" s="174"/>
      <c r="CW52" s="174"/>
      <c r="CX52" s="174"/>
      <c r="CY52" s="174"/>
      <c r="CZ52" s="174"/>
      <c r="DA52" s="174"/>
      <c r="DB52" s="174"/>
      <c r="DC52" s="174"/>
      <c r="DD52" s="174"/>
      <c r="DE52" s="174"/>
      <c r="DF52" s="174"/>
      <c r="DG52" s="174"/>
      <c r="DH52" s="174"/>
      <c r="DI52" s="174"/>
      <c r="DJ52" s="174"/>
      <c r="DK52" s="174"/>
      <c r="DL52" s="174"/>
      <c r="DM52" s="174"/>
      <c r="DN52" s="174"/>
      <c r="DO52" s="174"/>
      <c r="DP52" s="174"/>
      <c r="DQ52" s="174"/>
      <c r="DR52" s="174"/>
      <c r="DS52" s="174"/>
      <c r="DT52" s="174"/>
      <c r="DU52" s="174"/>
      <c r="DV52" s="174"/>
      <c r="DW52" s="174"/>
      <c r="DX52" s="174"/>
      <c r="DY52" s="174"/>
      <c r="DZ52" s="174"/>
      <c r="EA52" s="174"/>
      <c r="EB52" s="174"/>
      <c r="EC52" s="174"/>
      <c r="ED52" s="174"/>
      <c r="EE52" s="174"/>
      <c r="EF52" s="174"/>
      <c r="EG52" s="174"/>
      <c r="EH52" s="174"/>
      <c r="EI52" s="174"/>
      <c r="EJ52" s="174"/>
      <c r="EK52" s="174"/>
      <c r="EL52" s="174"/>
      <c r="EM52" s="174"/>
      <c r="EN52" s="174"/>
      <c r="EO52" s="174"/>
      <c r="EP52" s="174"/>
      <c r="EQ52" s="174"/>
      <c r="ER52" s="174"/>
      <c r="ES52" s="174"/>
      <c r="ET52" s="174"/>
      <c r="EU52" s="174"/>
      <c r="EV52" s="174"/>
      <c r="EW52" s="174"/>
      <c r="EX52" s="174"/>
      <c r="EY52" s="174"/>
      <c r="EZ52" s="174"/>
      <c r="FA52" s="174"/>
      <c r="FB52" s="174"/>
      <c r="FC52" s="174"/>
      <c r="FD52" s="174"/>
      <c r="FE52" s="174"/>
      <c r="FF52" s="174"/>
      <c r="FG52" s="174"/>
      <c r="FH52" s="174"/>
      <c r="FI52" s="174"/>
      <c r="FJ52" s="174"/>
      <c r="FK52" s="174"/>
      <c r="FL52" s="174"/>
      <c r="FM52" s="174"/>
      <c r="FN52" s="174"/>
      <c r="FO52" s="174"/>
      <c r="FP52" s="174"/>
      <c r="FQ52" s="174"/>
      <c r="FR52" s="174"/>
      <c r="FS52" s="174"/>
      <c r="FT52" s="174"/>
      <c r="FU52" s="174"/>
      <c r="FV52" s="174"/>
      <c r="FW52" s="174"/>
      <c r="FX52" s="174"/>
      <c r="FY52" s="174"/>
      <c r="FZ52" s="174"/>
      <c r="GA52" s="174"/>
      <c r="GB52" s="174"/>
      <c r="GC52" s="174"/>
      <c r="GD52" s="174"/>
      <c r="GE52" s="174"/>
      <c r="GF52" s="174"/>
      <c r="GG52" s="174"/>
      <c r="GH52" s="174"/>
      <c r="GI52" s="174"/>
      <c r="GJ52" s="174"/>
      <c r="GK52" s="174"/>
      <c r="GL52" s="174"/>
      <c r="GM52" s="174"/>
      <c r="GN52" s="174"/>
      <c r="GO52" s="174"/>
      <c r="GP52" s="174"/>
      <c r="GQ52" s="174"/>
      <c r="GR52" s="174"/>
      <c r="GS52" s="174"/>
      <c r="GT52" s="174"/>
      <c r="GU52" s="174"/>
      <c r="GV52" s="174"/>
      <c r="GW52" s="174"/>
      <c r="GX52" s="174"/>
      <c r="GY52" s="174"/>
      <c r="GZ52" s="174"/>
      <c r="HA52" s="174"/>
      <c r="HB52" s="174"/>
      <c r="HC52" s="174"/>
      <c r="HD52" s="174"/>
      <c r="HE52" s="174"/>
      <c r="HF52" s="174"/>
      <c r="HG52" s="174"/>
      <c r="HH52" s="174"/>
      <c r="HI52" s="174"/>
      <c r="HJ52" s="174"/>
      <c r="HK52" s="174"/>
      <c r="HL52" s="174"/>
      <c r="HM52" s="174"/>
      <c r="HN52" s="174"/>
      <c r="HO52" s="174"/>
      <c r="HP52" s="174"/>
      <c r="HQ52" s="174"/>
      <c r="HR52" s="174"/>
      <c r="HS52" s="174"/>
      <c r="HT52" s="174"/>
      <c r="HU52" s="174"/>
      <c r="HV52" s="174"/>
      <c r="HW52" s="174"/>
      <c r="HX52" s="174"/>
      <c r="HY52" s="174"/>
      <c r="HZ52" s="174"/>
      <c r="IA52" s="174"/>
      <c r="IB52" s="174"/>
      <c r="IC52" s="174"/>
      <c r="ID52" s="174"/>
      <c r="IE52" s="174"/>
      <c r="IF52" s="174"/>
      <c r="IG52" s="174"/>
      <c r="IH52" s="174"/>
      <c r="II52" s="174"/>
      <c r="IJ52" s="174"/>
      <c r="IK52" s="174"/>
      <c r="IL52" s="174"/>
      <c r="IM52" s="174"/>
      <c r="IN52" s="174"/>
    </row>
    <row r="53" spans="1:248" s="152" customFormat="1" ht="13.8" thickBot="1">
      <c r="A53" s="174"/>
      <c r="B53" s="174"/>
      <c r="C53" s="174"/>
      <c r="D53" s="175">
        <v>29</v>
      </c>
      <c r="E53" s="963" t="s">
        <v>159</v>
      </c>
      <c r="F53" s="964"/>
      <c r="G53" s="170">
        <v>231536.59999999998</v>
      </c>
      <c r="H53" s="177">
        <f t="shared" si="7"/>
        <v>2.8776055111073479E-2</v>
      </c>
      <c r="I53" s="213">
        <f t="shared" si="8"/>
        <v>250351.67946633926</v>
      </c>
      <c r="J53" s="178" t="s">
        <v>159</v>
      </c>
      <c r="K53" s="215">
        <f>LS_RPRO!B36+MANUAL!B36+OUTSALE!B36</f>
        <v>0</v>
      </c>
      <c r="L53" s="214">
        <f t="shared" si="24"/>
        <v>-250351.67946633926</v>
      </c>
      <c r="M53" s="216">
        <f>K53/G15</f>
        <v>0</v>
      </c>
      <c r="N53" s="217">
        <f t="shared" si="25"/>
        <v>-5454490.9660207992</v>
      </c>
      <c r="O53" s="207"/>
      <c r="P53" s="170">
        <v>239.7</v>
      </c>
      <c r="Q53" s="215">
        <f>LS_RPRO!C36+MANUAL!C36+OUTSALE!C36</f>
        <v>0</v>
      </c>
      <c r="R53" s="256">
        <f t="shared" si="9"/>
        <v>-1</v>
      </c>
      <c r="S53" s="257"/>
      <c r="T53" s="251"/>
      <c r="U53" s="663"/>
      <c r="V53" s="258" t="e">
        <f t="shared" si="0"/>
        <v>#DIV/0!</v>
      </c>
      <c r="W53" s="664">
        <f t="shared" si="10"/>
        <v>0</v>
      </c>
      <c r="X53" s="253"/>
      <c r="Y53" s="666">
        <f t="shared" si="11"/>
        <v>0</v>
      </c>
      <c r="Z53" s="279" t="e">
        <f t="shared" si="1"/>
        <v>#DIV/0!</v>
      </c>
      <c r="AA53" s="664">
        <f t="shared" si="12"/>
        <v>0</v>
      </c>
      <c r="AB53" s="667">
        <f t="shared" si="2"/>
        <v>0</v>
      </c>
      <c r="AC53" s="668" t="e">
        <f t="shared" si="13"/>
        <v>#DIV/0!</v>
      </c>
      <c r="AD53" s="280"/>
      <c r="AE53" s="676">
        <v>164526.20000000001</v>
      </c>
      <c r="AF53" s="677">
        <f>LS_RPRO!O36+MANUAL!M36+OUTSALE!M36</f>
        <v>0</v>
      </c>
      <c r="AG53" s="679">
        <f t="shared" si="14"/>
        <v>-1</v>
      </c>
      <c r="AH53" s="174"/>
      <c r="AI53" s="686">
        <v>526</v>
      </c>
      <c r="AJ53" s="693">
        <f>LS_RPRO!M36</f>
        <v>0</v>
      </c>
      <c r="AK53" s="694">
        <f t="shared" si="3"/>
        <v>-1</v>
      </c>
      <c r="AL53" s="689">
        <v>39</v>
      </c>
      <c r="AM53" s="690">
        <f>MANUAL!H36+LS_RPRO!H36+OUTSALE!H36</f>
        <v>0</v>
      </c>
      <c r="AN53" s="694">
        <f t="shared" si="4"/>
        <v>-1</v>
      </c>
      <c r="AO53" s="694">
        <f t="shared" si="5"/>
        <v>7.4144486692015205E-2</v>
      </c>
      <c r="AP53" s="694" t="e">
        <f t="shared" si="5"/>
        <v>#DIV/0!</v>
      </c>
      <c r="AQ53" s="695" t="e">
        <f t="shared" si="6"/>
        <v>#DIV/0!</v>
      </c>
      <c r="AR53" s="174"/>
      <c r="AS53" s="705">
        <v>0</v>
      </c>
      <c r="AT53" s="693">
        <f>LS_RPRO!K36</f>
        <v>0</v>
      </c>
      <c r="AU53" s="694" t="e">
        <f t="shared" si="15"/>
        <v>#DIV/0!</v>
      </c>
      <c r="AV53" s="689">
        <v>0</v>
      </c>
      <c r="AW53" s="710">
        <f>LS_RPRO!L36</f>
        <v>0</v>
      </c>
      <c r="AX53" s="694" t="e">
        <f t="shared" si="16"/>
        <v>#DIV/0!</v>
      </c>
      <c r="AY53" s="709">
        <f t="shared" si="26"/>
        <v>0</v>
      </c>
      <c r="AZ53" s="710">
        <f t="shared" si="26"/>
        <v>0</v>
      </c>
      <c r="BA53" s="695" t="e">
        <f t="shared" si="17"/>
        <v>#DIV/0!</v>
      </c>
      <c r="BB53" s="154"/>
      <c r="BC53" s="720"/>
      <c r="BD53" s="721">
        <v>0</v>
      </c>
      <c r="BE53" s="695" t="e">
        <f t="shared" si="18"/>
        <v>#DIV/0!</v>
      </c>
      <c r="BF53" s="174"/>
      <c r="BG53" s="727"/>
      <c r="BH53" s="728"/>
      <c r="BI53" s="735" t="e">
        <f t="shared" si="19"/>
        <v>#DIV/0!</v>
      </c>
      <c r="BJ53" s="730"/>
      <c r="BK53" s="731"/>
      <c r="BL53" s="735" t="e">
        <f t="shared" si="20"/>
        <v>#DIV/0!</v>
      </c>
      <c r="BM53" s="742" t="e">
        <f t="shared" si="21"/>
        <v>#DIV/0!</v>
      </c>
      <c r="BN53" s="743" t="e">
        <f t="shared" si="21"/>
        <v>#DIV/0!</v>
      </c>
      <c r="BO53" s="738" t="e">
        <f t="shared" si="22"/>
        <v>#DIV/0!</v>
      </c>
      <c r="BP53" s="174"/>
      <c r="BQ53" s="720"/>
      <c r="BR53" s="721"/>
      <c r="BS53" s="695" t="e">
        <f t="shared" si="23"/>
        <v>#DIV/0!</v>
      </c>
      <c r="BT53" s="174"/>
      <c r="BU53" s="174"/>
      <c r="BV53" s="174"/>
      <c r="BW53" s="174"/>
      <c r="BX53" s="174"/>
      <c r="BY53" s="174"/>
      <c r="BZ53" s="174"/>
      <c r="CA53" s="174"/>
      <c r="CB53" s="174"/>
      <c r="CC53" s="174"/>
      <c r="CD53" s="174"/>
      <c r="CE53" s="174"/>
      <c r="CF53" s="174"/>
      <c r="CG53" s="174"/>
      <c r="CH53" s="174"/>
      <c r="CI53" s="174"/>
      <c r="CJ53" s="174"/>
      <c r="CK53" s="174"/>
      <c r="CL53" s="174"/>
      <c r="CM53" s="174"/>
      <c r="CN53" s="174"/>
      <c r="CO53" s="174"/>
      <c r="CP53" s="174"/>
      <c r="CQ53" s="174"/>
      <c r="CR53" s="174"/>
      <c r="CS53" s="174"/>
      <c r="CT53" s="174"/>
      <c r="CU53" s="174"/>
      <c r="CV53" s="174"/>
      <c r="CW53" s="174"/>
      <c r="CX53" s="174"/>
      <c r="CY53" s="174"/>
      <c r="CZ53" s="174"/>
      <c r="DA53" s="174"/>
      <c r="DB53" s="174"/>
      <c r="DC53" s="174"/>
      <c r="DD53" s="174"/>
      <c r="DE53" s="174"/>
      <c r="DF53" s="174"/>
      <c r="DG53" s="174"/>
      <c r="DH53" s="174"/>
      <c r="DI53" s="174"/>
      <c r="DJ53" s="174"/>
      <c r="DK53" s="174"/>
      <c r="DL53" s="174"/>
      <c r="DM53" s="174"/>
      <c r="DN53" s="174"/>
      <c r="DO53" s="174"/>
      <c r="DP53" s="174"/>
      <c r="DQ53" s="174"/>
      <c r="DR53" s="174"/>
      <c r="DS53" s="174"/>
      <c r="DT53" s="174"/>
      <c r="DU53" s="174"/>
      <c r="DV53" s="174"/>
      <c r="DW53" s="174"/>
      <c r="DX53" s="174"/>
      <c r="DY53" s="174"/>
      <c r="DZ53" s="174"/>
      <c r="EA53" s="174"/>
      <c r="EB53" s="174"/>
      <c r="EC53" s="174"/>
      <c r="ED53" s="174"/>
      <c r="EE53" s="174"/>
      <c r="EF53" s="174"/>
      <c r="EG53" s="174"/>
      <c r="EH53" s="174"/>
      <c r="EI53" s="174"/>
      <c r="EJ53" s="174"/>
      <c r="EK53" s="174"/>
      <c r="EL53" s="174"/>
      <c r="EM53" s="174"/>
      <c r="EN53" s="174"/>
      <c r="EO53" s="174"/>
      <c r="EP53" s="174"/>
      <c r="EQ53" s="174"/>
      <c r="ER53" s="174"/>
      <c r="ES53" s="174"/>
      <c r="ET53" s="174"/>
      <c r="EU53" s="174"/>
      <c r="EV53" s="174"/>
      <c r="EW53" s="174"/>
      <c r="EX53" s="174"/>
      <c r="EY53" s="174"/>
      <c r="EZ53" s="174"/>
      <c r="FA53" s="174"/>
      <c r="FB53" s="174"/>
      <c r="FC53" s="174"/>
      <c r="FD53" s="174"/>
      <c r="FE53" s="174"/>
      <c r="FF53" s="174"/>
      <c r="FG53" s="174"/>
      <c r="FH53" s="174"/>
      <c r="FI53" s="174"/>
      <c r="FJ53" s="174"/>
      <c r="FK53" s="174"/>
      <c r="FL53" s="174"/>
      <c r="FM53" s="174"/>
      <c r="FN53" s="174"/>
      <c r="FO53" s="174"/>
      <c r="FP53" s="174"/>
      <c r="FQ53" s="174"/>
      <c r="FR53" s="174"/>
      <c r="FS53" s="174"/>
      <c r="FT53" s="174"/>
      <c r="FU53" s="174"/>
      <c r="FV53" s="174"/>
      <c r="FW53" s="174"/>
      <c r="FX53" s="174"/>
      <c r="FY53" s="174"/>
      <c r="FZ53" s="174"/>
      <c r="GA53" s="174"/>
      <c r="GB53" s="174"/>
      <c r="GC53" s="174"/>
      <c r="GD53" s="174"/>
      <c r="GE53" s="174"/>
      <c r="GF53" s="174"/>
      <c r="GG53" s="174"/>
      <c r="GH53" s="174"/>
      <c r="GI53" s="174"/>
      <c r="GJ53" s="174"/>
      <c r="GK53" s="174"/>
      <c r="GL53" s="174"/>
      <c r="GM53" s="174"/>
      <c r="GN53" s="174"/>
      <c r="GO53" s="174"/>
      <c r="GP53" s="174"/>
      <c r="GQ53" s="174"/>
      <c r="GR53" s="174"/>
      <c r="GS53" s="174"/>
      <c r="GT53" s="174"/>
      <c r="GU53" s="174"/>
      <c r="GV53" s="174"/>
      <c r="GW53" s="174"/>
      <c r="GX53" s="174"/>
      <c r="GY53" s="174"/>
      <c r="GZ53" s="174"/>
      <c r="HA53" s="174"/>
      <c r="HB53" s="174"/>
      <c r="HC53" s="174"/>
      <c r="HD53" s="174"/>
      <c r="HE53" s="174"/>
      <c r="HF53" s="174"/>
      <c r="HG53" s="174"/>
      <c r="HH53" s="174"/>
      <c r="HI53" s="174"/>
      <c r="HJ53" s="174"/>
      <c r="HK53" s="174"/>
      <c r="HL53" s="174"/>
      <c r="HM53" s="174"/>
      <c r="HN53" s="174"/>
      <c r="HO53" s="174"/>
      <c r="HP53" s="174"/>
      <c r="HQ53" s="174"/>
      <c r="HR53" s="174"/>
      <c r="HS53" s="174"/>
      <c r="HT53" s="174"/>
      <c r="HU53" s="174"/>
      <c r="HV53" s="174"/>
      <c r="HW53" s="174"/>
      <c r="HX53" s="174"/>
      <c r="HY53" s="174"/>
      <c r="HZ53" s="174"/>
      <c r="IA53" s="174"/>
      <c r="IB53" s="174"/>
      <c r="IC53" s="174"/>
      <c r="ID53" s="174"/>
      <c r="IE53" s="174"/>
      <c r="IF53" s="174"/>
      <c r="IG53" s="174"/>
      <c r="IH53" s="174"/>
      <c r="II53" s="174"/>
      <c r="IJ53" s="174"/>
      <c r="IK53" s="174"/>
      <c r="IL53" s="174"/>
      <c r="IM53" s="174"/>
      <c r="IN53" s="174"/>
    </row>
    <row r="54" spans="1:248" ht="13.8" thickBot="1">
      <c r="A54" s="174"/>
      <c r="B54" s="174"/>
      <c r="C54" s="174"/>
      <c r="D54" s="175">
        <v>30</v>
      </c>
      <c r="E54" s="963" t="s">
        <v>160</v>
      </c>
      <c r="F54" s="964"/>
      <c r="G54" s="170">
        <v>205966.40000000002</v>
      </c>
      <c r="H54" s="177">
        <f t="shared" si="7"/>
        <v>2.5598114844173257E-2</v>
      </c>
      <c r="I54" s="213">
        <f t="shared" si="8"/>
        <v>222703.59914430734</v>
      </c>
      <c r="J54" s="178" t="s">
        <v>160</v>
      </c>
      <c r="K54" s="215">
        <f>LS_RPRO!B37+MANUAL!B37+OUTSALE!B37</f>
        <v>0</v>
      </c>
      <c r="L54" s="214">
        <f t="shared" si="24"/>
        <v>-222703.59914430734</v>
      </c>
      <c r="M54" s="216">
        <f>K54/G15</f>
        <v>0</v>
      </c>
      <c r="N54" s="217">
        <f t="shared" si="25"/>
        <v>-5677194.5651651062</v>
      </c>
      <c r="O54" s="207"/>
      <c r="P54" s="170">
        <v>2135.15</v>
      </c>
      <c r="Q54" s="215">
        <f>LS_RPRO!C37+MANUAL!C37+OUTSALE!C37</f>
        <v>0</v>
      </c>
      <c r="R54" s="256">
        <f t="shared" si="9"/>
        <v>-1</v>
      </c>
      <c r="S54" s="257"/>
      <c r="T54" s="251"/>
      <c r="U54" s="663"/>
      <c r="V54" s="258" t="e">
        <f t="shared" si="0"/>
        <v>#DIV/0!</v>
      </c>
      <c r="W54" s="664">
        <f t="shared" si="10"/>
        <v>0</v>
      </c>
      <c r="X54" s="253"/>
      <c r="Y54" s="666">
        <f t="shared" si="11"/>
        <v>0</v>
      </c>
      <c r="Z54" s="279" t="e">
        <f t="shared" si="1"/>
        <v>#DIV/0!</v>
      </c>
      <c r="AA54" s="664">
        <f t="shared" si="12"/>
        <v>0</v>
      </c>
      <c r="AB54" s="667">
        <f t="shared" si="2"/>
        <v>0</v>
      </c>
      <c r="AC54" s="668" t="e">
        <f t="shared" si="13"/>
        <v>#DIV/0!</v>
      </c>
      <c r="AD54" s="280"/>
      <c r="AE54" s="676">
        <v>207701.25</v>
      </c>
      <c r="AF54" s="677">
        <f>LS_RPRO!O37+MANUAL!M37+OUTSALE!M37</f>
        <v>0</v>
      </c>
      <c r="AG54" s="679">
        <f t="shared" si="14"/>
        <v>-1</v>
      </c>
      <c r="AH54" s="174"/>
      <c r="AI54" s="686">
        <v>853</v>
      </c>
      <c r="AJ54" s="693">
        <f>LS_RPRO!M37</f>
        <v>0</v>
      </c>
      <c r="AK54" s="694">
        <f t="shared" si="3"/>
        <v>-1</v>
      </c>
      <c r="AL54" s="689">
        <v>136</v>
      </c>
      <c r="AM54" s="690">
        <f>MANUAL!H37+LS_RPRO!H37+OUTSALE!H37</f>
        <v>0</v>
      </c>
      <c r="AN54" s="694">
        <f t="shared" si="4"/>
        <v>-1</v>
      </c>
      <c r="AO54" s="694">
        <f t="shared" si="5"/>
        <v>0.15943728018757328</v>
      </c>
      <c r="AP54" s="694" t="e">
        <f t="shared" si="5"/>
        <v>#DIV/0!</v>
      </c>
      <c r="AQ54" s="695" t="e">
        <f t="shared" si="6"/>
        <v>#DIV/0!</v>
      </c>
      <c r="AR54" s="174"/>
      <c r="AS54" s="705">
        <v>1</v>
      </c>
      <c r="AT54" s="693">
        <f>LS_RPRO!K37</f>
        <v>0</v>
      </c>
      <c r="AU54" s="694">
        <f t="shared" si="15"/>
        <v>-1</v>
      </c>
      <c r="AV54" s="689">
        <v>5</v>
      </c>
      <c r="AW54" s="710">
        <f>LS_RPRO!L37</f>
        <v>0</v>
      </c>
      <c r="AX54" s="694">
        <f t="shared" si="16"/>
        <v>-1</v>
      </c>
      <c r="AY54" s="709">
        <f t="shared" si="26"/>
        <v>6</v>
      </c>
      <c r="AZ54" s="710">
        <f t="shared" si="26"/>
        <v>0</v>
      </c>
      <c r="BA54" s="695">
        <f t="shared" si="17"/>
        <v>-1</v>
      </c>
      <c r="BC54" s="720"/>
      <c r="BD54" s="721">
        <v>0</v>
      </c>
      <c r="BE54" s="695" t="e">
        <f t="shared" si="18"/>
        <v>#DIV/0!</v>
      </c>
      <c r="BF54" s="174"/>
      <c r="BG54" s="727"/>
      <c r="BH54" s="728"/>
      <c r="BI54" s="735" t="e">
        <f t="shared" si="19"/>
        <v>#DIV/0!</v>
      </c>
      <c r="BJ54" s="730"/>
      <c r="BK54" s="731"/>
      <c r="BL54" s="735" t="e">
        <f t="shared" si="20"/>
        <v>#DIV/0!</v>
      </c>
      <c r="BM54" s="742" t="e">
        <f t="shared" si="21"/>
        <v>#DIV/0!</v>
      </c>
      <c r="BN54" s="743" t="e">
        <f t="shared" si="21"/>
        <v>#DIV/0!</v>
      </c>
      <c r="BO54" s="738" t="e">
        <f t="shared" si="22"/>
        <v>#DIV/0!</v>
      </c>
      <c r="BP54" s="174"/>
      <c r="BQ54" s="720"/>
      <c r="BR54" s="721"/>
      <c r="BS54" s="695" t="e">
        <f t="shared" si="23"/>
        <v>#DIV/0!</v>
      </c>
      <c r="BT54" s="174"/>
      <c r="BU54" s="174"/>
      <c r="BV54" s="174"/>
      <c r="BW54" s="174"/>
      <c r="BX54" s="174"/>
      <c r="BY54" s="174"/>
      <c r="BZ54" s="174"/>
      <c r="CA54" s="174"/>
      <c r="CB54" s="174"/>
      <c r="CC54" s="174"/>
      <c r="CD54" s="174"/>
      <c r="CE54" s="174"/>
      <c r="CF54" s="174"/>
      <c r="CG54" s="174"/>
      <c r="CH54" s="174"/>
      <c r="CI54" s="174"/>
      <c r="CJ54" s="174"/>
      <c r="CK54" s="174"/>
      <c r="CL54" s="174"/>
      <c r="CM54" s="174"/>
      <c r="CN54" s="174"/>
      <c r="CO54" s="174"/>
      <c r="CP54" s="174"/>
      <c r="CQ54" s="174"/>
      <c r="CR54" s="174"/>
      <c r="CS54" s="174"/>
      <c r="CT54" s="174"/>
      <c r="CU54" s="174"/>
      <c r="CV54" s="174"/>
      <c r="CW54" s="174"/>
      <c r="CX54" s="174"/>
      <c r="CY54" s="174"/>
      <c r="CZ54" s="174"/>
      <c r="DA54" s="174"/>
      <c r="DB54" s="174"/>
      <c r="DC54" s="174"/>
      <c r="DD54" s="174"/>
      <c r="DE54" s="174"/>
      <c r="DF54" s="174"/>
      <c r="DG54" s="174"/>
      <c r="DH54" s="174"/>
      <c r="DI54" s="174"/>
      <c r="DJ54" s="174"/>
      <c r="DK54" s="174"/>
      <c r="DL54" s="174"/>
      <c r="DM54" s="174"/>
      <c r="DN54" s="174"/>
      <c r="DO54" s="174"/>
      <c r="DP54" s="174"/>
      <c r="DQ54" s="174"/>
      <c r="DR54" s="174"/>
      <c r="DS54" s="174"/>
      <c r="DT54" s="174"/>
      <c r="DU54" s="174"/>
      <c r="DV54" s="174"/>
      <c r="DW54" s="174"/>
      <c r="DX54" s="174"/>
      <c r="DY54" s="174"/>
      <c r="DZ54" s="174"/>
      <c r="EA54" s="174"/>
      <c r="EB54" s="174"/>
      <c r="EC54" s="174"/>
      <c r="ED54" s="174"/>
      <c r="EE54" s="174"/>
      <c r="EF54" s="174"/>
      <c r="EG54" s="174"/>
      <c r="EH54" s="174"/>
      <c r="EI54" s="174"/>
      <c r="EJ54" s="174"/>
      <c r="EK54" s="174"/>
      <c r="EL54" s="174"/>
      <c r="EM54" s="174"/>
      <c r="EN54" s="174"/>
      <c r="EO54" s="174"/>
      <c r="EP54" s="174"/>
      <c r="EQ54" s="174"/>
      <c r="ER54" s="174"/>
      <c r="ES54" s="174"/>
      <c r="ET54" s="174"/>
      <c r="EU54" s="174"/>
      <c r="EV54" s="174"/>
      <c r="EW54" s="174"/>
      <c r="EX54" s="174"/>
      <c r="EY54" s="174"/>
      <c r="EZ54" s="174"/>
      <c r="FA54" s="174"/>
      <c r="FB54" s="174"/>
      <c r="FC54" s="174"/>
      <c r="FD54" s="174"/>
      <c r="FE54" s="174"/>
      <c r="FF54" s="174"/>
      <c r="FG54" s="174"/>
      <c r="FH54" s="174"/>
      <c r="FI54" s="174"/>
      <c r="FJ54" s="174"/>
      <c r="FK54" s="174"/>
      <c r="FL54" s="174"/>
      <c r="FM54" s="174"/>
      <c r="FN54" s="174"/>
      <c r="FO54" s="174"/>
      <c r="FP54" s="174"/>
      <c r="FQ54" s="174"/>
      <c r="FR54" s="174"/>
      <c r="FS54" s="174"/>
      <c r="FT54" s="174"/>
      <c r="FU54" s="174"/>
      <c r="FV54" s="174"/>
      <c r="FW54" s="174"/>
      <c r="FX54" s="174"/>
      <c r="FY54" s="174"/>
      <c r="FZ54" s="174"/>
      <c r="GA54" s="174"/>
      <c r="GB54" s="174"/>
      <c r="GC54" s="174"/>
      <c r="GD54" s="174"/>
      <c r="GE54" s="174"/>
      <c r="GF54" s="174"/>
      <c r="GG54" s="174"/>
      <c r="GH54" s="174"/>
      <c r="GI54" s="174"/>
      <c r="GJ54" s="174"/>
      <c r="GK54" s="174"/>
      <c r="GL54" s="174"/>
      <c r="GM54" s="174"/>
      <c r="GN54" s="174"/>
      <c r="GO54" s="174"/>
      <c r="GP54" s="174"/>
      <c r="GQ54" s="174"/>
      <c r="GR54" s="174"/>
      <c r="GS54" s="174"/>
      <c r="GT54" s="174"/>
      <c r="GU54" s="174"/>
      <c r="GV54" s="174"/>
      <c r="GW54" s="174"/>
      <c r="GX54" s="174"/>
      <c r="GY54" s="174"/>
      <c r="GZ54" s="174"/>
      <c r="HA54" s="174"/>
      <c r="HB54" s="174"/>
      <c r="HC54" s="174"/>
      <c r="HD54" s="174"/>
      <c r="HE54" s="174"/>
      <c r="HF54" s="174"/>
      <c r="HG54" s="174"/>
      <c r="HH54" s="174"/>
      <c r="HI54" s="174"/>
      <c r="HJ54" s="174"/>
      <c r="HK54" s="174"/>
      <c r="HL54" s="174"/>
      <c r="HM54" s="174"/>
      <c r="HN54" s="174"/>
      <c r="HO54" s="174"/>
      <c r="HP54" s="174"/>
      <c r="HQ54" s="174"/>
      <c r="HR54" s="174"/>
      <c r="HS54" s="174"/>
      <c r="HT54" s="174"/>
      <c r="HU54" s="174"/>
      <c r="HV54" s="174"/>
      <c r="HW54" s="174"/>
      <c r="HX54" s="174"/>
      <c r="HY54" s="174"/>
      <c r="HZ54" s="174"/>
      <c r="IA54" s="174"/>
      <c r="IB54" s="174"/>
      <c r="IC54" s="174"/>
      <c r="ID54" s="174"/>
      <c r="IE54" s="174"/>
      <c r="IF54" s="174"/>
      <c r="IG54" s="174"/>
      <c r="IH54" s="174"/>
      <c r="II54" s="174"/>
      <c r="IJ54" s="174"/>
      <c r="IK54" s="174"/>
      <c r="IL54" s="174"/>
      <c r="IM54" s="174"/>
      <c r="IN54" s="174"/>
    </row>
    <row r="55" spans="1:248" ht="13.8" thickBot="1">
      <c r="D55" s="175">
        <v>31</v>
      </c>
      <c r="E55" s="963" t="s">
        <v>161</v>
      </c>
      <c r="F55" s="964"/>
      <c r="G55" s="170">
        <v>316509.45</v>
      </c>
      <c r="H55" s="179">
        <f t="shared" si="7"/>
        <v>3.9336732837812929E-2</v>
      </c>
      <c r="I55" s="218">
        <f t="shared" si="8"/>
        <v>342229.57568897249</v>
      </c>
      <c r="J55" s="178" t="s">
        <v>161</v>
      </c>
      <c r="K55" s="219">
        <f>LS_RPRO!B38+MANUAL!B38+OUTSALE!B38</f>
        <v>0</v>
      </c>
      <c r="L55" s="220">
        <f t="shared" si="24"/>
        <v>-342229.57568897249</v>
      </c>
      <c r="M55" s="221">
        <f>K55/G15</f>
        <v>0</v>
      </c>
      <c r="N55" s="222">
        <f t="shared" si="25"/>
        <v>-6019424.1408540783</v>
      </c>
      <c r="O55" s="207"/>
      <c r="P55" s="170">
        <v>57.5</v>
      </c>
      <c r="Q55" s="219">
        <f>LS_RPRO!C38+MANUAL!C38+OUTSALE!C38</f>
        <v>0</v>
      </c>
      <c r="R55" s="259">
        <f t="shared" si="9"/>
        <v>-1</v>
      </c>
      <c r="S55" s="250"/>
      <c r="T55" s="680"/>
      <c r="U55" s="663"/>
      <c r="V55" s="260" t="e">
        <f t="shared" si="0"/>
        <v>#DIV/0!</v>
      </c>
      <c r="W55" s="664">
        <f t="shared" si="10"/>
        <v>0</v>
      </c>
      <c r="X55" s="253"/>
      <c r="Y55" s="666">
        <f t="shared" si="11"/>
        <v>0</v>
      </c>
      <c r="Z55" s="281" t="e">
        <f t="shared" si="1"/>
        <v>#DIV/0!</v>
      </c>
      <c r="AA55" s="664">
        <f t="shared" si="12"/>
        <v>0</v>
      </c>
      <c r="AB55" s="669">
        <f t="shared" si="2"/>
        <v>0</v>
      </c>
      <c r="AC55" s="670" t="e">
        <f t="shared" si="13"/>
        <v>#DIV/0!</v>
      </c>
      <c r="AD55" s="280"/>
      <c r="AE55" s="680">
        <v>135674.65</v>
      </c>
      <c r="AF55" s="681">
        <f>LS_RPRO!O38+MANUAL!M38+OUTSALE!M38</f>
        <v>0</v>
      </c>
      <c r="AG55" s="682">
        <f t="shared" si="14"/>
        <v>-1</v>
      </c>
      <c r="AI55" s="696">
        <v>256</v>
      </c>
      <c r="AJ55" s="697">
        <f>LS_RPRO!M38</f>
        <v>0</v>
      </c>
      <c r="AK55" s="698">
        <f t="shared" si="3"/>
        <v>-1</v>
      </c>
      <c r="AL55" s="699">
        <v>43</v>
      </c>
      <c r="AM55" s="700">
        <f>MANUAL!H38+LS_RPRO!H38+OUTSALE!H38</f>
        <v>0</v>
      </c>
      <c r="AN55" s="698">
        <f t="shared" si="4"/>
        <v>-1</v>
      </c>
      <c r="AO55" s="698">
        <f t="shared" si="5"/>
        <v>0.16796875</v>
      </c>
      <c r="AP55" s="698" t="e">
        <f t="shared" si="5"/>
        <v>#DIV/0!</v>
      </c>
      <c r="AQ55" s="701" t="e">
        <f t="shared" si="6"/>
        <v>#DIV/0!</v>
      </c>
      <c r="AS55" s="711">
        <v>5</v>
      </c>
      <c r="AT55" s="697">
        <f>LS_RPRO!K38</f>
        <v>0</v>
      </c>
      <c r="AU55" s="698">
        <f t="shared" si="15"/>
        <v>-1</v>
      </c>
      <c r="AV55" s="699">
        <v>1</v>
      </c>
      <c r="AW55" s="712">
        <f>LS_RPRO!L38</f>
        <v>0</v>
      </c>
      <c r="AX55" s="698">
        <f t="shared" si="16"/>
        <v>-1</v>
      </c>
      <c r="AY55" s="713">
        <f t="shared" si="26"/>
        <v>6</v>
      </c>
      <c r="AZ55" s="714">
        <f t="shared" si="26"/>
        <v>0</v>
      </c>
      <c r="BA55" s="701">
        <f t="shared" si="17"/>
        <v>-1</v>
      </c>
      <c r="BC55" s="722"/>
      <c r="BD55" s="723">
        <v>0</v>
      </c>
      <c r="BE55" s="701" t="e">
        <f t="shared" si="18"/>
        <v>#DIV/0!</v>
      </c>
      <c r="BG55" s="744"/>
      <c r="BH55" s="745"/>
      <c r="BI55" s="746" t="e">
        <f t="shared" si="19"/>
        <v>#DIV/0!</v>
      </c>
      <c r="BJ55" s="747"/>
      <c r="BK55" s="748"/>
      <c r="BL55" s="746" t="e">
        <f t="shared" si="20"/>
        <v>#DIV/0!</v>
      </c>
      <c r="BM55" s="746" t="e">
        <f t="shared" si="21"/>
        <v>#DIV/0!</v>
      </c>
      <c r="BN55" s="749" t="e">
        <f t="shared" si="21"/>
        <v>#DIV/0!</v>
      </c>
      <c r="BO55" s="750" t="e">
        <f t="shared" si="22"/>
        <v>#DIV/0!</v>
      </c>
      <c r="BP55" s="154"/>
      <c r="BQ55" s="722"/>
      <c r="BR55" s="723"/>
      <c r="BS55" s="701" t="e">
        <f t="shared" si="23"/>
        <v>#DIV/0!</v>
      </c>
    </row>
    <row r="56" spans="1:248" s="153" customFormat="1" ht="15.75" customHeight="1" thickBot="1">
      <c r="A56" s="180"/>
      <c r="B56" s="180"/>
      <c r="C56" s="180"/>
      <c r="D56" s="965" t="s">
        <v>162</v>
      </c>
      <c r="E56" s="966"/>
      <c r="F56" s="966"/>
      <c r="G56" s="181">
        <f>SUM(G25:G55)</f>
        <v>8046155.0099999998</v>
      </c>
      <c r="H56" s="182">
        <f>SUM(H25:H55)</f>
        <v>0.99716376331656098</v>
      </c>
      <c r="I56" s="223">
        <f>SUM(I25:I55)</f>
        <v>8675324.740854077</v>
      </c>
      <c r="J56" s="223"/>
      <c r="K56" s="223">
        <f>SUM(K25:K55)</f>
        <v>2655900.6</v>
      </c>
      <c r="L56" s="224">
        <f>SUM(L25:L55)</f>
        <v>-6019424.1408540783</v>
      </c>
      <c r="M56" s="225">
        <f>K56/G15</f>
        <v>0.30527593103448275</v>
      </c>
      <c r="N56" s="226">
        <f>SUM(N25:N55)</f>
        <v>-70509923.545112327</v>
      </c>
      <c r="O56" s="227">
        <f>SUM(O25:O55)</f>
        <v>0</v>
      </c>
      <c r="P56" s="228">
        <f>SUM(P25:P55)</f>
        <v>31644.62</v>
      </c>
      <c r="Q56" s="228">
        <f>SUM(Q25:Q55)</f>
        <v>16469.879999999997</v>
      </c>
      <c r="R56" s="261">
        <f t="shared" si="9"/>
        <v>-0.4795361739215071</v>
      </c>
      <c r="S56" s="262"/>
      <c r="T56" s="263">
        <f>SUM(T25:T55)</f>
        <v>0</v>
      </c>
      <c r="U56" s="264">
        <f>SUM(U25:U55)</f>
        <v>0</v>
      </c>
      <c r="V56" s="265" t="e">
        <f t="shared" si="0"/>
        <v>#DIV/0!</v>
      </c>
      <c r="W56" s="266">
        <f t="shared" ref="W56:AF56" si="27">SUM(W25:W55)</f>
        <v>0</v>
      </c>
      <c r="X56" s="263">
        <f t="shared" si="27"/>
        <v>0</v>
      </c>
      <c r="Y56" s="282">
        <f t="shared" si="27"/>
        <v>2655900.6</v>
      </c>
      <c r="Z56" s="283" t="e">
        <f t="shared" si="1"/>
        <v>#DIV/0!</v>
      </c>
      <c r="AA56" s="756">
        <f t="shared" si="27"/>
        <v>796770.17999999993</v>
      </c>
      <c r="AB56" s="284">
        <f t="shared" si="27"/>
        <v>796770.17999999993</v>
      </c>
      <c r="AC56" s="285" t="e">
        <f t="shared" si="27"/>
        <v>#DIV/0!</v>
      </c>
      <c r="AD56" s="286"/>
      <c r="AE56" s="671">
        <f t="shared" si="27"/>
        <v>5870132.8500000006</v>
      </c>
      <c r="AF56" s="671">
        <f t="shared" si="27"/>
        <v>2150280.52</v>
      </c>
      <c r="AG56" s="672">
        <f t="shared" si="14"/>
        <v>-0.63369133630425423</v>
      </c>
      <c r="AH56" s="180"/>
      <c r="AI56" s="288">
        <f>SUM(AI25:AI55)</f>
        <v>17825</v>
      </c>
      <c r="AJ56" s="289">
        <f>SUM(AJ25:AJ55)</f>
        <v>6827</v>
      </c>
      <c r="AK56" s="290">
        <f t="shared" si="3"/>
        <v>-0.61699859747545582</v>
      </c>
      <c r="AL56" s="289">
        <f>SUM(AL25:AL55)</f>
        <v>3435</v>
      </c>
      <c r="AM56" s="289">
        <f>SUM(AM25:AM55)</f>
        <v>1013</v>
      </c>
      <c r="AN56" s="290">
        <f t="shared" si="4"/>
        <v>-0.70509461426491993</v>
      </c>
      <c r="AO56" s="290">
        <f t="shared" si="5"/>
        <v>0.19270687237026649</v>
      </c>
      <c r="AP56" s="290">
        <f t="shared" si="5"/>
        <v>0.14838142668814999</v>
      </c>
      <c r="AQ56" s="293">
        <f t="shared" si="6"/>
        <v>-4.4325445682116493E-2</v>
      </c>
      <c r="AR56" s="180"/>
      <c r="AS56" s="288">
        <f>SUM(AS25:AS55)</f>
        <v>36</v>
      </c>
      <c r="AT56" s="289">
        <f>SUM(AT25:AT55)</f>
        <v>16</v>
      </c>
      <c r="AU56" s="290">
        <f t="shared" si="15"/>
        <v>-0.55555555555555558</v>
      </c>
      <c r="AV56" s="289">
        <f>SUM(AV25:AV55)</f>
        <v>106</v>
      </c>
      <c r="AW56" s="289">
        <f>SUM(AW25:AW55)</f>
        <v>38</v>
      </c>
      <c r="AX56" s="290">
        <f t="shared" si="16"/>
        <v>-0.64150943396226412</v>
      </c>
      <c r="AY56" s="294">
        <f>SUM(AY25:AY55)</f>
        <v>142</v>
      </c>
      <c r="AZ56" s="294">
        <f>SUM(AZ25:AZ55)</f>
        <v>54</v>
      </c>
      <c r="BA56" s="295">
        <f t="shared" si="17"/>
        <v>-0.61971830985915488</v>
      </c>
      <c r="BB56" s="180"/>
      <c r="BC56" s="296">
        <f>SUM(BC25:BC55)</f>
        <v>0</v>
      </c>
      <c r="BD56" s="294">
        <f>SUM(BD25:BD55)</f>
        <v>0</v>
      </c>
      <c r="BE56" s="297" t="e">
        <f t="shared" si="18"/>
        <v>#DIV/0!</v>
      </c>
      <c r="BF56" s="180"/>
      <c r="BG56" s="298">
        <f>SUM(BG25:BG55)</f>
        <v>0</v>
      </c>
      <c r="BH56" s="299">
        <f>SUM(BH25:BH55)</f>
        <v>0</v>
      </c>
      <c r="BI56" s="300" t="e">
        <f t="shared" si="19"/>
        <v>#DIV/0!</v>
      </c>
      <c r="BJ56" s="299">
        <f>SUM(BJ25:BJ55)</f>
        <v>0</v>
      </c>
      <c r="BK56" s="301">
        <f>SUM(BK25:BK55)</f>
        <v>0</v>
      </c>
      <c r="BL56" s="300" t="e">
        <f t="shared" si="20"/>
        <v>#DIV/0!</v>
      </c>
      <c r="BM56" s="300" t="e">
        <f>BJ56/BG56</f>
        <v>#DIV/0!</v>
      </c>
      <c r="BN56" s="302" t="e">
        <f>BK56/BH56</f>
        <v>#DIV/0!</v>
      </c>
      <c r="BO56" s="303" t="e">
        <f t="shared" si="22"/>
        <v>#DIV/0!</v>
      </c>
      <c r="BP56" s="304"/>
      <c r="BQ56" s="296">
        <f>SUM(BQ25:BQ55)</f>
        <v>0</v>
      </c>
      <c r="BR56" s="294">
        <f>SUM(BR25:BR55)</f>
        <v>0</v>
      </c>
      <c r="BS56" s="297" t="e">
        <f t="shared" si="23"/>
        <v>#DIV/0!</v>
      </c>
      <c r="BT56" s="180"/>
      <c r="BU56" s="180"/>
      <c r="BV56" s="180"/>
      <c r="BW56" s="180"/>
      <c r="BX56" s="180"/>
      <c r="BY56" s="180"/>
      <c r="BZ56" s="180"/>
      <c r="CA56" s="180"/>
      <c r="CB56" s="180"/>
      <c r="CC56" s="180"/>
      <c r="CD56" s="180"/>
      <c r="CE56" s="180"/>
      <c r="CF56" s="180"/>
      <c r="CG56" s="180"/>
      <c r="CH56" s="180"/>
      <c r="CI56" s="180"/>
      <c r="CJ56" s="180"/>
      <c r="CK56" s="180"/>
      <c r="CL56" s="180"/>
      <c r="CM56" s="180"/>
      <c r="CN56" s="180"/>
      <c r="CO56" s="180"/>
      <c r="CP56" s="180"/>
      <c r="CQ56" s="180"/>
      <c r="CR56" s="180"/>
      <c r="CS56" s="180"/>
      <c r="CT56" s="180"/>
      <c r="CU56" s="180"/>
      <c r="CV56" s="180"/>
      <c r="CW56" s="180"/>
      <c r="CX56" s="180"/>
      <c r="CY56" s="180"/>
      <c r="CZ56" s="180"/>
      <c r="DA56" s="180"/>
      <c r="DB56" s="180"/>
      <c r="DC56" s="180"/>
      <c r="DD56" s="180"/>
      <c r="DE56" s="180"/>
      <c r="DF56" s="180"/>
      <c r="DG56" s="180"/>
      <c r="DH56" s="180"/>
      <c r="DI56" s="180"/>
      <c r="DJ56" s="180"/>
      <c r="DK56" s="180"/>
      <c r="DL56" s="180"/>
      <c r="DM56" s="180"/>
      <c r="DN56" s="180"/>
      <c r="DO56" s="180"/>
      <c r="DP56" s="180"/>
      <c r="DQ56" s="180"/>
      <c r="DR56" s="180"/>
      <c r="DS56" s="180"/>
      <c r="DT56" s="180"/>
      <c r="DU56" s="180"/>
      <c r="DV56" s="180"/>
      <c r="DW56" s="180"/>
      <c r="DX56" s="180"/>
      <c r="DY56" s="180"/>
      <c r="DZ56" s="180"/>
      <c r="EA56" s="180"/>
      <c r="EB56" s="180"/>
      <c r="EC56" s="180"/>
      <c r="ED56" s="180"/>
      <c r="EE56" s="180"/>
      <c r="EF56" s="180"/>
      <c r="EG56" s="180"/>
      <c r="EH56" s="180"/>
      <c r="EI56" s="180"/>
      <c r="EJ56" s="180"/>
      <c r="EK56" s="180"/>
      <c r="EL56" s="180"/>
      <c r="EM56" s="180"/>
      <c r="EN56" s="180"/>
      <c r="EO56" s="180"/>
      <c r="EP56" s="180"/>
      <c r="EQ56" s="180"/>
      <c r="ER56" s="180"/>
      <c r="ES56" s="180"/>
      <c r="ET56" s="180"/>
      <c r="EU56" s="180"/>
      <c r="EV56" s="180"/>
      <c r="EW56" s="180"/>
      <c r="EX56" s="180"/>
      <c r="EY56" s="180"/>
      <c r="EZ56" s="180"/>
      <c r="FA56" s="180"/>
      <c r="FB56" s="180"/>
      <c r="FC56" s="180"/>
      <c r="FD56" s="180"/>
      <c r="FE56" s="180"/>
      <c r="FF56" s="180"/>
      <c r="FG56" s="180"/>
      <c r="FH56" s="180"/>
      <c r="FI56" s="180"/>
      <c r="FJ56" s="180"/>
      <c r="FK56" s="180"/>
      <c r="FL56" s="180"/>
      <c r="FM56" s="180"/>
      <c r="FN56" s="180"/>
      <c r="FO56" s="180"/>
      <c r="FP56" s="180"/>
      <c r="FQ56" s="180"/>
      <c r="FR56" s="180"/>
      <c r="FS56" s="180"/>
      <c r="FT56" s="180"/>
      <c r="FU56" s="180"/>
      <c r="FV56" s="180"/>
      <c r="FW56" s="180"/>
      <c r="FX56" s="180"/>
      <c r="FY56" s="180"/>
      <c r="FZ56" s="180"/>
      <c r="GA56" s="180"/>
      <c r="GB56" s="180"/>
      <c r="GC56" s="180"/>
      <c r="GD56" s="180"/>
      <c r="GE56" s="180"/>
      <c r="GF56" s="180"/>
      <c r="GG56" s="180"/>
      <c r="GH56" s="180"/>
      <c r="GI56" s="180"/>
      <c r="GJ56" s="180"/>
      <c r="GK56" s="180"/>
      <c r="GL56" s="180"/>
      <c r="GM56" s="180"/>
      <c r="GN56" s="180"/>
      <c r="GO56" s="180"/>
      <c r="GP56" s="180"/>
      <c r="GQ56" s="180"/>
      <c r="GR56" s="180"/>
      <c r="GS56" s="180"/>
      <c r="GT56" s="180"/>
      <c r="GU56" s="180"/>
      <c r="GV56" s="180"/>
      <c r="GW56" s="180"/>
      <c r="GX56" s="180"/>
      <c r="GY56" s="180"/>
      <c r="GZ56" s="180"/>
      <c r="HA56" s="180"/>
      <c r="HB56" s="180"/>
      <c r="HC56" s="180"/>
      <c r="HD56" s="180"/>
      <c r="HE56" s="180"/>
      <c r="HF56" s="180"/>
      <c r="HG56" s="180"/>
      <c r="HH56" s="180"/>
      <c r="HI56" s="180"/>
      <c r="HJ56" s="180"/>
      <c r="HK56" s="180"/>
      <c r="HL56" s="180"/>
      <c r="HM56" s="180"/>
      <c r="HN56" s="180"/>
      <c r="HO56" s="180"/>
      <c r="HP56" s="180"/>
      <c r="HQ56" s="180"/>
      <c r="HR56" s="180"/>
      <c r="HS56" s="180"/>
      <c r="HT56" s="180"/>
      <c r="HU56" s="180"/>
      <c r="HV56" s="180"/>
      <c r="HW56" s="180"/>
      <c r="HX56" s="180"/>
      <c r="HY56" s="180"/>
      <c r="HZ56" s="180"/>
      <c r="IA56" s="180"/>
      <c r="IB56" s="180"/>
      <c r="IC56" s="180"/>
      <c r="ID56" s="180"/>
      <c r="IE56" s="180"/>
      <c r="IF56" s="180"/>
      <c r="IG56" s="180"/>
      <c r="IH56" s="180"/>
      <c r="II56" s="180"/>
      <c r="IJ56" s="180"/>
      <c r="IK56" s="180"/>
      <c r="IL56" s="180"/>
      <c r="IM56" s="180"/>
      <c r="IN56" s="180"/>
    </row>
    <row r="57" spans="1:248">
      <c r="G57" s="160"/>
      <c r="H57" s="160"/>
      <c r="I57" s="160"/>
      <c r="J57" s="160"/>
      <c r="K57" s="229"/>
      <c r="L57" s="160"/>
      <c r="M57" s="160"/>
      <c r="N57" s="160"/>
      <c r="O57" s="160"/>
      <c r="T57" s="160"/>
      <c r="U57" s="267"/>
      <c r="V57" s="160"/>
      <c r="Y57" s="154" t="s">
        <v>38</v>
      </c>
    </row>
    <row r="58" spans="1:248" ht="15" customHeight="1"/>
    <row r="59" spans="1:248">
      <c r="T59" s="967"/>
      <c r="U59" s="967"/>
      <c r="V59" s="967"/>
    </row>
    <row r="60" spans="1:248">
      <c r="D60" s="154" t="s">
        <v>280</v>
      </c>
      <c r="T60" s="268"/>
      <c r="U60" s="268"/>
      <c r="V60" s="268"/>
    </row>
    <row r="61" spans="1:248">
      <c r="G61" s="154">
        <v>2026</v>
      </c>
      <c r="H61" s="154">
        <v>2025</v>
      </c>
      <c r="T61" s="269"/>
      <c r="U61" s="269"/>
      <c r="V61" s="270"/>
    </row>
    <row r="62" spans="1:248">
      <c r="D62" s="154" t="s">
        <v>285</v>
      </c>
      <c r="G62" s="868">
        <f>SUM(K25:K28)</f>
        <v>1037837.52</v>
      </c>
      <c r="H62" s="868">
        <f>SUM(G25:G28)</f>
        <v>907144.53</v>
      </c>
      <c r="I62" s="154">
        <f>(G62-H62)/G62*1</f>
        <v>0.12592817997175509</v>
      </c>
      <c r="R62" s="271"/>
      <c r="S62" s="271"/>
      <c r="T62" s="272"/>
      <c r="U62" s="272"/>
      <c r="V62" s="273"/>
      <c r="W62" s="271"/>
    </row>
    <row r="63" spans="1:248" ht="13.8">
      <c r="D63" s="154" t="s">
        <v>286</v>
      </c>
      <c r="E63" s="850"/>
      <c r="G63" s="868">
        <f>SUM(K29:K35)</f>
        <v>1459953.08</v>
      </c>
      <c r="H63" s="868">
        <f>SUM(G29:G35)</f>
        <v>1784305.0699999998</v>
      </c>
      <c r="I63" s="154">
        <f>(G63-H63)/G63*100%</f>
        <v>-0.22216603700716173</v>
      </c>
      <c r="R63" s="271"/>
      <c r="S63" s="271"/>
      <c r="T63" s="274"/>
      <c r="U63" s="274"/>
      <c r="V63" s="275"/>
      <c r="W63" s="271"/>
    </row>
    <row r="64" spans="1:248">
      <c r="D64" s="154" t="s">
        <v>287</v>
      </c>
      <c r="E64" s="850"/>
      <c r="G64" s="868">
        <f>SUM(K36:K42)</f>
        <v>158110</v>
      </c>
      <c r="H64" s="868">
        <f>SUM(G36:G42)</f>
        <v>2181310.9</v>
      </c>
      <c r="I64" s="154">
        <f t="shared" ref="I64:I67" si="28">(G64-H64)/G64*100</f>
        <v>-1279.616026816773</v>
      </c>
      <c r="R64" s="271"/>
      <c r="S64" s="271"/>
      <c r="T64" s="271"/>
      <c r="U64" s="271"/>
      <c r="V64" s="271"/>
      <c r="W64" s="271"/>
    </row>
    <row r="65" spans="4:23">
      <c r="D65" s="154" t="s">
        <v>288</v>
      </c>
      <c r="E65" s="850"/>
      <c r="G65" s="850">
        <f>SUM(K43:K49)</f>
        <v>0</v>
      </c>
      <c r="H65" s="868">
        <f>SUM(G43:G49)</f>
        <v>1662920.5899999999</v>
      </c>
      <c r="I65" s="154" t="e">
        <f t="shared" si="28"/>
        <v>#DIV/0!</v>
      </c>
      <c r="R65" s="271"/>
      <c r="S65" s="271"/>
      <c r="T65" s="305"/>
      <c r="U65" s="271"/>
      <c r="V65" s="271"/>
      <c r="W65" s="271"/>
    </row>
    <row r="66" spans="4:23">
      <c r="D66" s="869" t="s">
        <v>289</v>
      </c>
      <c r="G66" s="850">
        <f>SUM(K50:K55)</f>
        <v>0</v>
      </c>
      <c r="H66" s="850">
        <f>SUM(G50:G55)</f>
        <v>1510473.92</v>
      </c>
      <c r="I66" s="154" t="e">
        <f t="shared" si="28"/>
        <v>#DIV/0!</v>
      </c>
    </row>
    <row r="67" spans="4:23">
      <c r="D67" s="867"/>
      <c r="G67" s="850">
        <f>K55</f>
        <v>0</v>
      </c>
      <c r="H67" s="850">
        <f>K56</f>
        <v>2655900.6</v>
      </c>
      <c r="I67" s="154" t="e">
        <f t="shared" si="28"/>
        <v>#DIV/0!</v>
      </c>
      <c r="T67" s="306"/>
    </row>
    <row r="69" spans="4:23">
      <c r="G69" s="868">
        <f>SUM(G62:G67)</f>
        <v>2655900.6</v>
      </c>
    </row>
  </sheetData>
  <sheetProtection algorithmName="SHA-512" hashValue="FbYI+nvw9rcYJSLi4CyFbtp+b7M7sQ9TnRomnRsTssDxPScrnYOlOtYupARqUdPKuUprmV+XsfbVINWtv7yrCA==" saltValue="fqL6r/joHHk4rA7dPhATDQ==" spinCount="100000" sheet="1" objects="1" scenarios="1"/>
  <protectedRanges>
    <protectedRange sqref="W25:W55 AA25:AA55" name="Range4"/>
    <protectedRange sqref="BG24:BH24 BJ24:BK24 BM24:BN24 BQ24:BR24" name="Range3"/>
    <protectedRange sqref="J25:J56 O25:P56 AE25:AE56 AS25:AS56 AV25:AV56 BC25:BD56 BG25:BH56 BJ25:BK56 T25:U56 BQ25:BR56 AL25:AL56 AI25:AI56 X25:Y56 E25:G55" name="Range1"/>
    <protectedRange sqref="BQ25:BR56" name="Range1_1"/>
  </protectedRanges>
  <customSheetViews>
    <customSheetView guid="{A189EEDB-4C08-4033-8253-44851FC119BC}" scale="80" hiddenRows="1" hiddenColumns="1" topLeftCell="J11">
      <selection activeCell="Q38" sqref="Q38"/>
      <pageMargins left="0.7" right="0.7" top="0.75" bottom="0.75" header="0.3" footer="0.3"/>
      <pageSetup orientation="portrait"/>
    </customSheetView>
  </customSheetViews>
  <mergeCells count="64">
    <mergeCell ref="E54:F54"/>
    <mergeCell ref="E55:F55"/>
    <mergeCell ref="D56:F56"/>
    <mergeCell ref="T59:V59"/>
    <mergeCell ref="AB23:AB24"/>
    <mergeCell ref="E49:F49"/>
    <mergeCell ref="E50:F50"/>
    <mergeCell ref="E51:F51"/>
    <mergeCell ref="E52:F52"/>
    <mergeCell ref="E53:F53"/>
    <mergeCell ref="E44:F44"/>
    <mergeCell ref="E45:F45"/>
    <mergeCell ref="E46:F46"/>
    <mergeCell ref="E47:F47"/>
    <mergeCell ref="E48:F48"/>
    <mergeCell ref="E39:F39"/>
    <mergeCell ref="E41:F41"/>
    <mergeCell ref="E42:F42"/>
    <mergeCell ref="E43:F43"/>
    <mergeCell ref="E34:F34"/>
    <mergeCell ref="E35:F35"/>
    <mergeCell ref="E36:F36"/>
    <mergeCell ref="E37:F37"/>
    <mergeCell ref="E38:F38"/>
    <mergeCell ref="E30:F30"/>
    <mergeCell ref="E31:F31"/>
    <mergeCell ref="E32:F32"/>
    <mergeCell ref="E33:F33"/>
    <mergeCell ref="E40:F40"/>
    <mergeCell ref="E25:F25"/>
    <mergeCell ref="E26:F26"/>
    <mergeCell ref="E27:F27"/>
    <mergeCell ref="E28:F28"/>
    <mergeCell ref="E29:F29"/>
    <mergeCell ref="D22:F22"/>
    <mergeCell ref="T22:AC22"/>
    <mergeCell ref="D23:R23"/>
    <mergeCell ref="T23:W23"/>
    <mergeCell ref="X23:AA23"/>
    <mergeCell ref="AC23:AC24"/>
    <mergeCell ref="D24:F24"/>
    <mergeCell ref="H22:I22"/>
    <mergeCell ref="D20:F20"/>
    <mergeCell ref="H20:I20"/>
    <mergeCell ref="D21:F21"/>
    <mergeCell ref="H21:I21"/>
    <mergeCell ref="O21:Q21"/>
    <mergeCell ref="D18:F18"/>
    <mergeCell ref="H18:I18"/>
    <mergeCell ref="K18:L18"/>
    <mergeCell ref="D19:F19"/>
    <mergeCell ref="H19:I19"/>
    <mergeCell ref="K19:L19"/>
    <mergeCell ref="D16:F16"/>
    <mergeCell ref="H16:I16"/>
    <mergeCell ref="K16:L16"/>
    <mergeCell ref="D17:F17"/>
    <mergeCell ref="H17:I17"/>
    <mergeCell ref="K17:L17"/>
    <mergeCell ref="E12:G12"/>
    <mergeCell ref="E13:G13"/>
    <mergeCell ref="D15:F15"/>
    <mergeCell ref="H15:I15"/>
    <mergeCell ref="K15:L15"/>
  </mergeCells>
  <phoneticPr fontId="103" type="noConversion"/>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sheetPr>
  <dimension ref="A1:F38"/>
  <sheetViews>
    <sheetView zoomScale="77" zoomScaleNormal="77" workbookViewId="0">
      <pane xSplit="1" ySplit="6" topLeftCell="B7" activePane="bottomRight" state="frozen"/>
      <selection pane="topRight" activeCell="B1" sqref="B1"/>
      <selection pane="bottomLeft" activeCell="A4" sqref="A4"/>
      <selection pane="bottomRight" activeCell="B4" sqref="B4"/>
    </sheetView>
  </sheetViews>
  <sheetFormatPr defaultRowHeight="14.4"/>
  <cols>
    <col min="1" max="1" width="8" bestFit="1" customWidth="1"/>
    <col min="2" max="2" width="19.6640625" bestFit="1" customWidth="1"/>
    <col min="3" max="3" width="18.5546875" customWidth="1"/>
    <col min="4" max="4" width="12.88671875" bestFit="1" customWidth="1"/>
    <col min="6" max="6" width="21.44140625" customWidth="1"/>
  </cols>
  <sheetData>
    <row r="1" spans="1:6" s="792" customFormat="1" ht="18.600000000000001" thickBot="1">
      <c r="A1" s="800" t="s">
        <v>247</v>
      </c>
      <c r="B1" s="801"/>
      <c r="C1" s="801"/>
    </row>
    <row r="2" spans="1:6" s="102" customFormat="1" ht="18">
      <c r="A2" s="793" t="s">
        <v>248</v>
      </c>
      <c r="B2" s="794" t="s">
        <v>26</v>
      </c>
      <c r="C2" s="795" t="s">
        <v>245</v>
      </c>
    </row>
    <row r="3" spans="1:6" s="102" customFormat="1" ht="18">
      <c r="A3" s="796">
        <v>2025</v>
      </c>
      <c r="B3" s="797">
        <f>SUM(B5:B18)</f>
        <v>3239466.6500000004</v>
      </c>
      <c r="C3" s="970">
        <f>(B4-B3)/B3</f>
        <v>-0.18014263242994036</v>
      </c>
      <c r="F3" s="870">
        <f>B4-B3</f>
        <v>-583566.05000000028</v>
      </c>
    </row>
    <row r="4" spans="1:6" s="102" customFormat="1" ht="18.600000000000001" thickBot="1">
      <c r="A4" s="798">
        <v>2026</v>
      </c>
      <c r="B4" s="799">
        <f>C38</f>
        <v>2655900.6</v>
      </c>
      <c r="C4" s="971"/>
    </row>
    <row r="6" spans="1:6" s="5" customFormat="1" ht="15" thickBot="1">
      <c r="A6" s="771" t="s">
        <v>49</v>
      </c>
      <c r="B6" s="771" t="s">
        <v>276</v>
      </c>
      <c r="C6" s="771" t="s">
        <v>277</v>
      </c>
      <c r="D6" s="771" t="s">
        <v>245</v>
      </c>
    </row>
    <row r="7" spans="1:6" ht="15" thickBot="1">
      <c r="A7" s="772">
        <v>46296</v>
      </c>
      <c r="B7" s="773">
        <v>196063.15</v>
      </c>
      <c r="C7" s="776">
        <f>'Seasonality Template'!K25</f>
        <v>173242.34999999998</v>
      </c>
      <c r="D7" s="786">
        <f>(C7-B7)/C7</f>
        <v>-0.13172760586542506</v>
      </c>
    </row>
    <row r="8" spans="1:6" ht="15" thickBot="1">
      <c r="A8" s="772">
        <f>A7+1</f>
        <v>46297</v>
      </c>
      <c r="B8" s="759">
        <v>168531.4</v>
      </c>
      <c r="C8" s="758">
        <f>'Seasonality Template'!K26</f>
        <v>208772.5</v>
      </c>
      <c r="D8" s="786">
        <f t="shared" ref="D8:D9" si="0">(C8-B8)/C8</f>
        <v>0.19275096097426628</v>
      </c>
    </row>
    <row r="9" spans="1:6" ht="15" thickBot="1">
      <c r="A9" s="772">
        <f t="shared" ref="A9:A37" si="1">A8+1</f>
        <v>46298</v>
      </c>
      <c r="B9" s="759">
        <v>168709</v>
      </c>
      <c r="C9" s="758">
        <f>'Seasonality Template'!K27</f>
        <v>355795.97</v>
      </c>
      <c r="D9" s="786">
        <f t="shared" si="0"/>
        <v>0.52582655728225358</v>
      </c>
    </row>
    <row r="10" spans="1:6" ht="15" thickBot="1">
      <c r="A10" s="772">
        <f t="shared" si="1"/>
        <v>46299</v>
      </c>
      <c r="B10" s="759">
        <v>373840.98</v>
      </c>
      <c r="C10" s="758">
        <f>'Seasonality Template'!K28</f>
        <v>300026.7</v>
      </c>
      <c r="D10" s="787">
        <f>(C10-B10)/B10</f>
        <v>-0.19744833752575755</v>
      </c>
    </row>
    <row r="11" spans="1:6" ht="15" thickBot="1">
      <c r="A11" s="772">
        <f t="shared" si="1"/>
        <v>46300</v>
      </c>
      <c r="B11" s="759">
        <v>445288.82</v>
      </c>
      <c r="C11" s="758">
        <f>'Seasonality Template'!K29</f>
        <v>214629.95</v>
      </c>
      <c r="D11" s="787">
        <f t="shared" ref="D11:D38" si="2">(C11-B11)/B11</f>
        <v>-0.51799834094195307</v>
      </c>
    </row>
    <row r="12" spans="1:6" ht="15" thickBot="1">
      <c r="A12" s="772">
        <f t="shared" si="1"/>
        <v>46301</v>
      </c>
      <c r="B12" s="759">
        <v>191197.5</v>
      </c>
      <c r="C12" s="758">
        <f>'Seasonality Template'!K30</f>
        <v>151874.5</v>
      </c>
      <c r="D12" s="787">
        <f t="shared" si="2"/>
        <v>-0.20566691510087737</v>
      </c>
    </row>
    <row r="13" spans="1:6" ht="15" thickBot="1">
      <c r="A13" s="772">
        <f t="shared" si="1"/>
        <v>46302</v>
      </c>
      <c r="B13" s="759">
        <v>206303.95</v>
      </c>
      <c r="C13" s="758">
        <f>'Seasonality Template'!K31</f>
        <v>116543.95</v>
      </c>
      <c r="D13" s="787">
        <f t="shared" si="2"/>
        <v>-0.43508619199971699</v>
      </c>
    </row>
    <row r="14" spans="1:6" ht="15" thickBot="1">
      <c r="A14" s="772">
        <f t="shared" si="1"/>
        <v>46303</v>
      </c>
      <c r="B14" s="759">
        <v>169083.9</v>
      </c>
      <c r="C14" s="758">
        <f>'Seasonality Template'!K32</f>
        <v>146954.5</v>
      </c>
      <c r="D14" s="787">
        <f t="shared" si="2"/>
        <v>-0.13087822081227127</v>
      </c>
    </row>
    <row r="15" spans="1:6" ht="15" thickBot="1">
      <c r="A15" s="772">
        <f t="shared" si="1"/>
        <v>46304</v>
      </c>
      <c r="B15" s="759">
        <v>173091.25</v>
      </c>
      <c r="C15" s="758">
        <f>'Seasonality Template'!K33</f>
        <v>198378.74</v>
      </c>
      <c r="D15" s="787">
        <f t="shared" si="2"/>
        <v>0.14609340449040603</v>
      </c>
    </row>
    <row r="16" spans="1:6" ht="15" thickBot="1">
      <c r="A16" s="772">
        <f t="shared" si="1"/>
        <v>46305</v>
      </c>
      <c r="B16" s="759">
        <v>197428.25</v>
      </c>
      <c r="C16" s="758">
        <f>'Seasonality Template'!K34</f>
        <v>316237.04000000004</v>
      </c>
      <c r="D16" s="787">
        <f t="shared" si="2"/>
        <v>0.60178211578130303</v>
      </c>
    </row>
    <row r="17" spans="1:4" ht="15" thickBot="1">
      <c r="A17" s="772">
        <f t="shared" si="1"/>
        <v>46306</v>
      </c>
      <c r="B17" s="759">
        <v>401911.4</v>
      </c>
      <c r="C17" s="758">
        <f>'Seasonality Template'!K35</f>
        <v>315334.40000000002</v>
      </c>
      <c r="D17" s="787">
        <f t="shared" si="2"/>
        <v>-0.21541314827098706</v>
      </c>
    </row>
    <row r="18" spans="1:4" ht="15" thickBot="1">
      <c r="A18" s="772">
        <f t="shared" si="1"/>
        <v>46307</v>
      </c>
      <c r="B18" s="759">
        <v>548017.05000000005</v>
      </c>
      <c r="C18" s="758">
        <f>'Seasonality Template'!K36</f>
        <v>158110</v>
      </c>
      <c r="D18" s="787">
        <f t="shared" si="2"/>
        <v>-0.71148707873231321</v>
      </c>
    </row>
    <row r="19" spans="1:4" ht="15" thickBot="1">
      <c r="A19" s="772">
        <f t="shared" si="1"/>
        <v>46308</v>
      </c>
      <c r="B19" s="759">
        <v>162285.5</v>
      </c>
      <c r="C19" s="758">
        <f>'Seasonality Template'!K37</f>
        <v>0</v>
      </c>
      <c r="D19" s="787">
        <f t="shared" si="2"/>
        <v>-1</v>
      </c>
    </row>
    <row r="20" spans="1:4" ht="15" thickBot="1">
      <c r="A20" s="772">
        <f t="shared" si="1"/>
        <v>46309</v>
      </c>
      <c r="B20" s="759">
        <v>196776</v>
      </c>
      <c r="C20" s="758">
        <f>'Seasonality Template'!K38</f>
        <v>0</v>
      </c>
      <c r="D20" s="787">
        <f t="shared" si="2"/>
        <v>-1</v>
      </c>
    </row>
    <row r="21" spans="1:4" ht="15" thickBot="1">
      <c r="A21" s="772">
        <f t="shared" si="1"/>
        <v>46310</v>
      </c>
      <c r="B21" s="759">
        <v>217199.4</v>
      </c>
      <c r="C21" s="758">
        <f>'Seasonality Template'!K39</f>
        <v>0</v>
      </c>
      <c r="D21" s="787">
        <f t="shared" si="2"/>
        <v>-1</v>
      </c>
    </row>
    <row r="22" spans="1:4" ht="15" thickBot="1">
      <c r="A22" s="772">
        <f t="shared" si="1"/>
        <v>46311</v>
      </c>
      <c r="B22" s="759">
        <v>258189.75</v>
      </c>
      <c r="C22" s="758">
        <f>'Seasonality Template'!K40</f>
        <v>0</v>
      </c>
      <c r="D22" s="787">
        <f t="shared" si="2"/>
        <v>-1</v>
      </c>
    </row>
    <row r="23" spans="1:4" ht="15" thickBot="1">
      <c r="A23" s="772">
        <f t="shared" si="1"/>
        <v>46312</v>
      </c>
      <c r="B23" s="759">
        <v>378674.3</v>
      </c>
      <c r="C23" s="758">
        <f>'Seasonality Template'!K41</f>
        <v>0</v>
      </c>
      <c r="D23" s="787">
        <f t="shared" si="2"/>
        <v>-1</v>
      </c>
    </row>
    <row r="24" spans="1:4" ht="15" thickBot="1">
      <c r="A24" s="772">
        <f t="shared" si="1"/>
        <v>46313</v>
      </c>
      <c r="B24" s="759">
        <v>420168.9</v>
      </c>
      <c r="C24" s="758">
        <f>'Seasonality Template'!K42</f>
        <v>0</v>
      </c>
      <c r="D24" s="787">
        <f t="shared" si="2"/>
        <v>-1</v>
      </c>
    </row>
    <row r="25" spans="1:4" ht="15" thickBot="1">
      <c r="A25" s="772">
        <f t="shared" si="1"/>
        <v>46314</v>
      </c>
      <c r="B25" s="759">
        <v>420278.56</v>
      </c>
      <c r="C25" s="758">
        <f>'Seasonality Template'!K43</f>
        <v>0</v>
      </c>
      <c r="D25" s="787">
        <f t="shared" si="2"/>
        <v>-1</v>
      </c>
    </row>
    <row r="26" spans="1:4" ht="15" thickBot="1">
      <c r="A26" s="772">
        <f t="shared" si="1"/>
        <v>46315</v>
      </c>
      <c r="B26" s="759">
        <v>179352.45</v>
      </c>
      <c r="C26" s="758">
        <f>'Seasonality Template'!K44</f>
        <v>0</v>
      </c>
      <c r="D26" s="787">
        <f t="shared" si="2"/>
        <v>-1</v>
      </c>
    </row>
    <row r="27" spans="1:4" ht="15" thickBot="1">
      <c r="A27" s="772">
        <f t="shared" si="1"/>
        <v>46316</v>
      </c>
      <c r="B27" s="759">
        <v>171150.6</v>
      </c>
      <c r="C27" s="758">
        <f>'Seasonality Template'!K45</f>
        <v>0</v>
      </c>
      <c r="D27" s="787">
        <f t="shared" si="2"/>
        <v>-1</v>
      </c>
    </row>
    <row r="28" spans="1:4" ht="15" thickBot="1">
      <c r="A28" s="772">
        <f t="shared" si="1"/>
        <v>46317</v>
      </c>
      <c r="B28" s="759">
        <v>152381.75</v>
      </c>
      <c r="C28" s="758">
        <f>'Seasonality Template'!K46</f>
        <v>0</v>
      </c>
      <c r="D28" s="787">
        <f t="shared" si="2"/>
        <v>-1</v>
      </c>
    </row>
    <row r="29" spans="1:4" ht="15" thickBot="1">
      <c r="A29" s="772">
        <f t="shared" si="1"/>
        <v>46318</v>
      </c>
      <c r="B29" s="759">
        <v>242351.47999999998</v>
      </c>
      <c r="C29" s="758">
        <f>'Seasonality Template'!K47</f>
        <v>0</v>
      </c>
      <c r="D29" s="787">
        <f t="shared" si="2"/>
        <v>-1</v>
      </c>
    </row>
    <row r="30" spans="1:4" ht="15" thickBot="1">
      <c r="A30" s="772">
        <f t="shared" si="1"/>
        <v>46319</v>
      </c>
      <c r="B30" s="759">
        <v>156071.95000000001</v>
      </c>
      <c r="C30" s="758">
        <f>'Seasonality Template'!K48</f>
        <v>0</v>
      </c>
      <c r="D30" s="787">
        <f t="shared" si="2"/>
        <v>-1</v>
      </c>
    </row>
    <row r="31" spans="1:4" ht="15" thickBot="1">
      <c r="A31" s="772">
        <f t="shared" si="1"/>
        <v>46320</v>
      </c>
      <c r="B31" s="759">
        <v>341333.8</v>
      </c>
      <c r="C31" s="758">
        <f>'Seasonality Template'!K49</f>
        <v>0</v>
      </c>
      <c r="D31" s="787">
        <f t="shared" si="2"/>
        <v>-1</v>
      </c>
    </row>
    <row r="32" spans="1:4" ht="15" thickBot="1">
      <c r="A32" s="772">
        <f t="shared" si="1"/>
        <v>46321</v>
      </c>
      <c r="B32" s="759">
        <v>387732.12</v>
      </c>
      <c r="C32" s="758">
        <f>'Seasonality Template'!K50</f>
        <v>0</v>
      </c>
      <c r="D32" s="787">
        <f t="shared" si="2"/>
        <v>-1</v>
      </c>
    </row>
    <row r="33" spans="1:4" ht="15" thickBot="1">
      <c r="A33" s="772">
        <f t="shared" si="1"/>
        <v>46322</v>
      </c>
      <c r="B33" s="759">
        <v>154971.75</v>
      </c>
      <c r="C33" s="758">
        <f>'Seasonality Template'!K51</f>
        <v>0</v>
      </c>
      <c r="D33" s="787">
        <f t="shared" si="2"/>
        <v>-1</v>
      </c>
    </row>
    <row r="34" spans="1:4" ht="15" thickBot="1">
      <c r="A34" s="772">
        <f t="shared" si="1"/>
        <v>46323</v>
      </c>
      <c r="B34" s="759">
        <v>213757.6</v>
      </c>
      <c r="C34" s="758">
        <f>'Seasonality Template'!K52</f>
        <v>0</v>
      </c>
      <c r="D34" s="787">
        <f t="shared" si="2"/>
        <v>-1</v>
      </c>
    </row>
    <row r="35" spans="1:4" ht="15" thickBot="1">
      <c r="A35" s="772">
        <f t="shared" si="1"/>
        <v>46324</v>
      </c>
      <c r="B35" s="759">
        <v>231536.59999999998</v>
      </c>
      <c r="C35" s="758">
        <f>'Seasonality Template'!K53</f>
        <v>0</v>
      </c>
      <c r="D35" s="787">
        <f t="shared" si="2"/>
        <v>-1</v>
      </c>
    </row>
    <row r="36" spans="1:4" ht="15" thickBot="1">
      <c r="A36" s="772">
        <f t="shared" si="1"/>
        <v>46325</v>
      </c>
      <c r="B36" s="758">
        <v>205966.40000000002</v>
      </c>
      <c r="C36" s="758">
        <f>'Seasonality Template'!K54</f>
        <v>0</v>
      </c>
      <c r="D36" s="787">
        <f t="shared" si="2"/>
        <v>-1</v>
      </c>
    </row>
    <row r="37" spans="1:4" ht="15" thickBot="1">
      <c r="A37" s="772">
        <f t="shared" si="1"/>
        <v>46326</v>
      </c>
      <c r="B37" s="777">
        <v>316509.45</v>
      </c>
      <c r="C37" s="777">
        <f>'Seasonality Template'!K55</f>
        <v>0</v>
      </c>
      <c r="D37" s="788">
        <f t="shared" si="2"/>
        <v>-1</v>
      </c>
    </row>
    <row r="38" spans="1:4" s="33" customFormat="1" ht="16.2" thickBot="1">
      <c r="A38" s="789" t="s">
        <v>185</v>
      </c>
      <c r="B38" s="790">
        <f>SUM(B7:B37)</f>
        <v>8046155.0099999998</v>
      </c>
      <c r="C38" s="790">
        <f>SUM(C7:C37)</f>
        <v>2655900.6</v>
      </c>
      <c r="D38" s="791">
        <f t="shared" si="2"/>
        <v>-0.66991679917933877</v>
      </c>
    </row>
  </sheetData>
  <mergeCells count="1">
    <mergeCell ref="C3:C4"/>
  </mergeCells>
  <conditionalFormatting sqref="C3:C4">
    <cfRule type="cellIs" dxfId="7" priority="3" operator="lessThan">
      <formula>0</formula>
    </cfRule>
    <cfRule type="cellIs" dxfId="6" priority="4" operator="greaterThan">
      <formula>0</formula>
    </cfRule>
  </conditionalFormatting>
  <conditionalFormatting sqref="D38">
    <cfRule type="cellIs" dxfId="4" priority="2" operator="less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15DE5D1B-7872-4F6A-B7F0-3220245F86A2}">
            <xm:f>NOT(ISERROR(SEARCH("-",D7)))</xm:f>
            <xm:f>"-"</xm:f>
            <x14:dxf>
              <font>
                <color rgb="FF9C0006"/>
              </font>
              <fill>
                <patternFill>
                  <bgColor rgb="FFFFC7CE"/>
                </patternFill>
              </fill>
            </x14:dxf>
          </x14:cfRule>
          <xm:sqref>D7:D37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3"/>
  <sheetViews>
    <sheetView workbookViewId="0">
      <selection activeCell="B19" sqref="B19"/>
    </sheetView>
  </sheetViews>
  <sheetFormatPr defaultRowHeight="14.4"/>
  <cols>
    <col min="1" max="1" width="24.44140625" bestFit="1" customWidth="1"/>
    <col min="2" max="2" width="19" customWidth="1"/>
    <col min="3" max="3" width="16.109375" customWidth="1"/>
  </cols>
  <sheetData>
    <row r="1" spans="1:3">
      <c r="B1" s="972" t="s">
        <v>265</v>
      </c>
      <c r="C1" s="972"/>
    </row>
    <row r="2" spans="1:3" ht="15.6">
      <c r="A2" s="861" t="s">
        <v>49</v>
      </c>
      <c r="B2" s="861" t="s">
        <v>263</v>
      </c>
      <c r="C2" s="861" t="s">
        <v>264</v>
      </c>
    </row>
    <row r="3" spans="1:3">
      <c r="A3" s="862">
        <v>46266</v>
      </c>
      <c r="B3" s="757"/>
      <c r="C3" s="757"/>
    </row>
    <row r="4" spans="1:3">
      <c r="A4" s="862">
        <f>A3+1</f>
        <v>46267</v>
      </c>
      <c r="B4" s="757"/>
      <c r="C4" s="757"/>
    </row>
    <row r="5" spans="1:3">
      <c r="A5" s="862">
        <f t="shared" ref="A5:A33" si="0">A4+1</f>
        <v>46268</v>
      </c>
      <c r="B5" s="757"/>
      <c r="C5" s="757"/>
    </row>
    <row r="6" spans="1:3">
      <c r="A6" s="862">
        <f t="shared" si="0"/>
        <v>46269</v>
      </c>
      <c r="B6" s="757"/>
      <c r="C6" s="757"/>
    </row>
    <row r="7" spans="1:3">
      <c r="A7" s="862">
        <f t="shared" si="0"/>
        <v>46270</v>
      </c>
      <c r="B7" s="757"/>
      <c r="C7" s="757"/>
    </row>
    <row r="8" spans="1:3">
      <c r="A8" s="862">
        <f t="shared" si="0"/>
        <v>46271</v>
      </c>
      <c r="B8" s="757"/>
      <c r="C8" s="757"/>
    </row>
    <row r="9" spans="1:3">
      <c r="A9" s="862">
        <f t="shared" si="0"/>
        <v>46272</v>
      </c>
      <c r="B9" s="757"/>
      <c r="C9" s="757"/>
    </row>
    <row r="10" spans="1:3">
      <c r="A10" s="862">
        <f t="shared" si="0"/>
        <v>46273</v>
      </c>
      <c r="B10" s="757"/>
      <c r="C10" s="757"/>
    </row>
    <row r="11" spans="1:3">
      <c r="A11" s="862">
        <f t="shared" si="0"/>
        <v>46274</v>
      </c>
      <c r="B11" s="757"/>
      <c r="C11" s="757"/>
    </row>
    <row r="12" spans="1:3">
      <c r="A12" s="862">
        <f t="shared" si="0"/>
        <v>46275</v>
      </c>
      <c r="B12" s="757"/>
      <c r="C12" s="757"/>
    </row>
    <row r="13" spans="1:3">
      <c r="A13" s="862">
        <f t="shared" si="0"/>
        <v>46276</v>
      </c>
      <c r="B13" s="757"/>
      <c r="C13" s="757"/>
    </row>
    <row r="14" spans="1:3">
      <c r="A14" s="862">
        <f t="shared" si="0"/>
        <v>46277</v>
      </c>
      <c r="B14" s="757"/>
      <c r="C14" s="757"/>
    </row>
    <row r="15" spans="1:3">
      <c r="A15" s="862">
        <f t="shared" si="0"/>
        <v>46278</v>
      </c>
      <c r="B15" s="757"/>
      <c r="C15" s="757"/>
    </row>
    <row r="16" spans="1:3">
      <c r="A16" s="862">
        <f t="shared" si="0"/>
        <v>46279</v>
      </c>
      <c r="B16" s="757"/>
      <c r="C16" s="757"/>
    </row>
    <row r="17" spans="1:3">
      <c r="A17" s="862">
        <f t="shared" si="0"/>
        <v>46280</v>
      </c>
      <c r="B17" s="757"/>
      <c r="C17" s="757"/>
    </row>
    <row r="18" spans="1:3">
      <c r="A18" s="862">
        <f t="shared" si="0"/>
        <v>46281</v>
      </c>
      <c r="B18" s="757"/>
      <c r="C18" s="757"/>
    </row>
    <row r="19" spans="1:3">
      <c r="A19" s="862">
        <f t="shared" si="0"/>
        <v>46282</v>
      </c>
      <c r="B19" s="757"/>
      <c r="C19" s="757"/>
    </row>
    <row r="20" spans="1:3">
      <c r="A20" s="862">
        <f t="shared" si="0"/>
        <v>46283</v>
      </c>
      <c r="B20" s="757"/>
      <c r="C20" s="757"/>
    </row>
    <row r="21" spans="1:3">
      <c r="A21" s="862">
        <f t="shared" si="0"/>
        <v>46284</v>
      </c>
      <c r="B21" s="757"/>
      <c r="C21" s="757"/>
    </row>
    <row r="22" spans="1:3">
      <c r="A22" s="862">
        <f t="shared" si="0"/>
        <v>46285</v>
      </c>
      <c r="B22" s="757"/>
      <c r="C22" s="757"/>
    </row>
    <row r="23" spans="1:3">
      <c r="A23" s="862">
        <f t="shared" si="0"/>
        <v>46286</v>
      </c>
      <c r="B23" s="757"/>
      <c r="C23" s="757"/>
    </row>
    <row r="24" spans="1:3">
      <c r="A24" s="862">
        <f t="shared" si="0"/>
        <v>46287</v>
      </c>
      <c r="B24" s="757"/>
      <c r="C24" s="757"/>
    </row>
    <row r="25" spans="1:3">
      <c r="A25" s="862">
        <f t="shared" si="0"/>
        <v>46288</v>
      </c>
      <c r="B25" s="757"/>
      <c r="C25" s="757"/>
    </row>
    <row r="26" spans="1:3">
      <c r="A26" s="862">
        <f t="shared" si="0"/>
        <v>46289</v>
      </c>
      <c r="B26" s="757"/>
      <c r="C26" s="757"/>
    </row>
    <row r="27" spans="1:3">
      <c r="A27" s="862">
        <f t="shared" si="0"/>
        <v>46290</v>
      </c>
      <c r="B27" s="757"/>
      <c r="C27" s="757"/>
    </row>
    <row r="28" spans="1:3">
      <c r="A28" s="862">
        <f t="shared" si="0"/>
        <v>46291</v>
      </c>
      <c r="B28" s="757"/>
      <c r="C28" s="757"/>
    </row>
    <row r="29" spans="1:3">
      <c r="A29" s="862">
        <f t="shared" si="0"/>
        <v>46292</v>
      </c>
      <c r="B29" s="757"/>
      <c r="C29" s="757"/>
    </row>
    <row r="30" spans="1:3">
      <c r="A30" s="862">
        <f t="shared" si="0"/>
        <v>46293</v>
      </c>
      <c r="B30" s="757"/>
      <c r="C30" s="757"/>
    </row>
    <row r="31" spans="1:3">
      <c r="A31" s="862">
        <f t="shared" si="0"/>
        <v>46294</v>
      </c>
      <c r="B31" s="757"/>
      <c r="C31" s="757"/>
    </row>
    <row r="32" spans="1:3">
      <c r="A32" s="862">
        <f t="shared" si="0"/>
        <v>46295</v>
      </c>
      <c r="B32" s="757"/>
      <c r="C32" s="757"/>
    </row>
    <row r="33" spans="1:3">
      <c r="A33" s="862">
        <f t="shared" si="0"/>
        <v>46296</v>
      </c>
      <c r="B33" s="757"/>
      <c r="C33" s="757"/>
    </row>
  </sheetData>
  <mergeCells count="1">
    <mergeCell ref="B1:C1"/>
  </mergeCells>
  <pageMargins left="0.7" right="0.7" top="0.75" bottom="0.75" header="0.3" footer="0.3"/>
  <pageSetup orientation="portrait" horizontalDpi="360" verticalDpi="36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FF"/>
  </sheetPr>
  <dimension ref="A1:IS67"/>
  <sheetViews>
    <sheetView zoomScale="80" zoomScaleNormal="80" workbookViewId="0">
      <selection activeCell="H25" sqref="H25"/>
    </sheetView>
  </sheetViews>
  <sheetFormatPr defaultColWidth="9.109375" defaultRowHeight="13.2"/>
  <cols>
    <col min="1" max="1" width="4.88671875" style="154" customWidth="1"/>
    <col min="2" max="2" width="15.109375" style="154" hidden="1" customWidth="1"/>
    <col min="3" max="3" width="16.5546875" style="154" hidden="1" customWidth="1"/>
    <col min="4" max="5" width="11.44140625" style="154" customWidth="1"/>
    <col min="6" max="6" width="8.44140625" style="154" customWidth="1"/>
    <col min="7" max="7" width="22" style="154" customWidth="1"/>
    <col min="8" max="8" width="21.44140625" style="154" customWidth="1"/>
    <col min="9" max="9" width="21.109375" style="154" customWidth="1"/>
    <col min="10" max="10" width="25.5546875" style="154" customWidth="1"/>
    <col min="11" max="11" width="20.5546875" style="154" customWidth="1"/>
    <col min="12" max="12" width="21.6640625" style="154" customWidth="1"/>
    <col min="13" max="13" width="21.109375" style="154" customWidth="1"/>
    <col min="14" max="14" width="21" style="154" customWidth="1"/>
    <col min="15" max="15" width="13.33203125" style="154" customWidth="1"/>
    <col min="16" max="16" width="16.33203125" style="154" customWidth="1"/>
    <col min="17" max="17" width="15.6640625" style="154" customWidth="1"/>
    <col min="18" max="18" width="12.5546875" style="154" customWidth="1"/>
    <col min="19" max="19" width="1.44140625" style="154" customWidth="1"/>
    <col min="20" max="20" width="22.33203125" style="154" customWidth="1"/>
    <col min="21" max="21" width="20.88671875" style="154" customWidth="1"/>
    <col min="22" max="22" width="11.5546875" style="154" customWidth="1"/>
    <col min="23" max="23" width="18" style="154" customWidth="1"/>
    <col min="24" max="24" width="20.33203125" style="154" customWidth="1"/>
    <col min="25" max="25" width="18.88671875" style="154" customWidth="1"/>
    <col min="26" max="26" width="10.5546875" style="154" customWidth="1"/>
    <col min="27" max="27" width="17.6640625" style="154" customWidth="1"/>
    <col min="28" max="28" width="19.5546875" style="154" customWidth="1"/>
    <col min="29" max="29" width="18.5546875" style="154" customWidth="1"/>
    <col min="30" max="30" width="3.109375" style="154" customWidth="1"/>
    <col min="31" max="32" width="20.6640625" style="154" customWidth="1"/>
    <col min="33" max="33" width="18.6640625" style="154" customWidth="1"/>
    <col min="34" max="34" width="1.33203125" style="154" customWidth="1"/>
    <col min="35" max="35" width="16.33203125" style="154" customWidth="1"/>
    <col min="36" max="36" width="15.88671875" style="154" customWidth="1"/>
    <col min="37" max="37" width="10.5546875" style="154" customWidth="1"/>
    <col min="38" max="38" width="14.44140625" style="154" customWidth="1"/>
    <col min="39" max="39" width="15.109375" style="154" customWidth="1"/>
    <col min="40" max="40" width="10.5546875" style="154" customWidth="1"/>
    <col min="41" max="41" width="17.5546875" style="154" customWidth="1"/>
    <col min="42" max="42" width="17" style="154" customWidth="1"/>
    <col min="43" max="43" width="10.5546875" style="154" customWidth="1"/>
    <col min="44" max="44" width="0.6640625" style="154" customWidth="1"/>
    <col min="45" max="47" width="12.6640625" style="154" customWidth="1"/>
    <col min="48" max="48" width="13.88671875" style="154" customWidth="1"/>
    <col min="49" max="49" width="14" style="154" customWidth="1"/>
    <col min="50" max="50" width="12.6640625" style="154" customWidth="1"/>
    <col min="51" max="52" width="14.33203125" style="154" customWidth="1"/>
    <col min="53" max="53" width="12.6640625" style="154" customWidth="1"/>
    <col min="54" max="54" width="1.6640625" style="154" customWidth="1"/>
    <col min="55" max="57" width="12.6640625" style="154" customWidth="1"/>
    <col min="58" max="58" width="1.88671875" style="154" customWidth="1"/>
    <col min="59" max="64" width="12.6640625" style="155" customWidth="1"/>
    <col min="65" max="66" width="14" style="155" customWidth="1"/>
    <col min="67" max="67" width="12.6640625" style="155" customWidth="1"/>
    <col min="68" max="68" width="2.109375" style="155" customWidth="1"/>
    <col min="69" max="70" width="9.109375" style="154"/>
    <col min="71" max="71" width="10.5546875" style="154" customWidth="1"/>
    <col min="72" max="16384" width="9.109375" style="154"/>
  </cols>
  <sheetData>
    <row r="1" spans="1:253" ht="15" customHeight="1">
      <c r="D1" s="156" t="s">
        <v>88</v>
      </c>
      <c r="G1" s="157"/>
      <c r="H1" s="157"/>
      <c r="I1" s="157"/>
      <c r="J1" s="157"/>
      <c r="L1" s="160"/>
      <c r="M1" s="160"/>
      <c r="N1" s="160"/>
      <c r="O1" s="160"/>
      <c r="T1" s="160"/>
      <c r="U1" s="160"/>
      <c r="V1" s="160"/>
    </row>
    <row r="2" spans="1:253" ht="15" hidden="1" customHeight="1">
      <c r="D2" s="156"/>
      <c r="G2" s="157"/>
      <c r="H2" s="157"/>
      <c r="I2" s="157"/>
      <c r="J2" s="157"/>
      <c r="L2" s="160"/>
      <c r="M2" s="160"/>
      <c r="N2" s="183" t="s">
        <v>89</v>
      </c>
      <c r="O2" s="160"/>
      <c r="T2" s="160"/>
      <c r="U2" s="160"/>
      <c r="V2" s="160"/>
    </row>
    <row r="3" spans="1:253" ht="15" hidden="1" customHeight="1">
      <c r="D3" s="156"/>
      <c r="G3" s="157"/>
      <c r="H3" s="157"/>
      <c r="I3" s="157"/>
      <c r="J3" s="157"/>
      <c r="L3" s="160"/>
      <c r="M3" s="160"/>
      <c r="N3" s="184" t="s">
        <v>90</v>
      </c>
      <c r="O3" s="160"/>
      <c r="T3" s="160"/>
      <c r="U3" s="160"/>
      <c r="V3" s="160"/>
    </row>
    <row r="4" spans="1:253" ht="25.5" hidden="1" customHeight="1">
      <c r="D4" s="156"/>
      <c r="G4" s="157"/>
      <c r="H4" s="157"/>
      <c r="I4" s="157"/>
      <c r="J4" s="157"/>
      <c r="L4" s="160"/>
      <c r="M4" s="160"/>
      <c r="N4" s="184" t="s">
        <v>91</v>
      </c>
      <c r="O4" s="160"/>
      <c r="T4" s="160"/>
      <c r="U4" s="160"/>
      <c r="V4" s="160"/>
    </row>
    <row r="5" spans="1:253" ht="25.5" hidden="1" customHeight="1">
      <c r="D5" s="156"/>
      <c r="G5" s="157"/>
      <c r="H5" s="157"/>
      <c r="I5" s="157"/>
      <c r="J5" s="157"/>
      <c r="L5" s="160"/>
      <c r="M5" s="160"/>
      <c r="N5" s="184" t="s">
        <v>92</v>
      </c>
      <c r="O5" s="160"/>
      <c r="T5" s="160"/>
      <c r="U5" s="160"/>
      <c r="V5" s="160"/>
    </row>
    <row r="6" spans="1:253" ht="25.5" hidden="1" customHeight="1">
      <c r="D6" s="156"/>
      <c r="G6" s="157"/>
      <c r="H6" s="157"/>
      <c r="I6" s="157"/>
      <c r="J6" s="157"/>
      <c r="L6" s="160"/>
      <c r="M6" s="160"/>
      <c r="N6" s="184" t="s">
        <v>93</v>
      </c>
      <c r="O6" s="160"/>
      <c r="T6" s="160"/>
      <c r="U6" s="160"/>
      <c r="V6" s="160"/>
    </row>
    <row r="7" spans="1:253" ht="25.5" hidden="1" customHeight="1">
      <c r="D7" s="156"/>
      <c r="G7" s="157"/>
      <c r="H7" s="157"/>
      <c r="I7" s="157"/>
      <c r="J7" s="157"/>
      <c r="L7" s="160"/>
      <c r="M7" s="160"/>
      <c r="N7" s="160"/>
      <c r="O7" s="160"/>
      <c r="T7" s="160"/>
      <c r="U7" s="160"/>
      <c r="V7" s="160"/>
    </row>
    <row r="8" spans="1:253" ht="25.5" hidden="1" customHeight="1">
      <c r="D8" s="156"/>
      <c r="G8" s="157"/>
      <c r="H8" s="157"/>
      <c r="I8" s="157"/>
      <c r="J8" s="157"/>
      <c r="L8" s="160"/>
      <c r="M8" s="160"/>
      <c r="N8" s="160"/>
      <c r="O8" s="160"/>
      <c r="T8" s="160"/>
      <c r="U8" s="160"/>
      <c r="V8" s="160"/>
    </row>
    <row r="9" spans="1:253" ht="25.5" hidden="1" customHeight="1">
      <c r="D9" s="156"/>
      <c r="G9" s="157"/>
      <c r="H9" s="157"/>
      <c r="I9" s="157"/>
      <c r="J9" s="157"/>
      <c r="L9" s="160"/>
      <c r="M9" s="160"/>
      <c r="N9" s="160"/>
      <c r="O9" s="160"/>
      <c r="T9" s="160"/>
      <c r="U9" s="160"/>
      <c r="V9" s="160"/>
    </row>
    <row r="10" spans="1:253" ht="15" hidden="1" customHeight="1">
      <c r="D10" s="156"/>
      <c r="G10" s="157"/>
      <c r="H10" s="157"/>
      <c r="I10" s="157"/>
      <c r="J10" s="157"/>
      <c r="L10" s="160"/>
      <c r="M10" s="160"/>
      <c r="N10" s="160"/>
      <c r="O10" s="160"/>
      <c r="T10" s="160"/>
      <c r="U10" s="160"/>
      <c r="V10" s="160"/>
    </row>
    <row r="11" spans="1:253" ht="21.75" customHeight="1">
      <c r="D11" s="156"/>
      <c r="G11" s="157"/>
      <c r="H11" s="157"/>
      <c r="I11" s="157"/>
      <c r="J11" s="157"/>
      <c r="L11" s="160"/>
      <c r="M11" s="160"/>
      <c r="N11" s="160"/>
      <c r="O11" s="160"/>
      <c r="T11" s="160"/>
      <c r="U11" s="160"/>
      <c r="V11" s="160"/>
    </row>
    <row r="12" spans="1:253" s="145" customFormat="1" ht="24" customHeight="1" thickBot="1">
      <c r="A12" s="145" t="s">
        <v>38</v>
      </c>
      <c r="D12" s="158" t="s">
        <v>94</v>
      </c>
      <c r="E12" s="918"/>
      <c r="F12" s="918"/>
      <c r="G12" s="918"/>
      <c r="H12" s="159"/>
      <c r="I12" s="159"/>
      <c r="J12" s="159"/>
      <c r="L12" s="185"/>
      <c r="M12" s="185"/>
      <c r="N12" s="185"/>
      <c r="O12" s="185"/>
      <c r="T12" s="185"/>
      <c r="U12" s="185"/>
      <c r="V12" s="185"/>
    </row>
    <row r="13" spans="1:253" s="146" customFormat="1" ht="17.399999999999999" thickBot="1">
      <c r="A13" s="145"/>
      <c r="B13" s="145"/>
      <c r="C13" s="145"/>
      <c r="D13" s="158" t="s">
        <v>95</v>
      </c>
      <c r="E13" s="919" t="s">
        <v>242</v>
      </c>
      <c r="F13" s="918"/>
      <c r="G13" s="918"/>
      <c r="H13" s="159"/>
      <c r="I13" s="159"/>
      <c r="J13" s="159"/>
      <c r="K13" s="145"/>
      <c r="L13" s="185"/>
      <c r="M13" s="185"/>
      <c r="N13" s="185"/>
      <c r="S13" s="145"/>
      <c r="T13" s="185"/>
      <c r="U13" s="185"/>
      <c r="V13" s="18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5"/>
      <c r="BD13" s="145"/>
      <c r="BE13" s="145"/>
      <c r="BF13" s="145"/>
      <c r="BG13" s="145"/>
      <c r="BH13" s="145"/>
      <c r="BI13" s="145"/>
      <c r="BJ13" s="145"/>
      <c r="BK13" s="145"/>
      <c r="BL13" s="145"/>
      <c r="BM13" s="145"/>
      <c r="BN13" s="145"/>
      <c r="BO13" s="145"/>
      <c r="BP13" s="145"/>
      <c r="BQ13" s="145"/>
      <c r="BR13" s="145"/>
      <c r="BS13" s="145"/>
      <c r="BT13" s="145"/>
      <c r="BU13" s="145"/>
      <c r="BV13" s="145"/>
      <c r="BW13" s="145"/>
      <c r="BX13" s="145"/>
      <c r="BY13" s="145"/>
      <c r="BZ13" s="145"/>
      <c r="CA13" s="145"/>
      <c r="CB13" s="145"/>
      <c r="CC13" s="145"/>
      <c r="CD13" s="145"/>
      <c r="CE13" s="145"/>
      <c r="CF13" s="145"/>
      <c r="CG13" s="145"/>
      <c r="CH13" s="145"/>
      <c r="CI13" s="145"/>
      <c r="CJ13" s="145"/>
      <c r="CK13" s="145"/>
      <c r="CL13" s="145"/>
      <c r="CM13" s="145"/>
      <c r="CN13" s="145"/>
      <c r="CO13" s="145"/>
      <c r="CP13" s="145"/>
      <c r="CQ13" s="145"/>
      <c r="CR13" s="145"/>
      <c r="CS13" s="145"/>
      <c r="CT13" s="145"/>
      <c r="CU13" s="145"/>
      <c r="CV13" s="145"/>
      <c r="CW13" s="145"/>
      <c r="CX13" s="145"/>
      <c r="CY13" s="145"/>
      <c r="CZ13" s="145"/>
      <c r="DA13" s="145"/>
      <c r="DB13" s="145"/>
      <c r="DC13" s="145"/>
      <c r="DD13" s="145"/>
      <c r="DE13" s="145"/>
      <c r="DF13" s="145"/>
      <c r="DG13" s="145"/>
      <c r="DH13" s="145"/>
      <c r="DI13" s="145"/>
      <c r="DJ13" s="145"/>
      <c r="DK13" s="145"/>
      <c r="DL13" s="145"/>
      <c r="DM13" s="145"/>
      <c r="DN13" s="145"/>
      <c r="DO13" s="145"/>
      <c r="DP13" s="145"/>
      <c r="DQ13" s="145"/>
      <c r="DR13" s="145"/>
      <c r="DS13" s="145"/>
      <c r="DT13" s="145"/>
      <c r="DU13" s="145"/>
      <c r="DV13" s="145"/>
      <c r="DW13" s="145"/>
      <c r="DX13" s="145"/>
      <c r="DY13" s="145"/>
      <c r="DZ13" s="145"/>
      <c r="EA13" s="145"/>
      <c r="EB13" s="145"/>
      <c r="EC13" s="145"/>
      <c r="ED13" s="145"/>
      <c r="EE13" s="145"/>
      <c r="EF13" s="145"/>
      <c r="EG13" s="145"/>
      <c r="EH13" s="145"/>
      <c r="EI13" s="145"/>
      <c r="EJ13" s="145"/>
      <c r="EK13" s="145"/>
      <c r="EL13" s="145"/>
      <c r="EM13" s="145"/>
      <c r="EN13" s="145"/>
      <c r="EO13" s="145"/>
      <c r="EP13" s="145"/>
      <c r="EQ13" s="145"/>
      <c r="ER13" s="145"/>
      <c r="ES13" s="145"/>
      <c r="ET13" s="145"/>
      <c r="EU13" s="145"/>
      <c r="EV13" s="145"/>
      <c r="EW13" s="145"/>
      <c r="EX13" s="145"/>
      <c r="EY13" s="145"/>
      <c r="EZ13" s="145"/>
      <c r="FA13" s="145"/>
      <c r="FB13" s="145"/>
      <c r="FC13" s="145"/>
      <c r="FD13" s="145"/>
      <c r="FE13" s="145"/>
      <c r="FF13" s="145"/>
      <c r="FG13" s="145"/>
      <c r="FH13" s="145"/>
      <c r="FI13" s="145"/>
      <c r="FJ13" s="145"/>
      <c r="FK13" s="145"/>
      <c r="FL13" s="145"/>
      <c r="FM13" s="145"/>
      <c r="FN13" s="145"/>
      <c r="FO13" s="145"/>
      <c r="FP13" s="145"/>
      <c r="FQ13" s="145"/>
      <c r="FR13" s="145"/>
      <c r="FS13" s="145"/>
      <c r="FT13" s="145"/>
      <c r="FU13" s="145"/>
      <c r="FV13" s="145"/>
      <c r="FW13" s="145"/>
      <c r="FX13" s="145"/>
      <c r="FY13" s="145"/>
      <c r="FZ13" s="145"/>
      <c r="GA13" s="145"/>
      <c r="GB13" s="145"/>
      <c r="GC13" s="145"/>
      <c r="GD13" s="145"/>
      <c r="GE13" s="145"/>
      <c r="GF13" s="145"/>
      <c r="GG13" s="145"/>
      <c r="GH13" s="145"/>
      <c r="GI13" s="145"/>
      <c r="GJ13" s="145"/>
      <c r="GK13" s="145"/>
      <c r="GL13" s="145"/>
      <c r="GM13" s="145"/>
      <c r="GN13" s="145"/>
      <c r="GO13" s="145"/>
      <c r="GP13" s="145"/>
      <c r="GQ13" s="145"/>
      <c r="GR13" s="145"/>
      <c r="GS13" s="145"/>
      <c r="GT13" s="145"/>
      <c r="GU13" s="145"/>
      <c r="GV13" s="145"/>
      <c r="GW13" s="145"/>
      <c r="GX13" s="145"/>
      <c r="GY13" s="145"/>
      <c r="GZ13" s="145"/>
      <c r="HA13" s="145"/>
      <c r="HB13" s="145"/>
      <c r="HC13" s="145"/>
      <c r="HD13" s="145"/>
      <c r="HE13" s="145"/>
      <c r="HF13" s="145"/>
      <c r="HG13" s="145"/>
      <c r="HH13" s="145"/>
      <c r="HI13" s="145"/>
      <c r="HJ13" s="145"/>
      <c r="HK13" s="145"/>
      <c r="HL13" s="145"/>
      <c r="HM13" s="145"/>
      <c r="HN13" s="145"/>
      <c r="HO13" s="145"/>
      <c r="HP13" s="145"/>
      <c r="HQ13" s="145"/>
      <c r="HR13" s="145"/>
      <c r="HS13" s="145"/>
      <c r="HT13" s="145"/>
      <c r="HU13" s="145"/>
      <c r="HV13" s="145"/>
      <c r="HW13" s="145"/>
      <c r="HX13" s="145"/>
      <c r="HY13" s="145"/>
      <c r="HZ13" s="145"/>
      <c r="IA13" s="145"/>
      <c r="IB13" s="145"/>
      <c r="IC13" s="145"/>
      <c r="ID13" s="145"/>
      <c r="IE13" s="145"/>
      <c r="IF13" s="145"/>
      <c r="IG13" s="145"/>
      <c r="IH13" s="145"/>
      <c r="II13" s="145"/>
      <c r="IJ13" s="145"/>
      <c r="IK13" s="145"/>
      <c r="IL13" s="145"/>
      <c r="IM13" s="145"/>
      <c r="IN13" s="145"/>
      <c r="IO13" s="145"/>
      <c r="IP13" s="145"/>
      <c r="IQ13" s="145"/>
      <c r="IR13" s="145"/>
      <c r="IS13" s="145"/>
    </row>
    <row r="14" spans="1:253" s="147" customFormat="1" ht="23.4" thickBot="1">
      <c r="A14" s="154"/>
      <c r="B14" s="154"/>
      <c r="C14" s="154"/>
      <c r="D14" s="154"/>
      <c r="E14" s="154"/>
      <c r="F14" s="154"/>
      <c r="G14" s="154"/>
      <c r="H14" s="160"/>
      <c r="I14" s="160"/>
      <c r="J14" s="160"/>
      <c r="K14" s="154"/>
      <c r="L14" s="160"/>
      <c r="M14" s="154"/>
      <c r="N14" s="154" t="s">
        <v>38</v>
      </c>
      <c r="O14" s="186" t="s">
        <v>96</v>
      </c>
      <c r="P14" s="187" t="s">
        <v>97</v>
      </c>
      <c r="Q14" s="187" t="s">
        <v>241</v>
      </c>
      <c r="R14" s="230" t="s">
        <v>98</v>
      </c>
      <c r="S14" s="231"/>
      <c r="T14" s="232" t="s">
        <v>96</v>
      </c>
      <c r="U14" s="233" t="s">
        <v>97</v>
      </c>
      <c r="V14" s="233" t="s">
        <v>99</v>
      </c>
      <c r="W14" s="234" t="s">
        <v>98</v>
      </c>
      <c r="AA14" s="154"/>
      <c r="AB14" s="154"/>
      <c r="AC14" s="154"/>
      <c r="AD14" s="154"/>
      <c r="AE14" s="154"/>
      <c r="AF14" s="154"/>
      <c r="AG14" s="154"/>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154"/>
      <c r="BF14" s="154"/>
      <c r="BG14" s="155"/>
      <c r="BH14" s="155"/>
      <c r="BI14" s="155"/>
      <c r="BJ14" s="155"/>
      <c r="BK14" s="155"/>
      <c r="BL14" s="155"/>
      <c r="BM14" s="155"/>
      <c r="BN14" s="155"/>
      <c r="BO14" s="155"/>
      <c r="BP14" s="155"/>
      <c r="BQ14" s="154"/>
      <c r="BR14" s="154"/>
      <c r="BS14" s="154"/>
      <c r="BT14" s="154"/>
      <c r="BU14" s="154"/>
      <c r="BV14" s="154"/>
      <c r="BW14" s="154"/>
      <c r="BX14" s="154"/>
      <c r="BY14" s="154"/>
      <c r="BZ14" s="154"/>
      <c r="CA14" s="154"/>
      <c r="CB14" s="154"/>
      <c r="CC14" s="154"/>
      <c r="CD14" s="154"/>
      <c r="CE14" s="154"/>
      <c r="CF14" s="154"/>
      <c r="CG14" s="154"/>
      <c r="CH14" s="154"/>
      <c r="CI14" s="154"/>
      <c r="CJ14" s="154"/>
      <c r="CK14" s="154"/>
      <c r="CL14" s="154"/>
      <c r="CM14" s="154"/>
      <c r="CN14" s="154"/>
      <c r="CO14" s="154"/>
      <c r="CP14" s="154"/>
      <c r="CQ14" s="154"/>
      <c r="CR14" s="154"/>
      <c r="CS14" s="154"/>
      <c r="CT14" s="154"/>
      <c r="CU14" s="154"/>
      <c r="CV14" s="154"/>
      <c r="CW14" s="154"/>
      <c r="CX14" s="154"/>
      <c r="CY14" s="154"/>
      <c r="CZ14" s="154"/>
      <c r="DA14" s="154"/>
      <c r="DB14" s="154"/>
      <c r="DC14" s="154"/>
      <c r="DD14" s="154"/>
      <c r="DE14" s="154"/>
      <c r="DF14" s="154"/>
      <c r="DG14" s="154"/>
      <c r="DH14" s="154"/>
      <c r="DI14" s="154"/>
      <c r="DJ14" s="154"/>
      <c r="DK14" s="154"/>
      <c r="DL14" s="154"/>
      <c r="DM14" s="154"/>
      <c r="DN14" s="154"/>
      <c r="DO14" s="154"/>
      <c r="DP14" s="154"/>
      <c r="DQ14" s="154"/>
      <c r="DR14" s="154"/>
      <c r="DS14" s="154"/>
      <c r="DT14" s="154"/>
      <c r="DU14" s="154"/>
      <c r="DV14" s="154"/>
      <c r="DW14" s="154"/>
      <c r="DX14" s="154"/>
      <c r="DY14" s="154"/>
      <c r="DZ14" s="154"/>
      <c r="EA14" s="154"/>
      <c r="EB14" s="154"/>
      <c r="EC14" s="154"/>
      <c r="ED14" s="154"/>
      <c r="EE14" s="154"/>
      <c r="EF14" s="154"/>
      <c r="EG14" s="154"/>
      <c r="EH14" s="154"/>
      <c r="EI14" s="154"/>
      <c r="EJ14" s="154"/>
      <c r="EK14" s="154"/>
      <c r="EL14" s="154"/>
      <c r="EM14" s="154"/>
      <c r="EN14" s="154"/>
      <c r="EO14" s="154"/>
      <c r="EP14" s="154"/>
      <c r="EQ14" s="154"/>
      <c r="ER14" s="154"/>
      <c r="ES14" s="154"/>
      <c r="ET14" s="154"/>
      <c r="EU14" s="154"/>
      <c r="EV14" s="154"/>
      <c r="EW14" s="154"/>
      <c r="EX14" s="154"/>
      <c r="EY14" s="154"/>
      <c r="EZ14" s="154"/>
      <c r="FA14" s="154"/>
      <c r="FB14" s="154"/>
      <c r="FC14" s="154"/>
      <c r="FD14" s="154"/>
      <c r="FE14" s="154"/>
      <c r="FF14" s="154"/>
      <c r="FG14" s="154"/>
      <c r="FH14" s="154"/>
      <c r="FI14" s="154"/>
      <c r="FJ14" s="154"/>
      <c r="FK14" s="154"/>
      <c r="FL14" s="154"/>
      <c r="FM14" s="154"/>
      <c r="FN14" s="154"/>
      <c r="FO14" s="154"/>
      <c r="FP14" s="154"/>
      <c r="FQ14" s="154"/>
      <c r="FR14" s="154"/>
      <c r="FS14" s="154"/>
      <c r="FT14" s="154"/>
      <c r="FU14" s="154"/>
      <c r="FV14" s="154"/>
      <c r="FW14" s="154"/>
      <c r="FX14" s="154"/>
      <c r="FY14" s="154"/>
      <c r="FZ14" s="154"/>
      <c r="GA14" s="154"/>
      <c r="GB14" s="154"/>
      <c r="GC14" s="154"/>
      <c r="GD14" s="154"/>
      <c r="GE14" s="154"/>
      <c r="GF14" s="154"/>
      <c r="GG14" s="154"/>
      <c r="GH14" s="154"/>
      <c r="GI14" s="154"/>
      <c r="GJ14" s="154"/>
      <c r="GK14" s="154"/>
      <c r="GL14" s="154"/>
      <c r="GM14" s="154"/>
      <c r="GN14" s="154"/>
      <c r="GO14" s="154"/>
      <c r="GP14" s="154"/>
      <c r="GQ14" s="154"/>
      <c r="GR14" s="154"/>
      <c r="GS14" s="154"/>
      <c r="GT14" s="154"/>
      <c r="GU14" s="154"/>
      <c r="GV14" s="154"/>
      <c r="GW14" s="154"/>
      <c r="GX14" s="154"/>
      <c r="GY14" s="154"/>
      <c r="GZ14" s="154"/>
      <c r="HA14" s="154"/>
      <c r="HB14" s="154"/>
      <c r="HC14" s="154"/>
      <c r="HD14" s="154"/>
      <c r="HE14" s="154"/>
      <c r="HF14" s="154"/>
      <c r="HG14" s="154"/>
      <c r="HH14" s="154"/>
      <c r="HI14" s="154"/>
      <c r="HJ14" s="154"/>
      <c r="HK14" s="154"/>
      <c r="HL14" s="154"/>
      <c r="HM14" s="154"/>
      <c r="HN14" s="154"/>
      <c r="HO14" s="154"/>
      <c r="HP14" s="154"/>
      <c r="HQ14" s="154"/>
      <c r="HR14" s="154"/>
      <c r="HS14" s="154"/>
      <c r="HT14" s="154"/>
      <c r="HU14" s="154"/>
      <c r="HV14" s="154"/>
      <c r="HW14" s="154"/>
      <c r="HX14" s="154"/>
      <c r="HY14" s="154"/>
      <c r="HZ14" s="154"/>
      <c r="IA14" s="154"/>
      <c r="IB14" s="154"/>
      <c r="IC14" s="154"/>
      <c r="ID14" s="154"/>
      <c r="IE14" s="154"/>
      <c r="IF14" s="154"/>
      <c r="IG14" s="154"/>
      <c r="IH14" s="154"/>
      <c r="II14" s="154"/>
      <c r="IJ14" s="154"/>
      <c r="IK14" s="154"/>
      <c r="IL14" s="154"/>
      <c r="IM14" s="154"/>
      <c r="IN14" s="154"/>
      <c r="IO14" s="154"/>
      <c r="IP14" s="154"/>
      <c r="IQ14" s="154"/>
      <c r="IR14" s="154"/>
      <c r="IS14" s="154"/>
    </row>
    <row r="15" spans="1:253" s="147" customFormat="1" ht="26.4">
      <c r="A15" s="154"/>
      <c r="B15" s="154"/>
      <c r="C15" s="154"/>
      <c r="D15" s="920" t="s">
        <v>100</v>
      </c>
      <c r="E15" s="921"/>
      <c r="F15" s="921"/>
      <c r="G15" s="161">
        <v>2735471.65</v>
      </c>
      <c r="H15" s="922" t="s">
        <v>101</v>
      </c>
      <c r="I15" s="923"/>
      <c r="J15" s="654">
        <f>G16/J20</f>
        <v>91582.779310344835</v>
      </c>
      <c r="K15" s="924" t="s">
        <v>102</v>
      </c>
      <c r="L15" s="925"/>
      <c r="M15" s="659">
        <v>925000</v>
      </c>
      <c r="O15" s="188" t="s">
        <v>103</v>
      </c>
      <c r="P15" s="189">
        <f>SUM(AI25:AI55)</f>
        <v>6216</v>
      </c>
      <c r="Q15" s="189">
        <f>SUM(AJ25:AJ55)</f>
        <v>6827</v>
      </c>
      <c r="R15" s="235">
        <f>Q15/P15-1</f>
        <v>9.829472329472333E-2</v>
      </c>
      <c r="S15" s="236"/>
      <c r="T15" s="237" t="s">
        <v>104</v>
      </c>
      <c r="U15" s="189">
        <f>SUM(BG25:BG55)</f>
        <v>0</v>
      </c>
      <c r="V15" s="189">
        <f>BH56</f>
        <v>0</v>
      </c>
      <c r="W15" s="235" t="e">
        <f>V15/U15-1</f>
        <v>#DIV/0!</v>
      </c>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5"/>
      <c r="BH15" s="155"/>
      <c r="BI15" s="155"/>
      <c r="BJ15" s="155"/>
      <c r="BK15" s="155"/>
      <c r="BL15" s="155"/>
      <c r="BM15" s="155"/>
      <c r="BN15" s="155"/>
      <c r="BO15" s="155"/>
      <c r="BP15" s="155"/>
      <c r="BQ15" s="154"/>
      <c r="BR15" s="154"/>
      <c r="BS15" s="154"/>
      <c r="BT15" s="154"/>
      <c r="BU15" s="154"/>
      <c r="BV15" s="154"/>
      <c r="BW15" s="154"/>
      <c r="BX15" s="154"/>
      <c r="BY15" s="154"/>
      <c r="BZ15" s="154"/>
      <c r="CA15" s="154"/>
      <c r="CB15" s="154"/>
      <c r="CC15" s="154"/>
      <c r="CD15" s="154"/>
      <c r="CE15" s="154"/>
      <c r="CF15" s="154"/>
      <c r="CG15" s="154"/>
      <c r="CH15" s="154"/>
      <c r="CI15" s="154"/>
      <c r="CJ15" s="154"/>
      <c r="CK15" s="154"/>
      <c r="CL15" s="154"/>
      <c r="CM15" s="154"/>
      <c r="CN15" s="154"/>
      <c r="CO15" s="154"/>
      <c r="CP15" s="154"/>
      <c r="CQ15" s="154"/>
      <c r="CR15" s="154"/>
      <c r="CS15" s="154"/>
      <c r="CT15" s="154"/>
      <c r="CU15" s="154"/>
      <c r="CV15" s="154"/>
      <c r="CW15" s="154"/>
      <c r="CX15" s="154"/>
      <c r="CY15" s="154"/>
      <c r="CZ15" s="154"/>
      <c r="DA15" s="154"/>
      <c r="DB15" s="154"/>
      <c r="DC15" s="154"/>
      <c r="DD15" s="154"/>
      <c r="DE15" s="154"/>
      <c r="DF15" s="154"/>
      <c r="DG15" s="154"/>
      <c r="DH15" s="154"/>
      <c r="DI15" s="154"/>
      <c r="DJ15" s="154"/>
      <c r="DK15" s="154"/>
      <c r="DL15" s="154"/>
      <c r="DM15" s="154"/>
      <c r="DN15" s="154"/>
      <c r="DO15" s="154"/>
      <c r="DP15" s="154"/>
      <c r="DQ15" s="154"/>
      <c r="DR15" s="154"/>
      <c r="DS15" s="154"/>
      <c r="DT15" s="154"/>
      <c r="DU15" s="154"/>
      <c r="DV15" s="154"/>
      <c r="DW15" s="154"/>
      <c r="DX15" s="154"/>
      <c r="DY15" s="154"/>
      <c r="DZ15" s="154"/>
      <c r="EA15" s="154"/>
      <c r="EB15" s="154"/>
      <c r="EC15" s="154"/>
      <c r="ED15" s="154"/>
      <c r="EE15" s="154"/>
      <c r="EF15" s="154"/>
      <c r="EG15" s="154"/>
      <c r="EH15" s="154"/>
      <c r="EI15" s="154"/>
      <c r="EJ15" s="154"/>
      <c r="EK15" s="154"/>
      <c r="EL15" s="154"/>
      <c r="EM15" s="154"/>
      <c r="EN15" s="154"/>
      <c r="EO15" s="154"/>
      <c r="EP15" s="154"/>
      <c r="EQ15" s="154"/>
      <c r="ER15" s="154"/>
      <c r="ES15" s="154"/>
      <c r="ET15" s="154"/>
      <c r="EU15" s="154"/>
      <c r="EV15" s="154"/>
      <c r="EW15" s="154"/>
      <c r="EX15" s="154"/>
      <c r="EY15" s="154"/>
      <c r="EZ15" s="154"/>
      <c r="FA15" s="154"/>
      <c r="FB15" s="154"/>
      <c r="FC15" s="154"/>
      <c r="FD15" s="154"/>
      <c r="FE15" s="154"/>
      <c r="FF15" s="154"/>
      <c r="FG15" s="154"/>
      <c r="FH15" s="154"/>
      <c r="FI15" s="154"/>
      <c r="FJ15" s="154"/>
      <c r="FK15" s="154"/>
      <c r="FL15" s="154"/>
      <c r="FM15" s="154"/>
      <c r="FN15" s="154"/>
      <c r="FO15" s="154"/>
      <c r="FP15" s="154"/>
      <c r="FQ15" s="154"/>
      <c r="FR15" s="154"/>
      <c r="FS15" s="154"/>
      <c r="FT15" s="154"/>
      <c r="FU15" s="154"/>
      <c r="FV15" s="154"/>
      <c r="FW15" s="154"/>
      <c r="FX15" s="154"/>
      <c r="FY15" s="154"/>
      <c r="FZ15" s="154"/>
      <c r="GA15" s="154"/>
      <c r="GB15" s="154"/>
      <c r="GC15" s="154"/>
      <c r="GD15" s="154"/>
      <c r="GE15" s="154"/>
      <c r="GF15" s="154"/>
      <c r="GG15" s="154"/>
      <c r="GH15" s="154"/>
      <c r="GI15" s="154"/>
      <c r="GJ15" s="154"/>
      <c r="GK15" s="154"/>
      <c r="GL15" s="154"/>
      <c r="GM15" s="154"/>
      <c r="GN15" s="154"/>
      <c r="GO15" s="154"/>
      <c r="GP15" s="154"/>
      <c r="GQ15" s="154"/>
      <c r="GR15" s="154"/>
      <c r="GS15" s="154"/>
      <c r="GT15" s="154"/>
      <c r="GU15" s="154"/>
      <c r="GV15" s="154"/>
      <c r="GW15" s="154"/>
      <c r="GX15" s="154"/>
      <c r="GY15" s="154"/>
      <c r="GZ15" s="154"/>
      <c r="HA15" s="154"/>
      <c r="HB15" s="154"/>
      <c r="HC15" s="154"/>
      <c r="HD15" s="154"/>
      <c r="HE15" s="154"/>
      <c r="HF15" s="154"/>
      <c r="HG15" s="154"/>
      <c r="HH15" s="154"/>
      <c r="HI15" s="154"/>
      <c r="HJ15" s="154"/>
      <c r="HK15" s="154"/>
      <c r="HL15" s="154"/>
      <c r="HM15" s="154"/>
      <c r="HN15" s="154"/>
      <c r="HO15" s="154"/>
      <c r="HP15" s="154"/>
      <c r="HQ15" s="154"/>
      <c r="HR15" s="154"/>
      <c r="HS15" s="154"/>
      <c r="HT15" s="154"/>
      <c r="HU15" s="154"/>
      <c r="HV15" s="154"/>
      <c r="HW15" s="154"/>
      <c r="HX15" s="154"/>
      <c r="HY15" s="154"/>
      <c r="HZ15" s="154"/>
      <c r="IA15" s="154"/>
      <c r="IB15" s="154"/>
      <c r="IC15" s="154"/>
      <c r="ID15" s="154"/>
      <c r="IE15" s="154"/>
      <c r="IF15" s="154"/>
      <c r="IG15" s="154"/>
      <c r="IH15" s="154"/>
      <c r="II15" s="154"/>
      <c r="IJ15" s="154"/>
      <c r="IK15" s="154"/>
      <c r="IL15" s="154"/>
      <c r="IM15" s="154"/>
      <c r="IN15" s="154"/>
      <c r="IO15" s="154"/>
      <c r="IP15" s="154"/>
      <c r="IQ15" s="154"/>
      <c r="IR15" s="154"/>
      <c r="IS15" s="154"/>
    </row>
    <row r="16" spans="1:253" s="147" customFormat="1" ht="26.4">
      <c r="A16" s="154"/>
      <c r="B16" s="154"/>
      <c r="C16" s="154"/>
      <c r="D16" s="926" t="s">
        <v>105</v>
      </c>
      <c r="E16" s="927"/>
      <c r="F16" s="927"/>
      <c r="G16" s="162">
        <f>K56</f>
        <v>2655900.6</v>
      </c>
      <c r="H16" s="928" t="s">
        <v>106</v>
      </c>
      <c r="I16" s="929"/>
      <c r="J16" s="655">
        <f>G15/G56-1</f>
        <v>0.11279999962899501</v>
      </c>
      <c r="K16" s="930" t="s">
        <v>105</v>
      </c>
      <c r="L16" s="931"/>
      <c r="M16" s="660">
        <f>AB56</f>
        <v>644162.83579999965</v>
      </c>
      <c r="O16" s="188" t="s">
        <v>107</v>
      </c>
      <c r="P16" s="189">
        <f>SUM(AL25:AL55)</f>
        <v>1279</v>
      </c>
      <c r="Q16" s="189">
        <f>SUM(AM25:AM55)</f>
        <v>1013</v>
      </c>
      <c r="R16" s="235">
        <f>Q16/P16-1</f>
        <v>-0.20797498045347929</v>
      </c>
      <c r="S16" s="236"/>
      <c r="T16" s="237" t="s">
        <v>108</v>
      </c>
      <c r="U16" s="189">
        <f>SUM(BJ25:BJ55)</f>
        <v>0</v>
      </c>
      <c r="V16" s="189">
        <f>BK56</f>
        <v>0</v>
      </c>
      <c r="W16" s="235" t="e">
        <f>V16/U16-1</f>
        <v>#DIV/0!</v>
      </c>
      <c r="Y16" s="276"/>
      <c r="AA16" s="154"/>
      <c r="AB16" s="154"/>
      <c r="AC16" s="154"/>
      <c r="AD16" s="154"/>
      <c r="AE16" s="154"/>
      <c r="AF16" s="154"/>
      <c r="AG16" s="154"/>
      <c r="AH16" s="154"/>
      <c r="AI16" s="154"/>
      <c r="AJ16" s="154"/>
      <c r="AK16" s="154"/>
      <c r="AL16" s="154"/>
      <c r="AM16" s="154"/>
      <c r="AN16" s="154"/>
      <c r="AO16" s="154"/>
      <c r="AP16" s="154"/>
      <c r="AQ16" s="154"/>
      <c r="AR16" s="154"/>
      <c r="AS16" s="154"/>
      <c r="AT16" s="154"/>
      <c r="AU16" s="154"/>
      <c r="AV16" s="154"/>
      <c r="AW16" s="154"/>
      <c r="AX16" s="154"/>
      <c r="AY16" s="154"/>
      <c r="AZ16" s="154"/>
      <c r="BA16" s="154"/>
      <c r="BB16" s="154"/>
      <c r="BC16" s="154"/>
      <c r="BD16" s="154"/>
      <c r="BE16" s="154"/>
      <c r="BF16" s="154"/>
      <c r="BG16" s="155"/>
      <c r="BH16" s="155"/>
      <c r="BI16" s="155"/>
      <c r="BJ16" s="155"/>
      <c r="BK16" s="155"/>
      <c r="BL16" s="155"/>
      <c r="BM16" s="155"/>
      <c r="BN16" s="155"/>
      <c r="BO16" s="155"/>
      <c r="BP16" s="155"/>
      <c r="BQ16" s="154"/>
      <c r="BR16" s="154"/>
      <c r="BS16" s="154"/>
      <c r="BT16" s="154"/>
      <c r="BU16" s="154"/>
      <c r="BV16" s="154"/>
      <c r="BW16" s="154"/>
      <c r="BX16" s="154"/>
      <c r="BY16" s="154"/>
      <c r="BZ16" s="154"/>
      <c r="CA16" s="154"/>
      <c r="CB16" s="154"/>
      <c r="CC16" s="154"/>
      <c r="CD16" s="154"/>
      <c r="CE16" s="154"/>
      <c r="CF16" s="154"/>
      <c r="CG16" s="154"/>
      <c r="CH16" s="154"/>
      <c r="CI16" s="154"/>
      <c r="CJ16" s="154"/>
      <c r="CK16" s="154"/>
      <c r="CL16" s="154"/>
      <c r="CM16" s="154"/>
      <c r="CN16" s="154"/>
      <c r="CO16" s="154"/>
      <c r="CP16" s="154"/>
      <c r="CQ16" s="154"/>
      <c r="CR16" s="154"/>
      <c r="CS16" s="154"/>
      <c r="CT16" s="154"/>
      <c r="CU16" s="154"/>
      <c r="CV16" s="154"/>
      <c r="CW16" s="154"/>
      <c r="CX16" s="154"/>
      <c r="CY16" s="154"/>
      <c r="CZ16" s="154"/>
      <c r="DA16" s="154"/>
      <c r="DB16" s="154"/>
      <c r="DC16" s="154"/>
      <c r="DD16" s="154"/>
      <c r="DE16" s="154"/>
      <c r="DF16" s="154"/>
      <c r="DG16" s="154"/>
      <c r="DH16" s="154"/>
      <c r="DI16" s="154"/>
      <c r="DJ16" s="154"/>
      <c r="DK16" s="154"/>
      <c r="DL16" s="154"/>
      <c r="DM16" s="154"/>
      <c r="DN16" s="154"/>
      <c r="DO16" s="154"/>
      <c r="DP16" s="154"/>
      <c r="DQ16" s="154"/>
      <c r="DR16" s="154"/>
      <c r="DS16" s="154"/>
      <c r="DT16" s="154"/>
      <c r="DU16" s="154"/>
      <c r="DV16" s="154"/>
      <c r="DW16" s="154"/>
      <c r="DX16" s="154"/>
      <c r="DY16" s="154"/>
      <c r="DZ16" s="154"/>
      <c r="EA16" s="154"/>
      <c r="EB16" s="154"/>
      <c r="EC16" s="154"/>
      <c r="ED16" s="154"/>
      <c r="EE16" s="154"/>
      <c r="EF16" s="154"/>
      <c r="EG16" s="154"/>
      <c r="EH16" s="154"/>
      <c r="EI16" s="154"/>
      <c r="EJ16" s="154"/>
      <c r="EK16" s="154"/>
      <c r="EL16" s="154"/>
      <c r="EM16" s="154"/>
      <c r="EN16" s="154"/>
      <c r="EO16" s="154"/>
      <c r="EP16" s="154"/>
      <c r="EQ16" s="154"/>
      <c r="ER16" s="154"/>
      <c r="ES16" s="154"/>
      <c r="ET16" s="154"/>
      <c r="EU16" s="154"/>
      <c r="EV16" s="154"/>
      <c r="EW16" s="154"/>
      <c r="EX16" s="154"/>
      <c r="EY16" s="154"/>
      <c r="EZ16" s="154"/>
      <c r="FA16" s="154"/>
      <c r="FB16" s="154"/>
      <c r="FC16" s="154"/>
      <c r="FD16" s="154"/>
      <c r="FE16" s="154"/>
      <c r="FF16" s="154"/>
      <c r="FG16" s="154"/>
      <c r="FH16" s="154"/>
      <c r="FI16" s="154"/>
      <c r="FJ16" s="154"/>
      <c r="FK16" s="154"/>
      <c r="FL16" s="154"/>
      <c r="FM16" s="154"/>
      <c r="FN16" s="154"/>
      <c r="FO16" s="154"/>
      <c r="FP16" s="154"/>
      <c r="FQ16" s="154"/>
      <c r="FR16" s="154"/>
      <c r="FS16" s="154"/>
      <c r="FT16" s="154"/>
      <c r="FU16" s="154"/>
      <c r="FV16" s="154"/>
      <c r="FW16" s="154"/>
      <c r="FX16" s="154"/>
      <c r="FY16" s="154"/>
      <c r="FZ16" s="154"/>
      <c r="GA16" s="154"/>
      <c r="GB16" s="154"/>
      <c r="GC16" s="154"/>
      <c r="GD16" s="154"/>
      <c r="GE16" s="154"/>
      <c r="GF16" s="154"/>
      <c r="GG16" s="154"/>
      <c r="GH16" s="154"/>
      <c r="GI16" s="154"/>
      <c r="GJ16" s="154"/>
      <c r="GK16" s="154"/>
      <c r="GL16" s="154"/>
      <c r="GM16" s="154"/>
      <c r="GN16" s="154"/>
      <c r="GO16" s="154"/>
      <c r="GP16" s="154"/>
      <c r="GQ16" s="154"/>
      <c r="GR16" s="154"/>
      <c r="GS16" s="154"/>
      <c r="GT16" s="154"/>
      <c r="GU16" s="154"/>
      <c r="GV16" s="154"/>
      <c r="GW16" s="154"/>
      <c r="GX16" s="154"/>
      <c r="GY16" s="154"/>
      <c r="GZ16" s="154"/>
      <c r="HA16" s="154"/>
      <c r="HB16" s="154"/>
      <c r="HC16" s="154"/>
      <c r="HD16" s="154"/>
      <c r="HE16" s="154"/>
      <c r="HF16" s="154"/>
      <c r="HG16" s="154"/>
      <c r="HH16" s="154"/>
      <c r="HI16" s="154"/>
      <c r="HJ16" s="154"/>
      <c r="HK16" s="154"/>
      <c r="HL16" s="154"/>
      <c r="HM16" s="154"/>
      <c r="HN16" s="154"/>
      <c r="HO16" s="154"/>
      <c r="HP16" s="154"/>
      <c r="HQ16" s="154"/>
      <c r="HR16" s="154"/>
      <c r="HS16" s="154"/>
      <c r="HT16" s="154"/>
      <c r="HU16" s="154"/>
      <c r="HV16" s="154"/>
      <c r="HW16" s="154"/>
      <c r="HX16" s="154"/>
      <c r="HY16" s="154"/>
      <c r="HZ16" s="154"/>
      <c r="IA16" s="154"/>
      <c r="IB16" s="154"/>
      <c r="IC16" s="154"/>
      <c r="ID16" s="154"/>
      <c r="IE16" s="154"/>
      <c r="IF16" s="154"/>
      <c r="IG16" s="154"/>
      <c r="IH16" s="154"/>
      <c r="II16" s="154"/>
      <c r="IJ16" s="154"/>
      <c r="IK16" s="154"/>
      <c r="IL16" s="154"/>
      <c r="IM16" s="154"/>
      <c r="IN16" s="154"/>
      <c r="IO16" s="154"/>
      <c r="IP16" s="154"/>
      <c r="IQ16" s="154"/>
      <c r="IR16" s="154"/>
      <c r="IS16" s="154"/>
    </row>
    <row r="17" spans="1:253" s="147" customFormat="1" ht="26.4">
      <c r="A17" s="154"/>
      <c r="B17" s="154"/>
      <c r="C17" s="154"/>
      <c r="D17" s="926" t="s">
        <v>109</v>
      </c>
      <c r="E17" s="927"/>
      <c r="F17" s="927"/>
      <c r="G17" s="163">
        <f>G16-G15</f>
        <v>-79571.049999999814</v>
      </c>
      <c r="H17" s="928" t="s">
        <v>110</v>
      </c>
      <c r="I17" s="929"/>
      <c r="J17" s="656">
        <f>SUM(H5:H51)</f>
        <v>0.93258794799115519</v>
      </c>
      <c r="K17" s="930" t="s">
        <v>109</v>
      </c>
      <c r="L17" s="931"/>
      <c r="M17" s="661">
        <f>M16-M15</f>
        <v>-280837.16420000035</v>
      </c>
      <c r="O17" s="188" t="s">
        <v>111</v>
      </c>
      <c r="P17" s="190">
        <f>G56/AL56</f>
        <v>1921.9609382329945</v>
      </c>
      <c r="Q17" s="190">
        <f>G16/Q16</f>
        <v>2621.8169792694966</v>
      </c>
      <c r="R17" s="235">
        <f>Q17/P17-1</f>
        <v>0.36413645413622886</v>
      </c>
      <c r="S17" s="236"/>
      <c r="T17" s="237" t="s">
        <v>112</v>
      </c>
      <c r="U17" s="238" t="e">
        <f>U16/U15</f>
        <v>#DIV/0!</v>
      </c>
      <c r="V17" s="238" t="e">
        <f>V16/V15</f>
        <v>#DIV/0!</v>
      </c>
      <c r="W17" s="235" t="e">
        <f>V17-U17</f>
        <v>#DIV/0!</v>
      </c>
      <c r="Y17" s="276"/>
      <c r="AA17" s="154"/>
      <c r="AB17" s="154"/>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154"/>
      <c r="BF17" s="154"/>
      <c r="BG17" s="155"/>
      <c r="BH17" s="155"/>
      <c r="BI17" s="155"/>
      <c r="BJ17" s="155"/>
      <c r="BK17" s="155"/>
      <c r="BL17" s="155"/>
      <c r="BM17" s="155"/>
      <c r="BN17" s="155"/>
      <c r="BO17" s="155"/>
      <c r="BP17" s="155"/>
      <c r="BQ17" s="154"/>
      <c r="BR17" s="154"/>
      <c r="BS17" s="154"/>
      <c r="BT17" s="154"/>
      <c r="BU17" s="154"/>
      <c r="BV17" s="154"/>
      <c r="BW17" s="154"/>
      <c r="BX17" s="154"/>
      <c r="BY17" s="154"/>
      <c r="BZ17" s="154"/>
      <c r="CA17" s="154"/>
      <c r="CB17" s="154"/>
      <c r="CC17" s="154"/>
      <c r="CD17" s="154"/>
      <c r="CE17" s="154"/>
      <c r="CF17" s="154"/>
      <c r="CG17" s="154"/>
      <c r="CH17" s="154"/>
      <c r="CI17" s="154"/>
      <c r="CJ17" s="154"/>
      <c r="CK17" s="154"/>
      <c r="CL17" s="154"/>
      <c r="CM17" s="154"/>
      <c r="CN17" s="154"/>
      <c r="CO17" s="154"/>
      <c r="CP17" s="154"/>
      <c r="CQ17" s="154"/>
      <c r="CR17" s="154"/>
      <c r="CS17" s="154"/>
      <c r="CT17" s="154"/>
      <c r="CU17" s="154"/>
      <c r="CV17" s="154"/>
      <c r="CW17" s="154"/>
      <c r="CX17" s="154"/>
      <c r="CY17" s="154"/>
      <c r="CZ17" s="154"/>
      <c r="DA17" s="154"/>
      <c r="DB17" s="154"/>
      <c r="DC17" s="154"/>
      <c r="DD17" s="154"/>
      <c r="DE17" s="154"/>
      <c r="DF17" s="154"/>
      <c r="DG17" s="154"/>
      <c r="DH17" s="154"/>
      <c r="DI17" s="154"/>
      <c r="DJ17" s="154"/>
      <c r="DK17" s="154"/>
      <c r="DL17" s="154"/>
      <c r="DM17" s="154"/>
      <c r="DN17" s="154"/>
      <c r="DO17" s="154"/>
      <c r="DP17" s="154"/>
      <c r="DQ17" s="154"/>
      <c r="DR17" s="154"/>
      <c r="DS17" s="154"/>
      <c r="DT17" s="154"/>
      <c r="DU17" s="154"/>
      <c r="DV17" s="154"/>
      <c r="DW17" s="154"/>
      <c r="DX17" s="154"/>
      <c r="DY17" s="154"/>
      <c r="DZ17" s="154"/>
      <c r="EA17" s="154"/>
      <c r="EB17" s="154"/>
      <c r="EC17" s="154"/>
      <c r="ED17" s="154"/>
      <c r="EE17" s="154"/>
      <c r="EF17" s="154"/>
      <c r="EG17" s="154"/>
      <c r="EH17" s="154"/>
      <c r="EI17" s="154"/>
      <c r="EJ17" s="154"/>
      <c r="EK17" s="154"/>
      <c r="EL17" s="154"/>
      <c r="EM17" s="154"/>
      <c r="EN17" s="154"/>
      <c r="EO17" s="154"/>
      <c r="EP17" s="154"/>
      <c r="EQ17" s="154"/>
      <c r="ER17" s="154"/>
      <c r="ES17" s="154"/>
      <c r="ET17" s="154"/>
      <c r="EU17" s="154"/>
      <c r="EV17" s="154"/>
      <c r="EW17" s="154"/>
      <c r="EX17" s="154"/>
      <c r="EY17" s="154"/>
      <c r="EZ17" s="154"/>
      <c r="FA17" s="154"/>
      <c r="FB17" s="154"/>
      <c r="FC17" s="154"/>
      <c r="FD17" s="154"/>
      <c r="FE17" s="154"/>
      <c r="FF17" s="154"/>
      <c r="FG17" s="154"/>
      <c r="FH17" s="154"/>
      <c r="FI17" s="154"/>
      <c r="FJ17" s="154"/>
      <c r="FK17" s="154"/>
      <c r="FL17" s="154"/>
      <c r="FM17" s="154"/>
      <c r="FN17" s="154"/>
      <c r="FO17" s="154"/>
      <c r="FP17" s="154"/>
      <c r="FQ17" s="154"/>
      <c r="FR17" s="154"/>
      <c r="FS17" s="154"/>
      <c r="FT17" s="154"/>
      <c r="FU17" s="154"/>
      <c r="FV17" s="154"/>
      <c r="FW17" s="154"/>
      <c r="FX17" s="154"/>
      <c r="FY17" s="154"/>
      <c r="FZ17" s="154"/>
      <c r="GA17" s="154"/>
      <c r="GB17" s="154"/>
      <c r="GC17" s="154"/>
      <c r="GD17" s="154"/>
      <c r="GE17" s="154"/>
      <c r="GF17" s="154"/>
      <c r="GG17" s="154"/>
      <c r="GH17" s="154"/>
      <c r="GI17" s="154"/>
      <c r="GJ17" s="154"/>
      <c r="GK17" s="154"/>
      <c r="GL17" s="154"/>
      <c r="GM17" s="154"/>
      <c r="GN17" s="154"/>
      <c r="GO17" s="154"/>
      <c r="GP17" s="154"/>
      <c r="GQ17" s="154"/>
      <c r="GR17" s="154"/>
      <c r="GS17" s="154"/>
      <c r="GT17" s="154"/>
      <c r="GU17" s="154"/>
      <c r="GV17" s="154"/>
      <c r="GW17" s="154"/>
      <c r="GX17" s="154"/>
      <c r="GY17" s="154"/>
      <c r="GZ17" s="154"/>
      <c r="HA17" s="154"/>
      <c r="HB17" s="154"/>
      <c r="HC17" s="154"/>
      <c r="HD17" s="154"/>
      <c r="HE17" s="154"/>
      <c r="HF17" s="154"/>
      <c r="HG17" s="154"/>
      <c r="HH17" s="154"/>
      <c r="HI17" s="154"/>
      <c r="HJ17" s="154"/>
      <c r="HK17" s="154"/>
      <c r="HL17" s="154"/>
      <c r="HM17" s="154"/>
      <c r="HN17" s="154"/>
      <c r="HO17" s="154"/>
      <c r="HP17" s="154"/>
      <c r="HQ17" s="154"/>
      <c r="HR17" s="154"/>
      <c r="HS17" s="154"/>
      <c r="HT17" s="154"/>
      <c r="HU17" s="154"/>
      <c r="HV17" s="154"/>
      <c r="HW17" s="154"/>
      <c r="HX17" s="154"/>
      <c r="HY17" s="154"/>
      <c r="HZ17" s="154"/>
      <c r="IA17" s="154"/>
      <c r="IB17" s="154"/>
      <c r="IC17" s="154"/>
      <c r="ID17" s="154"/>
      <c r="IE17" s="154"/>
      <c r="IF17" s="154"/>
      <c r="IG17" s="154"/>
      <c r="IH17" s="154"/>
      <c r="II17" s="154"/>
      <c r="IJ17" s="154"/>
      <c r="IK17" s="154"/>
      <c r="IL17" s="154"/>
      <c r="IM17" s="154"/>
      <c r="IN17" s="154"/>
      <c r="IO17" s="154"/>
      <c r="IP17" s="154"/>
      <c r="IQ17" s="154"/>
      <c r="IR17" s="154"/>
      <c r="IS17" s="154"/>
    </row>
    <row r="18" spans="1:253" s="147" customFormat="1" ht="27" thickBot="1">
      <c r="A18" s="154"/>
      <c r="B18" s="154"/>
      <c r="C18" s="154"/>
      <c r="D18" s="932" t="s">
        <v>113</v>
      </c>
      <c r="E18" s="933"/>
      <c r="F18" s="933"/>
      <c r="G18" s="164">
        <f>N51</f>
        <v>104832.70713852046</v>
      </c>
      <c r="H18" s="934" t="s">
        <v>114</v>
      </c>
      <c r="I18" s="935"/>
      <c r="J18" s="657">
        <f>(100%/30)*J20</f>
        <v>0.96666666666666667</v>
      </c>
      <c r="K18" s="936" t="s">
        <v>115</v>
      </c>
      <c r="L18" s="937"/>
      <c r="M18" s="754">
        <f>SUM(AC25:AC55)</f>
        <v>0.69639225491891854</v>
      </c>
      <c r="N18" s="191"/>
      <c r="O18" s="192" t="s">
        <v>116</v>
      </c>
      <c r="P18" s="193">
        <f>P16/P15</f>
        <v>0.20575933075933076</v>
      </c>
      <c r="Q18" s="193">
        <f>Q16/Q15</f>
        <v>0.14838142668814999</v>
      </c>
      <c r="R18" s="235">
        <f>Q18-P18</f>
        <v>-5.7377904071180763E-2</v>
      </c>
      <c r="S18" s="236"/>
      <c r="T18" s="239" t="s">
        <v>117</v>
      </c>
      <c r="U18" s="240">
        <f>BQ56</f>
        <v>267</v>
      </c>
      <c r="V18" s="240">
        <f>BR56</f>
        <v>240</v>
      </c>
      <c r="W18" s="241">
        <f>V18/U18-1</f>
        <v>-0.101123595505618</v>
      </c>
      <c r="AA18" s="154"/>
      <c r="AB18" s="154"/>
      <c r="AC18" s="154"/>
      <c r="AD18" s="154"/>
      <c r="AE18" s="154"/>
      <c r="AF18" s="154"/>
      <c r="AG18" s="154"/>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154"/>
      <c r="BF18" s="154"/>
      <c r="BG18" s="155"/>
      <c r="BH18" s="155"/>
      <c r="BI18" s="155"/>
      <c r="BJ18" s="155"/>
      <c r="BK18" s="155"/>
      <c r="BL18" s="155"/>
      <c r="BM18" s="155"/>
      <c r="BN18" s="155"/>
      <c r="BO18" s="155"/>
      <c r="BP18" s="155"/>
      <c r="BQ18" s="154"/>
      <c r="BR18" s="154"/>
      <c r="BS18" s="154"/>
      <c r="BT18" s="154"/>
      <c r="BU18" s="154"/>
      <c r="BV18" s="154"/>
      <c r="BW18" s="154"/>
      <c r="BX18" s="154"/>
      <c r="BY18" s="154"/>
      <c r="BZ18" s="154"/>
      <c r="CA18" s="154"/>
      <c r="CB18" s="154"/>
      <c r="CC18" s="154"/>
      <c r="CD18" s="154"/>
      <c r="CE18" s="154"/>
      <c r="CF18" s="154"/>
      <c r="CG18" s="154"/>
      <c r="CH18" s="154"/>
      <c r="CI18" s="154"/>
      <c r="CJ18" s="154"/>
      <c r="CK18" s="154"/>
      <c r="CL18" s="154"/>
      <c r="CM18" s="154"/>
      <c r="CN18" s="154"/>
      <c r="CO18" s="154"/>
      <c r="CP18" s="154"/>
      <c r="CQ18" s="154"/>
      <c r="CR18" s="154"/>
      <c r="CS18" s="154"/>
      <c r="CT18" s="154"/>
      <c r="CU18" s="154"/>
      <c r="CV18" s="154"/>
      <c r="CW18" s="154"/>
      <c r="CX18" s="154"/>
      <c r="CY18" s="154"/>
      <c r="CZ18" s="154"/>
      <c r="DA18" s="154"/>
      <c r="DB18" s="154"/>
      <c r="DC18" s="154"/>
      <c r="DD18" s="154"/>
      <c r="DE18" s="154"/>
      <c r="DF18" s="154"/>
      <c r="DG18" s="154"/>
      <c r="DH18" s="154"/>
      <c r="DI18" s="154"/>
      <c r="DJ18" s="154"/>
      <c r="DK18" s="154"/>
      <c r="DL18" s="154"/>
      <c r="DM18" s="154"/>
      <c r="DN18" s="154"/>
      <c r="DO18" s="154"/>
      <c r="DP18" s="154"/>
      <c r="DQ18" s="154"/>
      <c r="DR18" s="154"/>
      <c r="DS18" s="154"/>
      <c r="DT18" s="154"/>
      <c r="DU18" s="154"/>
      <c r="DV18" s="154"/>
      <c r="DW18" s="154"/>
      <c r="DX18" s="154"/>
      <c r="DY18" s="154"/>
      <c r="DZ18" s="154"/>
      <c r="EA18" s="154"/>
      <c r="EB18" s="154"/>
      <c r="EC18" s="154"/>
      <c r="ED18" s="154"/>
      <c r="EE18" s="154"/>
      <c r="EF18" s="154"/>
      <c r="EG18" s="154"/>
      <c r="EH18" s="154"/>
      <c r="EI18" s="154"/>
      <c r="EJ18" s="154"/>
      <c r="EK18" s="154"/>
      <c r="EL18" s="154"/>
      <c r="EM18" s="154"/>
      <c r="EN18" s="154"/>
      <c r="EO18" s="154"/>
      <c r="EP18" s="154"/>
      <c r="EQ18" s="154"/>
      <c r="ER18" s="154"/>
      <c r="ES18" s="154"/>
      <c r="ET18" s="154"/>
      <c r="EU18" s="154"/>
      <c r="EV18" s="154"/>
      <c r="EW18" s="154"/>
      <c r="EX18" s="154"/>
      <c r="EY18" s="154"/>
      <c r="EZ18" s="154"/>
      <c r="FA18" s="154"/>
      <c r="FB18" s="154"/>
      <c r="FC18" s="154"/>
      <c r="FD18" s="154"/>
      <c r="FE18" s="154"/>
      <c r="FF18" s="154"/>
      <c r="FG18" s="154"/>
      <c r="FH18" s="154"/>
      <c r="FI18" s="154"/>
      <c r="FJ18" s="154"/>
      <c r="FK18" s="154"/>
      <c r="FL18" s="154"/>
      <c r="FM18" s="154"/>
      <c r="FN18" s="154"/>
      <c r="FO18" s="154"/>
      <c r="FP18" s="154"/>
      <c r="FQ18" s="154"/>
      <c r="FR18" s="154"/>
      <c r="FS18" s="154"/>
      <c r="FT18" s="154"/>
      <c r="FU18" s="154"/>
      <c r="FV18" s="154"/>
      <c r="FW18" s="154"/>
      <c r="FX18" s="154"/>
      <c r="FY18" s="154"/>
      <c r="FZ18" s="154"/>
      <c r="GA18" s="154"/>
      <c r="GB18" s="154"/>
      <c r="GC18" s="154"/>
      <c r="GD18" s="154"/>
      <c r="GE18" s="154"/>
      <c r="GF18" s="154"/>
      <c r="GG18" s="154"/>
      <c r="GH18" s="154"/>
      <c r="GI18" s="154"/>
      <c r="GJ18" s="154"/>
      <c r="GK18" s="154"/>
      <c r="GL18" s="154"/>
      <c r="GM18" s="154"/>
      <c r="GN18" s="154"/>
      <c r="GO18" s="154"/>
      <c r="GP18" s="154"/>
      <c r="GQ18" s="154"/>
      <c r="GR18" s="154"/>
      <c r="GS18" s="154"/>
      <c r="GT18" s="154"/>
      <c r="GU18" s="154"/>
      <c r="GV18" s="154"/>
      <c r="GW18" s="154"/>
      <c r="GX18" s="154"/>
      <c r="GY18" s="154"/>
      <c r="GZ18" s="154"/>
      <c r="HA18" s="154"/>
      <c r="HB18" s="154"/>
      <c r="HC18" s="154"/>
      <c r="HD18" s="154"/>
      <c r="HE18" s="154"/>
      <c r="HF18" s="154"/>
      <c r="HG18" s="154"/>
      <c r="HH18" s="154"/>
      <c r="HI18" s="154"/>
      <c r="HJ18" s="154"/>
      <c r="HK18" s="154"/>
      <c r="HL18" s="154"/>
      <c r="HM18" s="154"/>
      <c r="HN18" s="154"/>
      <c r="HO18" s="154"/>
      <c r="HP18" s="154"/>
      <c r="HQ18" s="154"/>
      <c r="HR18" s="154"/>
      <c r="HS18" s="154"/>
      <c r="HT18" s="154"/>
      <c r="HU18" s="154"/>
      <c r="HV18" s="154"/>
      <c r="HW18" s="154"/>
      <c r="HX18" s="154"/>
      <c r="HY18" s="154"/>
      <c r="HZ18" s="154"/>
      <c r="IA18" s="154"/>
      <c r="IB18" s="154"/>
      <c r="IC18" s="154"/>
      <c r="ID18" s="154"/>
      <c r="IE18" s="154"/>
      <c r="IF18" s="154"/>
      <c r="IG18" s="154"/>
      <c r="IH18" s="154"/>
      <c r="II18" s="154"/>
      <c r="IJ18" s="154"/>
      <c r="IK18" s="154"/>
      <c r="IL18" s="154"/>
      <c r="IM18" s="154"/>
      <c r="IN18" s="154"/>
      <c r="IO18" s="154"/>
      <c r="IP18" s="154"/>
      <c r="IQ18" s="154"/>
      <c r="IR18" s="154"/>
      <c r="IS18" s="154"/>
    </row>
    <row r="19" spans="1:253" s="147" customFormat="1" ht="27" thickBot="1">
      <c r="A19" s="154"/>
      <c r="B19" s="154"/>
      <c r="C19" s="154"/>
      <c r="D19" s="938" t="s">
        <v>118</v>
      </c>
      <c r="E19" s="939"/>
      <c r="F19" s="940"/>
      <c r="G19" s="163">
        <f>G17/J21</f>
        <v>-79571.049999999814</v>
      </c>
      <c r="H19" s="928" t="s">
        <v>119</v>
      </c>
      <c r="I19" s="929"/>
      <c r="J19" s="658">
        <f>SUM(M25:M55)</f>
        <v>0.97091139657762504</v>
      </c>
      <c r="K19" s="941" t="s">
        <v>240</v>
      </c>
      <c r="L19" s="942"/>
      <c r="M19" s="662">
        <f>M16/G16</f>
        <v>0.24254026517408056</v>
      </c>
      <c r="N19" s="154"/>
      <c r="O19" s="194" t="s">
        <v>120</v>
      </c>
      <c r="P19" s="195">
        <f>SUM(AY25:AY55)</f>
        <v>67</v>
      </c>
      <c r="Q19" s="195">
        <f>AZ56</f>
        <v>54</v>
      </c>
      <c r="R19" s="235">
        <f>Q19/P19-1</f>
        <v>-0.19402985074626866</v>
      </c>
      <c r="S19" s="236"/>
      <c r="T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c r="AY19" s="154"/>
      <c r="AZ19" s="154"/>
      <c r="BA19" s="154"/>
      <c r="BB19" s="154"/>
      <c r="BC19" s="154"/>
      <c r="BD19" s="154"/>
      <c r="BE19" s="154"/>
      <c r="BF19" s="154"/>
      <c r="BG19" s="155"/>
      <c r="BH19" s="155"/>
      <c r="BI19" s="155"/>
      <c r="BJ19" s="155"/>
      <c r="BK19" s="155"/>
      <c r="BL19" s="155"/>
      <c r="BM19" s="155"/>
      <c r="BN19" s="155"/>
      <c r="BO19" s="155"/>
      <c r="BP19" s="155"/>
      <c r="BQ19" s="154"/>
      <c r="BR19" s="154"/>
      <c r="BS19" s="154"/>
      <c r="BT19" s="154"/>
      <c r="BU19" s="154"/>
      <c r="BV19" s="154"/>
      <c r="BW19" s="154"/>
      <c r="BX19" s="154"/>
      <c r="BY19" s="154"/>
      <c r="BZ19" s="154"/>
      <c r="CA19" s="154"/>
      <c r="CB19" s="154"/>
      <c r="CC19" s="154"/>
      <c r="CD19" s="154"/>
      <c r="CE19" s="154"/>
      <c r="CF19" s="154"/>
      <c r="CG19" s="154"/>
      <c r="CH19" s="154"/>
      <c r="CI19" s="154"/>
      <c r="CJ19" s="154"/>
      <c r="CK19" s="154"/>
      <c r="CL19" s="154"/>
      <c r="CM19" s="154"/>
      <c r="CN19" s="154"/>
      <c r="CO19" s="154"/>
      <c r="CP19" s="154"/>
      <c r="CQ19" s="154"/>
      <c r="CR19" s="154"/>
      <c r="CS19" s="154"/>
      <c r="CT19" s="154"/>
      <c r="CU19" s="154"/>
      <c r="CV19" s="154"/>
      <c r="CW19" s="154"/>
      <c r="CX19" s="154"/>
      <c r="CY19" s="154"/>
      <c r="CZ19" s="154"/>
      <c r="DA19" s="154"/>
      <c r="DB19" s="154"/>
      <c r="DC19" s="154"/>
      <c r="DD19" s="154"/>
      <c r="DE19" s="154"/>
      <c r="DF19" s="154"/>
      <c r="DG19" s="154"/>
      <c r="DH19" s="154"/>
      <c r="DI19" s="154"/>
      <c r="DJ19" s="154"/>
      <c r="DK19" s="154"/>
      <c r="DL19" s="154"/>
      <c r="DM19" s="154"/>
      <c r="DN19" s="154"/>
      <c r="DO19" s="154"/>
      <c r="DP19" s="154"/>
      <c r="DQ19" s="154"/>
      <c r="DR19" s="154"/>
      <c r="DS19" s="154"/>
      <c r="DT19" s="154"/>
      <c r="DU19" s="154"/>
      <c r="DV19" s="154"/>
      <c r="DW19" s="154"/>
      <c r="DX19" s="154"/>
      <c r="DY19" s="154"/>
      <c r="DZ19" s="154"/>
      <c r="EA19" s="154"/>
      <c r="EB19" s="154"/>
      <c r="EC19" s="154"/>
      <c r="ED19" s="154"/>
      <c r="EE19" s="154"/>
      <c r="EF19" s="154"/>
      <c r="EG19" s="154"/>
      <c r="EH19" s="154"/>
      <c r="EI19" s="154"/>
      <c r="EJ19" s="154"/>
      <c r="EK19" s="154"/>
      <c r="EL19" s="154"/>
      <c r="EM19" s="154"/>
      <c r="EN19" s="154"/>
      <c r="EO19" s="154"/>
      <c r="EP19" s="154"/>
      <c r="EQ19" s="154"/>
      <c r="ER19" s="154"/>
      <c r="ES19" s="154"/>
      <c r="ET19" s="154"/>
      <c r="EU19" s="154"/>
      <c r="EV19" s="154"/>
      <c r="EW19" s="154"/>
      <c r="EX19" s="154"/>
      <c r="EY19" s="154"/>
      <c r="EZ19" s="154"/>
      <c r="FA19" s="154"/>
      <c r="FB19" s="154"/>
      <c r="FC19" s="154"/>
      <c r="FD19" s="154"/>
      <c r="FE19" s="154"/>
      <c r="FF19" s="154"/>
      <c r="FG19" s="154"/>
      <c r="FH19" s="154"/>
      <c r="FI19" s="154"/>
      <c r="FJ19" s="154"/>
      <c r="FK19" s="154"/>
      <c r="FL19" s="154"/>
      <c r="FM19" s="154"/>
      <c r="FN19" s="154"/>
      <c r="FO19" s="154"/>
      <c r="FP19" s="154"/>
      <c r="FQ19" s="154"/>
      <c r="FR19" s="154"/>
      <c r="FS19" s="154"/>
      <c r="FT19" s="154"/>
      <c r="FU19" s="154"/>
      <c r="FV19" s="154"/>
      <c r="FW19" s="154"/>
      <c r="FX19" s="154"/>
      <c r="FY19" s="154"/>
      <c r="FZ19" s="154"/>
      <c r="GA19" s="154"/>
      <c r="GB19" s="154"/>
      <c r="GC19" s="154"/>
      <c r="GD19" s="154"/>
      <c r="GE19" s="154"/>
      <c r="GF19" s="154"/>
      <c r="GG19" s="154"/>
      <c r="GH19" s="154"/>
      <c r="GI19" s="154"/>
      <c r="GJ19" s="154"/>
      <c r="GK19" s="154"/>
      <c r="GL19" s="154"/>
      <c r="GM19" s="154"/>
      <c r="GN19" s="154"/>
      <c r="GO19" s="154"/>
      <c r="GP19" s="154"/>
      <c r="GQ19" s="154"/>
      <c r="GR19" s="154"/>
      <c r="GS19" s="154"/>
      <c r="GT19" s="154"/>
      <c r="GU19" s="154"/>
      <c r="GV19" s="154"/>
      <c r="GW19" s="154"/>
      <c r="GX19" s="154"/>
      <c r="GY19" s="154"/>
      <c r="GZ19" s="154"/>
      <c r="HA19" s="154"/>
      <c r="HB19" s="154"/>
      <c r="HC19" s="154"/>
      <c r="HD19" s="154"/>
      <c r="HE19" s="154"/>
      <c r="HF19" s="154"/>
      <c r="HG19" s="154"/>
      <c r="HH19" s="154"/>
      <c r="HI19" s="154"/>
      <c r="HJ19" s="154"/>
      <c r="HK19" s="154"/>
      <c r="HL19" s="154"/>
      <c r="HM19" s="154"/>
      <c r="HN19" s="154"/>
      <c r="HO19" s="154"/>
      <c r="HP19" s="154"/>
      <c r="HQ19" s="154"/>
      <c r="HR19" s="154"/>
      <c r="HS19" s="154"/>
      <c r="HT19" s="154"/>
      <c r="HU19" s="154"/>
      <c r="HV19" s="154"/>
      <c r="HW19" s="154"/>
      <c r="HX19" s="154"/>
      <c r="HY19" s="154"/>
      <c r="HZ19" s="154"/>
      <c r="IA19" s="154"/>
      <c r="IB19" s="154"/>
      <c r="IC19" s="154"/>
      <c r="ID19" s="154"/>
      <c r="IE19" s="154"/>
      <c r="IF19" s="154"/>
      <c r="IG19" s="154"/>
      <c r="IH19" s="154"/>
      <c r="II19" s="154"/>
      <c r="IJ19" s="154"/>
      <c r="IK19" s="154"/>
      <c r="IL19" s="154"/>
      <c r="IM19" s="154"/>
      <c r="IN19" s="154"/>
      <c r="IO19" s="154"/>
      <c r="IP19" s="154"/>
      <c r="IQ19" s="154"/>
      <c r="IR19" s="154"/>
      <c r="IS19" s="154"/>
    </row>
    <row r="20" spans="1:253" s="147" customFormat="1" ht="18.75" customHeight="1" thickBot="1">
      <c r="A20" s="154"/>
      <c r="B20" s="154"/>
      <c r="C20" s="154"/>
      <c r="D20" s="926" t="s">
        <v>121</v>
      </c>
      <c r="E20" s="927"/>
      <c r="F20" s="927"/>
      <c r="G20" s="163">
        <f>J15*J21+G16</f>
        <v>2747483.3793103448</v>
      </c>
      <c r="H20" s="927" t="s">
        <v>122</v>
      </c>
      <c r="I20" s="943"/>
      <c r="J20" s="196">
        <v>29</v>
      </c>
      <c r="K20" s="154"/>
      <c r="L20" s="197"/>
      <c r="M20" s="198"/>
      <c r="N20" s="160"/>
      <c r="O20" s="199" t="s">
        <v>123</v>
      </c>
      <c r="P20" s="200">
        <f>BC56</f>
        <v>0</v>
      </c>
      <c r="Q20" s="200">
        <f>BD56</f>
        <v>0</v>
      </c>
      <c r="R20" s="242" t="e">
        <f>Q20/P20-1</f>
        <v>#DIV/0!</v>
      </c>
      <c r="S20" s="236"/>
      <c r="T20" s="160"/>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c r="AY20" s="154"/>
      <c r="AZ20" s="154"/>
      <c r="BA20" s="154"/>
      <c r="BB20" s="154"/>
      <c r="BC20" s="154"/>
      <c r="BD20" s="154"/>
      <c r="BE20" s="154"/>
      <c r="BF20" s="154"/>
      <c r="BG20" s="155"/>
      <c r="BH20" s="155"/>
      <c r="BI20" s="155"/>
      <c r="BJ20" s="155"/>
      <c r="BK20" s="155"/>
      <c r="BL20" s="155"/>
      <c r="BM20" s="155"/>
      <c r="BN20" s="155"/>
      <c r="BO20" s="155"/>
      <c r="BP20" s="155"/>
      <c r="BQ20" s="154"/>
      <c r="BR20" s="154"/>
      <c r="BS20" s="154"/>
      <c r="BT20" s="154"/>
      <c r="BU20" s="154"/>
      <c r="BV20" s="154"/>
      <c r="BW20" s="154"/>
      <c r="BX20" s="154"/>
      <c r="BY20" s="154"/>
      <c r="BZ20" s="154"/>
      <c r="CA20" s="154"/>
      <c r="CB20" s="154"/>
      <c r="CC20" s="154"/>
      <c r="CD20" s="154"/>
      <c r="CE20" s="154"/>
      <c r="CF20" s="154"/>
      <c r="CG20" s="154"/>
      <c r="CH20" s="154"/>
      <c r="CI20" s="154"/>
      <c r="CJ20" s="154"/>
      <c r="CK20" s="154"/>
      <c r="CL20" s="154"/>
      <c r="CM20" s="154"/>
      <c r="CN20" s="154"/>
      <c r="CO20" s="154"/>
      <c r="CP20" s="154"/>
      <c r="CQ20" s="154"/>
      <c r="CR20" s="154"/>
      <c r="CS20" s="154"/>
      <c r="CT20" s="154"/>
      <c r="CU20" s="154"/>
      <c r="CV20" s="154"/>
      <c r="CW20" s="154"/>
      <c r="CX20" s="154"/>
      <c r="CY20" s="154"/>
      <c r="CZ20" s="154"/>
      <c r="DA20" s="154"/>
      <c r="DB20" s="154"/>
      <c r="DC20" s="154"/>
      <c r="DD20" s="154"/>
      <c r="DE20" s="154"/>
      <c r="DF20" s="154"/>
      <c r="DG20" s="154"/>
      <c r="DH20" s="154"/>
      <c r="DI20" s="154"/>
      <c r="DJ20" s="154"/>
      <c r="DK20" s="154"/>
      <c r="DL20" s="154"/>
      <c r="DM20" s="154"/>
      <c r="DN20" s="154"/>
      <c r="DO20" s="154"/>
      <c r="DP20" s="154"/>
      <c r="DQ20" s="154"/>
      <c r="DR20" s="154"/>
      <c r="DS20" s="154"/>
      <c r="DT20" s="154"/>
      <c r="DU20" s="154"/>
      <c r="DV20" s="154"/>
      <c r="DW20" s="154"/>
      <c r="DX20" s="154"/>
      <c r="DY20" s="154"/>
      <c r="DZ20" s="154"/>
      <c r="EA20" s="154"/>
      <c r="EB20" s="154"/>
      <c r="EC20" s="154"/>
      <c r="ED20" s="154"/>
      <c r="EE20" s="154"/>
      <c r="EF20" s="154"/>
      <c r="EG20" s="154"/>
      <c r="EH20" s="154"/>
      <c r="EI20" s="154"/>
      <c r="EJ20" s="154"/>
      <c r="EK20" s="154"/>
      <c r="EL20" s="154"/>
      <c r="EM20" s="154"/>
      <c r="EN20" s="154"/>
      <c r="EO20" s="154"/>
      <c r="EP20" s="154"/>
      <c r="EQ20" s="154"/>
      <c r="ER20" s="154"/>
      <c r="ES20" s="154"/>
      <c r="ET20" s="154"/>
      <c r="EU20" s="154"/>
      <c r="EV20" s="154"/>
      <c r="EW20" s="154"/>
      <c r="EX20" s="154"/>
      <c r="EY20" s="154"/>
      <c r="EZ20" s="154"/>
      <c r="FA20" s="154"/>
      <c r="FB20" s="154"/>
      <c r="FC20" s="154"/>
      <c r="FD20" s="154"/>
      <c r="FE20" s="154"/>
      <c r="FF20" s="154"/>
      <c r="FG20" s="154"/>
      <c r="FH20" s="154"/>
      <c r="FI20" s="154"/>
      <c r="FJ20" s="154"/>
      <c r="FK20" s="154"/>
      <c r="FL20" s="154"/>
      <c r="FM20" s="154"/>
      <c r="FN20" s="154"/>
      <c r="FO20" s="154"/>
      <c r="FP20" s="154"/>
      <c r="FQ20" s="154"/>
      <c r="FR20" s="154"/>
      <c r="FS20" s="154"/>
      <c r="FT20" s="154"/>
      <c r="FU20" s="154"/>
      <c r="FV20" s="154"/>
      <c r="FW20" s="154"/>
      <c r="FX20" s="154"/>
      <c r="FY20" s="154"/>
      <c r="FZ20" s="154"/>
      <c r="GA20" s="154"/>
      <c r="GB20" s="154"/>
      <c r="GC20" s="154"/>
      <c r="GD20" s="154"/>
      <c r="GE20" s="154"/>
      <c r="GF20" s="154"/>
      <c r="GG20" s="154"/>
      <c r="GH20" s="154"/>
      <c r="GI20" s="154"/>
      <c r="GJ20" s="154"/>
      <c r="GK20" s="154"/>
      <c r="GL20" s="154"/>
      <c r="GM20" s="154"/>
      <c r="GN20" s="154"/>
      <c r="GO20" s="154"/>
      <c r="GP20" s="154"/>
      <c r="GQ20" s="154"/>
      <c r="GR20" s="154"/>
      <c r="GS20" s="154"/>
      <c r="GT20" s="154"/>
      <c r="GU20" s="154"/>
      <c r="GV20" s="154"/>
      <c r="GW20" s="154"/>
      <c r="GX20" s="154"/>
      <c r="GY20" s="154"/>
      <c r="GZ20" s="154"/>
      <c r="HA20" s="154"/>
      <c r="HB20" s="154"/>
      <c r="HC20" s="154"/>
      <c r="HD20" s="154"/>
      <c r="HE20" s="154"/>
      <c r="HF20" s="154"/>
      <c r="HG20" s="154"/>
      <c r="HH20" s="154"/>
      <c r="HI20" s="154"/>
      <c r="HJ20" s="154"/>
      <c r="HK20" s="154"/>
      <c r="HL20" s="154"/>
      <c r="HM20" s="154"/>
      <c r="HN20" s="154"/>
      <c r="HO20" s="154"/>
      <c r="HP20" s="154"/>
      <c r="HQ20" s="154"/>
      <c r="HR20" s="154"/>
      <c r="HS20" s="154"/>
      <c r="HT20" s="154"/>
      <c r="HU20" s="154"/>
      <c r="HV20" s="154"/>
      <c r="HW20" s="154"/>
      <c r="HX20" s="154"/>
      <c r="HY20" s="154"/>
      <c r="HZ20" s="154"/>
      <c r="IA20" s="154"/>
      <c r="IB20" s="154"/>
      <c r="IC20" s="154"/>
      <c r="ID20" s="154"/>
      <c r="IE20" s="154"/>
      <c r="IF20" s="154"/>
      <c r="IG20" s="154"/>
      <c r="IH20" s="154"/>
      <c r="II20" s="154"/>
      <c r="IJ20" s="154"/>
      <c r="IK20" s="154"/>
      <c r="IL20" s="154"/>
      <c r="IM20" s="154"/>
      <c r="IN20" s="154"/>
      <c r="IO20" s="154"/>
      <c r="IP20" s="154"/>
      <c r="IQ20" s="154"/>
      <c r="IR20" s="154"/>
      <c r="IS20" s="154"/>
    </row>
    <row r="21" spans="1:253" s="147" customFormat="1" ht="18" customHeight="1">
      <c r="A21" s="154"/>
      <c r="B21" s="154"/>
      <c r="C21" s="154"/>
      <c r="D21" s="926" t="s">
        <v>124</v>
      </c>
      <c r="E21" s="927"/>
      <c r="F21" s="927"/>
      <c r="G21" s="165">
        <f>G20/G15</f>
        <v>1.0043910999078878</v>
      </c>
      <c r="H21" s="927" t="s">
        <v>125</v>
      </c>
      <c r="I21" s="927"/>
      <c r="J21" s="196">
        <f>30-J20</f>
        <v>1</v>
      </c>
      <c r="K21" s="154"/>
      <c r="L21" s="160"/>
      <c r="M21" s="160"/>
      <c r="N21" s="160"/>
      <c r="O21" s="944" t="s">
        <v>126</v>
      </c>
      <c r="P21" s="944"/>
      <c r="Q21" s="944"/>
      <c r="R21" s="154"/>
      <c r="S21" s="154"/>
      <c r="T21" s="160"/>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c r="AY21" s="154"/>
      <c r="AZ21" s="154"/>
      <c r="BA21" s="154"/>
      <c r="BB21" s="154"/>
      <c r="BC21" s="154"/>
      <c r="BD21" s="154"/>
      <c r="BE21" s="154"/>
      <c r="BF21" s="154"/>
      <c r="BG21" s="155"/>
      <c r="BH21" s="155"/>
      <c r="BI21" s="155"/>
      <c r="BJ21" s="155"/>
      <c r="BK21" s="155"/>
      <c r="BL21" s="155"/>
      <c r="BM21" s="155"/>
      <c r="BN21" s="155"/>
      <c r="BO21" s="155"/>
      <c r="BP21" s="155"/>
      <c r="BQ21" s="154"/>
      <c r="BR21" s="154"/>
      <c r="BS21" s="154"/>
      <c r="BT21" s="154"/>
      <c r="BU21" s="154"/>
      <c r="BV21" s="154"/>
      <c r="BW21" s="154"/>
      <c r="BX21" s="154"/>
      <c r="BY21" s="154"/>
      <c r="BZ21" s="154"/>
      <c r="CA21" s="154"/>
      <c r="CB21" s="154"/>
      <c r="CC21" s="154"/>
      <c r="CD21" s="154"/>
      <c r="CE21" s="154"/>
      <c r="CF21" s="154"/>
      <c r="CG21" s="154"/>
      <c r="CH21" s="154"/>
      <c r="CI21" s="154"/>
      <c r="CJ21" s="154"/>
      <c r="CK21" s="154"/>
      <c r="CL21" s="154"/>
      <c r="CM21" s="154"/>
      <c r="CN21" s="154"/>
      <c r="CO21" s="154"/>
      <c r="CP21" s="154"/>
      <c r="CQ21" s="154"/>
      <c r="CR21" s="154"/>
      <c r="CS21" s="154"/>
      <c r="CT21" s="154"/>
      <c r="CU21" s="154"/>
      <c r="CV21" s="154"/>
      <c r="CW21" s="154"/>
      <c r="CX21" s="154"/>
      <c r="CY21" s="154"/>
      <c r="CZ21" s="154"/>
      <c r="DA21" s="154"/>
      <c r="DB21" s="154"/>
      <c r="DC21" s="154"/>
      <c r="DD21" s="154"/>
      <c r="DE21" s="154"/>
      <c r="DF21" s="154"/>
      <c r="DG21" s="154"/>
      <c r="DH21" s="154"/>
      <c r="DI21" s="154"/>
      <c r="DJ21" s="154"/>
      <c r="DK21" s="154"/>
      <c r="DL21" s="154"/>
      <c r="DM21" s="154"/>
      <c r="DN21" s="154"/>
      <c r="DO21" s="154"/>
      <c r="DP21" s="154"/>
      <c r="DQ21" s="154"/>
      <c r="DR21" s="154"/>
      <c r="DS21" s="154"/>
      <c r="DT21" s="154"/>
      <c r="DU21" s="154"/>
      <c r="DV21" s="154"/>
      <c r="DW21" s="154"/>
      <c r="DX21" s="154"/>
      <c r="DY21" s="154"/>
      <c r="DZ21" s="154"/>
      <c r="EA21" s="154"/>
      <c r="EB21" s="154"/>
      <c r="EC21" s="154"/>
      <c r="ED21" s="154"/>
      <c r="EE21" s="154"/>
      <c r="EF21" s="154"/>
      <c r="EG21" s="154"/>
      <c r="EH21" s="154"/>
      <c r="EI21" s="154"/>
      <c r="EJ21" s="154"/>
      <c r="EK21" s="154"/>
      <c r="EL21" s="154"/>
      <c r="EM21" s="154"/>
      <c r="EN21" s="154"/>
      <c r="EO21" s="154"/>
      <c r="EP21" s="154"/>
      <c r="EQ21" s="154"/>
      <c r="ER21" s="154"/>
      <c r="ES21" s="154"/>
      <c r="ET21" s="154"/>
      <c r="EU21" s="154"/>
      <c r="EV21" s="154"/>
      <c r="EW21" s="154"/>
      <c r="EX21" s="154"/>
      <c r="EY21" s="154"/>
      <c r="EZ21" s="154"/>
      <c r="FA21" s="154"/>
      <c r="FB21" s="154"/>
      <c r="FC21" s="154"/>
      <c r="FD21" s="154"/>
      <c r="FE21" s="154"/>
      <c r="FF21" s="154"/>
      <c r="FG21" s="154"/>
      <c r="FH21" s="154"/>
      <c r="FI21" s="154"/>
      <c r="FJ21" s="154"/>
      <c r="FK21" s="154"/>
      <c r="FL21" s="154"/>
      <c r="FM21" s="154"/>
      <c r="FN21" s="154"/>
      <c r="FO21" s="154"/>
      <c r="FP21" s="154"/>
      <c r="FQ21" s="154"/>
      <c r="FR21" s="154"/>
      <c r="FS21" s="154"/>
      <c r="FT21" s="154"/>
      <c r="FU21" s="154"/>
      <c r="FV21" s="154"/>
      <c r="FW21" s="154"/>
      <c r="FX21" s="154"/>
      <c r="FY21" s="154"/>
      <c r="FZ21" s="154"/>
      <c r="GA21" s="154"/>
      <c r="GB21" s="154"/>
      <c r="GC21" s="154"/>
      <c r="GD21" s="154"/>
      <c r="GE21" s="154"/>
      <c r="GF21" s="154"/>
      <c r="GG21" s="154"/>
      <c r="GH21" s="154"/>
      <c r="GI21" s="154"/>
      <c r="GJ21" s="154"/>
      <c r="GK21" s="154"/>
      <c r="GL21" s="154"/>
      <c r="GM21" s="154"/>
      <c r="GN21" s="154"/>
      <c r="GO21" s="154"/>
      <c r="GP21" s="154"/>
      <c r="GQ21" s="154"/>
      <c r="GR21" s="154"/>
      <c r="GS21" s="154"/>
      <c r="GT21" s="154"/>
      <c r="GU21" s="154"/>
      <c r="GV21" s="154"/>
      <c r="GW21" s="154"/>
      <c r="GX21" s="154"/>
      <c r="GY21" s="154"/>
      <c r="GZ21" s="154"/>
      <c r="HA21" s="154"/>
      <c r="HB21" s="154"/>
      <c r="HC21" s="154"/>
      <c r="HD21" s="154"/>
      <c r="HE21" s="154"/>
      <c r="HF21" s="154"/>
      <c r="HG21" s="154"/>
      <c r="HH21" s="154"/>
      <c r="HI21" s="154"/>
      <c r="HJ21" s="154"/>
      <c r="HK21" s="154"/>
      <c r="HL21" s="154"/>
      <c r="HM21" s="154"/>
      <c r="HN21" s="154"/>
      <c r="HO21" s="154"/>
      <c r="HP21" s="154"/>
      <c r="HQ21" s="154"/>
      <c r="HR21" s="154"/>
      <c r="HS21" s="154"/>
      <c r="HT21" s="154"/>
      <c r="HU21" s="154"/>
      <c r="HV21" s="154"/>
      <c r="HW21" s="154"/>
      <c r="HX21" s="154"/>
      <c r="HY21" s="154"/>
      <c r="HZ21" s="154"/>
      <c r="IA21" s="154"/>
      <c r="IB21" s="154"/>
      <c r="IC21" s="154"/>
      <c r="ID21" s="154"/>
      <c r="IE21" s="154"/>
      <c r="IF21" s="154"/>
      <c r="IG21" s="154"/>
      <c r="IH21" s="154"/>
      <c r="II21" s="154"/>
      <c r="IJ21" s="154"/>
      <c r="IK21" s="154"/>
      <c r="IL21" s="154"/>
      <c r="IM21" s="154"/>
      <c r="IN21" s="154"/>
      <c r="IO21" s="154"/>
      <c r="IP21" s="154"/>
      <c r="IQ21" s="154"/>
      <c r="IR21" s="154"/>
      <c r="IS21" s="154"/>
    </row>
    <row r="22" spans="1:253" s="148" customFormat="1" ht="24.75" customHeight="1" thickBot="1">
      <c r="A22" s="166"/>
      <c r="B22" s="166"/>
      <c r="C22" s="166"/>
      <c r="D22" s="945" t="s">
        <v>127</v>
      </c>
      <c r="E22" s="946"/>
      <c r="F22" s="946"/>
      <c r="G22" s="167">
        <f>SUM(G25:G55)</f>
        <v>2458188.04</v>
      </c>
      <c r="H22" s="961" t="s">
        <v>128</v>
      </c>
      <c r="I22" s="962"/>
      <c r="J22" s="755">
        <f>(K56-G22)/G22</f>
        <v>8.0430201751368072E-2</v>
      </c>
      <c r="K22" s="564"/>
      <c r="L22" s="201"/>
      <c r="M22" s="201"/>
      <c r="N22" s="201"/>
      <c r="O22" s="201"/>
      <c r="P22" s="166"/>
      <c r="Q22" s="166"/>
      <c r="R22" s="166"/>
      <c r="S22" s="166"/>
      <c r="T22" s="947" t="s">
        <v>129</v>
      </c>
      <c r="U22" s="947"/>
      <c r="V22" s="947"/>
      <c r="W22" s="947"/>
      <c r="X22" s="947"/>
      <c r="Y22" s="947"/>
      <c r="Z22" s="947"/>
      <c r="AA22" s="947"/>
      <c r="AB22" s="947"/>
      <c r="AC22" s="947"/>
      <c r="AD22" s="166"/>
      <c r="AE22" s="166"/>
      <c r="AF22" s="166"/>
      <c r="AG22" s="166"/>
      <c r="AH22" s="166"/>
      <c r="AI22" s="166"/>
      <c r="AJ22" s="166"/>
      <c r="AK22" s="166"/>
      <c r="AL22" s="166"/>
      <c r="AM22" s="166"/>
      <c r="AN22" s="166"/>
      <c r="AO22" s="166"/>
      <c r="AP22" s="166"/>
      <c r="AQ22" s="166"/>
      <c r="AR22" s="291"/>
      <c r="AS22" s="291"/>
      <c r="AT22" s="291"/>
      <c r="AU22" s="291"/>
      <c r="AV22" s="291"/>
      <c r="AW22" s="291"/>
      <c r="AX22" s="291"/>
      <c r="AY22" s="291"/>
      <c r="AZ22" s="291"/>
      <c r="BA22" s="291"/>
      <c r="BB22" s="291"/>
      <c r="BC22" s="166"/>
      <c r="BD22" s="166"/>
      <c r="BE22" s="166"/>
      <c r="BF22" s="166"/>
      <c r="BG22" s="166"/>
      <c r="BH22" s="166"/>
      <c r="BI22" s="166"/>
      <c r="BJ22" s="166"/>
      <c r="BK22" s="166"/>
      <c r="BL22" s="166"/>
      <c r="BM22" s="166"/>
      <c r="BN22" s="166"/>
      <c r="BO22" s="166"/>
      <c r="BP22" s="166"/>
      <c r="BQ22" s="154"/>
      <c r="BR22" s="154"/>
      <c r="BS22" s="154"/>
      <c r="BT22" s="166"/>
      <c r="BU22" s="166"/>
      <c r="BV22" s="166"/>
      <c r="BW22" s="166"/>
      <c r="BX22" s="166"/>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c r="DX22" s="166"/>
      <c r="DY22" s="166"/>
      <c r="DZ22" s="166"/>
      <c r="EA22" s="166"/>
      <c r="EB22" s="166"/>
      <c r="EC22" s="166"/>
      <c r="ED22" s="166"/>
      <c r="EE22" s="166"/>
      <c r="EF22" s="166"/>
      <c r="EG22" s="166"/>
      <c r="EH22" s="166"/>
      <c r="EI22" s="166"/>
      <c r="EJ22" s="166"/>
      <c r="EK22" s="166"/>
      <c r="EL22" s="166"/>
      <c r="EM22" s="166"/>
      <c r="EN22" s="166"/>
      <c r="EO22" s="166"/>
      <c r="EP22" s="166"/>
      <c r="EQ22" s="166"/>
      <c r="ER22" s="166"/>
      <c r="ES22" s="166"/>
      <c r="ET22" s="166"/>
      <c r="EU22" s="166"/>
      <c r="EV22" s="166"/>
      <c r="EW22" s="166"/>
      <c r="EX22" s="166"/>
      <c r="EY22" s="166"/>
      <c r="EZ22" s="166"/>
      <c r="FA22" s="166"/>
      <c r="FB22" s="166"/>
      <c r="FC22" s="166"/>
      <c r="FD22" s="166"/>
      <c r="FE22" s="166"/>
      <c r="FF22" s="166"/>
      <c r="FG22" s="166"/>
      <c r="FH22" s="166"/>
      <c r="FI22" s="166"/>
      <c r="FJ22" s="166"/>
      <c r="FK22" s="166"/>
      <c r="FL22" s="166"/>
      <c r="FM22" s="166"/>
      <c r="FN22" s="166"/>
      <c r="FO22" s="166"/>
      <c r="FP22" s="166"/>
      <c r="FQ22" s="166"/>
      <c r="FR22" s="166"/>
      <c r="FS22" s="166"/>
      <c r="FT22" s="166"/>
      <c r="FU22" s="166"/>
      <c r="FV22" s="166"/>
      <c r="FW22" s="166"/>
      <c r="FX22" s="166"/>
      <c r="FY22" s="166"/>
      <c r="FZ22" s="166"/>
      <c r="GA22" s="166"/>
      <c r="GB22" s="166"/>
      <c r="GC22" s="166"/>
      <c r="GD22" s="166"/>
      <c r="GE22" s="166"/>
      <c r="GF22" s="166"/>
      <c r="GG22" s="166"/>
      <c r="GH22" s="166"/>
      <c r="GI22" s="166"/>
      <c r="GJ22" s="166"/>
      <c r="GK22" s="166"/>
      <c r="GL22" s="166"/>
      <c r="GM22" s="166"/>
      <c r="GN22" s="166"/>
      <c r="GO22" s="166"/>
      <c r="GP22" s="166"/>
      <c r="GQ22" s="166"/>
      <c r="GR22" s="166"/>
      <c r="GS22" s="166"/>
      <c r="GT22" s="166"/>
      <c r="GU22" s="166"/>
      <c r="GV22" s="166"/>
      <c r="GW22" s="166"/>
      <c r="GX22" s="166"/>
      <c r="GY22" s="166"/>
      <c r="GZ22" s="166"/>
      <c r="HA22" s="166"/>
      <c r="HB22" s="166"/>
      <c r="HC22" s="166"/>
      <c r="HD22" s="166"/>
      <c r="HE22" s="166"/>
      <c r="HF22" s="166"/>
      <c r="HG22" s="166"/>
      <c r="HH22" s="166"/>
      <c r="HI22" s="166"/>
      <c r="HJ22" s="166"/>
      <c r="HK22" s="166"/>
      <c r="HL22" s="166"/>
      <c r="HM22" s="166"/>
      <c r="HN22" s="166"/>
      <c r="HO22" s="166"/>
      <c r="HP22" s="166"/>
      <c r="HQ22" s="166"/>
      <c r="HR22" s="166"/>
      <c r="HS22" s="166"/>
      <c r="HT22" s="166"/>
      <c r="HU22" s="166"/>
      <c r="HV22" s="166"/>
      <c r="HW22" s="166"/>
      <c r="HX22" s="166"/>
      <c r="HY22" s="166"/>
      <c r="HZ22" s="166"/>
      <c r="IA22" s="166"/>
      <c r="IB22" s="166"/>
      <c r="IC22" s="166"/>
      <c r="ID22" s="166"/>
      <c r="IE22" s="166"/>
      <c r="IF22" s="166"/>
      <c r="IG22" s="166"/>
      <c r="IH22" s="166"/>
      <c r="II22" s="166"/>
      <c r="IJ22" s="166"/>
      <c r="IK22" s="166"/>
      <c r="IL22" s="166"/>
      <c r="IM22" s="166"/>
      <c r="IN22" s="166"/>
      <c r="IO22" s="166"/>
      <c r="IP22" s="166"/>
      <c r="IQ22" s="166"/>
      <c r="IR22" s="166"/>
      <c r="IS22" s="166"/>
    </row>
    <row r="23" spans="1:253" s="147" customFormat="1" ht="14.25" customHeight="1" thickBot="1">
      <c r="A23" s="154"/>
      <c r="B23" s="154"/>
      <c r="C23" s="154"/>
      <c r="D23" s="948" t="s">
        <v>130</v>
      </c>
      <c r="E23" s="949"/>
      <c r="F23" s="949"/>
      <c r="G23" s="949"/>
      <c r="H23" s="949"/>
      <c r="I23" s="949"/>
      <c r="J23" s="949"/>
      <c r="K23" s="949"/>
      <c r="L23" s="949"/>
      <c r="M23" s="949"/>
      <c r="N23" s="949"/>
      <c r="O23" s="949"/>
      <c r="P23" s="949"/>
      <c r="Q23" s="949"/>
      <c r="R23" s="950"/>
      <c r="S23" s="154"/>
      <c r="T23" s="951" t="s">
        <v>131</v>
      </c>
      <c r="U23" s="952"/>
      <c r="V23" s="952"/>
      <c r="W23" s="953"/>
      <c r="X23" s="954" t="s">
        <v>132</v>
      </c>
      <c r="Y23" s="955"/>
      <c r="Z23" s="955"/>
      <c r="AA23" s="956"/>
      <c r="AB23" s="968" t="s">
        <v>223</v>
      </c>
      <c r="AC23" s="957" t="s">
        <v>133</v>
      </c>
      <c r="AD23" s="154"/>
      <c r="AE23" s="154"/>
      <c r="AF23" s="154"/>
      <c r="AG23" s="154"/>
      <c r="AH23" s="154"/>
      <c r="AI23" s="154"/>
      <c r="AJ23" s="154"/>
      <c r="AK23" s="154"/>
      <c r="AL23" s="154"/>
      <c r="AM23" s="154"/>
      <c r="AN23" s="154"/>
      <c r="AO23" s="154"/>
      <c r="AP23" s="154"/>
      <c r="AQ23" s="154"/>
      <c r="AR23" s="292"/>
      <c r="AS23" s="292"/>
      <c r="AT23" s="292"/>
      <c r="AU23" s="292"/>
      <c r="AV23" s="292"/>
      <c r="AW23" s="292"/>
      <c r="AX23" s="292"/>
      <c r="AY23" s="292"/>
      <c r="AZ23" s="292"/>
      <c r="BA23" s="292"/>
      <c r="BB23" s="292"/>
      <c r="BC23" s="154"/>
      <c r="BD23" s="154"/>
      <c r="BE23" s="154"/>
      <c r="BF23" s="154"/>
      <c r="BG23" s="155"/>
      <c r="BH23" s="155"/>
      <c r="BI23" s="155"/>
      <c r="BJ23" s="155"/>
      <c r="BK23" s="155"/>
      <c r="BL23" s="155"/>
      <c r="BM23" s="155"/>
      <c r="BN23" s="155"/>
      <c r="BO23" s="155"/>
      <c r="BP23" s="155"/>
      <c r="BQ23" s="154"/>
      <c r="BR23" s="154"/>
      <c r="BS23" s="154"/>
      <c r="BT23" s="154"/>
      <c r="BU23" s="154"/>
      <c r="BV23" s="154"/>
      <c r="BW23" s="154"/>
      <c r="BX23" s="154"/>
      <c r="BY23" s="154"/>
      <c r="BZ23" s="154"/>
      <c r="CA23" s="154"/>
      <c r="CB23" s="154"/>
      <c r="CC23" s="154"/>
      <c r="CD23" s="154"/>
      <c r="CE23" s="154"/>
      <c r="CF23" s="154"/>
      <c r="CG23" s="154"/>
      <c r="CH23" s="154"/>
      <c r="CI23" s="154"/>
      <c r="CJ23" s="154"/>
      <c r="CK23" s="154"/>
      <c r="CL23" s="154"/>
      <c r="CM23" s="154"/>
      <c r="CN23" s="154"/>
      <c r="CO23" s="154"/>
      <c r="CP23" s="154"/>
      <c r="CQ23" s="154"/>
      <c r="CR23" s="154"/>
      <c r="CS23" s="154"/>
      <c r="CT23" s="154"/>
      <c r="CU23" s="154"/>
      <c r="CV23" s="154"/>
      <c r="CW23" s="154"/>
      <c r="CX23" s="154"/>
      <c r="CY23" s="154"/>
      <c r="CZ23" s="154"/>
      <c r="DA23" s="154"/>
      <c r="DB23" s="154"/>
      <c r="DC23" s="154"/>
      <c r="DD23" s="154"/>
      <c r="DE23" s="154"/>
      <c r="DF23" s="154"/>
      <c r="DG23" s="154"/>
      <c r="DH23" s="154"/>
      <c r="DI23" s="154"/>
      <c r="DJ23" s="154"/>
      <c r="DK23" s="154"/>
      <c r="DL23" s="154"/>
      <c r="DM23" s="154"/>
      <c r="DN23" s="154"/>
      <c r="DO23" s="154"/>
      <c r="DP23" s="154"/>
      <c r="DQ23" s="154"/>
      <c r="DR23" s="154"/>
      <c r="DS23" s="154"/>
      <c r="DT23" s="154"/>
      <c r="DU23" s="154"/>
      <c r="DV23" s="154"/>
      <c r="DW23" s="154"/>
      <c r="DX23" s="154"/>
      <c r="DY23" s="154"/>
      <c r="DZ23" s="154"/>
      <c r="EA23" s="154"/>
      <c r="EB23" s="154"/>
      <c r="EC23" s="154"/>
      <c r="ED23" s="154"/>
      <c r="EE23" s="154"/>
      <c r="EF23" s="154"/>
      <c r="EG23" s="154"/>
      <c r="EH23" s="154"/>
      <c r="EI23" s="154"/>
      <c r="EJ23" s="154"/>
      <c r="EK23" s="154"/>
      <c r="EL23" s="154"/>
      <c r="EM23" s="154"/>
      <c r="EN23" s="154"/>
      <c r="EO23" s="154"/>
      <c r="EP23" s="154"/>
      <c r="EQ23" s="154"/>
      <c r="ER23" s="154"/>
      <c r="ES23" s="154"/>
      <c r="ET23" s="154"/>
      <c r="EU23" s="154"/>
      <c r="EV23" s="154"/>
      <c r="EW23" s="154"/>
      <c r="EX23" s="154"/>
      <c r="EY23" s="154"/>
      <c r="EZ23" s="154"/>
      <c r="FA23" s="154"/>
      <c r="FB23" s="154"/>
      <c r="FC23" s="154"/>
      <c r="FD23" s="154"/>
      <c r="FE23" s="154"/>
      <c r="FF23" s="154"/>
      <c r="FG23" s="154"/>
      <c r="FH23" s="154"/>
      <c r="FI23" s="154"/>
      <c r="FJ23" s="154"/>
      <c r="FK23" s="154"/>
      <c r="FL23" s="154"/>
      <c r="FM23" s="154"/>
      <c r="FN23" s="154"/>
      <c r="FO23" s="154"/>
      <c r="FP23" s="154"/>
      <c r="FQ23" s="154"/>
      <c r="FR23" s="154"/>
      <c r="FS23" s="154"/>
      <c r="FT23" s="154"/>
      <c r="FU23" s="154"/>
      <c r="FV23" s="154"/>
      <c r="FW23" s="154"/>
      <c r="FX23" s="154"/>
      <c r="FY23" s="154"/>
      <c r="FZ23" s="154"/>
      <c r="GA23" s="154"/>
      <c r="GB23" s="154"/>
      <c r="GC23" s="154"/>
      <c r="GD23" s="154"/>
      <c r="GE23" s="154"/>
      <c r="GF23" s="154"/>
      <c r="GG23" s="154"/>
      <c r="GH23" s="154"/>
      <c r="GI23" s="154"/>
      <c r="GJ23" s="154"/>
      <c r="GK23" s="154"/>
      <c r="GL23" s="154"/>
      <c r="GM23" s="154"/>
      <c r="GN23" s="154"/>
      <c r="GO23" s="154"/>
      <c r="GP23" s="154"/>
      <c r="GQ23" s="154"/>
      <c r="GR23" s="154"/>
      <c r="GS23" s="154"/>
      <c r="GT23" s="154"/>
      <c r="GU23" s="154"/>
      <c r="GV23" s="154"/>
      <c r="GW23" s="154"/>
      <c r="GX23" s="154"/>
      <c r="GY23" s="154"/>
      <c r="GZ23" s="154"/>
      <c r="HA23" s="154"/>
      <c r="HB23" s="154"/>
      <c r="HC23" s="154"/>
      <c r="HD23" s="154"/>
      <c r="HE23" s="154"/>
      <c r="HF23" s="154"/>
      <c r="HG23" s="154"/>
      <c r="HH23" s="154"/>
      <c r="HI23" s="154"/>
      <c r="HJ23" s="154"/>
      <c r="HK23" s="154"/>
      <c r="HL23" s="154"/>
      <c r="HM23" s="154"/>
      <c r="HN23" s="154"/>
      <c r="HO23" s="154"/>
      <c r="HP23" s="154"/>
      <c r="HQ23" s="154"/>
      <c r="HR23" s="154"/>
      <c r="HS23" s="154"/>
      <c r="HT23" s="154"/>
      <c r="HU23" s="154"/>
      <c r="HV23" s="154"/>
      <c r="HW23" s="154"/>
      <c r="HX23" s="154"/>
      <c r="HY23" s="154"/>
      <c r="HZ23" s="154"/>
      <c r="IA23" s="154"/>
      <c r="IB23" s="154"/>
      <c r="IC23" s="154"/>
      <c r="ID23" s="154"/>
      <c r="IE23" s="154"/>
      <c r="IF23" s="154"/>
      <c r="IG23" s="154"/>
      <c r="IH23" s="154"/>
      <c r="II23" s="154"/>
      <c r="IJ23" s="154"/>
      <c r="IK23" s="154"/>
      <c r="IL23" s="154"/>
      <c r="IM23" s="154"/>
      <c r="IN23" s="154"/>
      <c r="IO23" s="154"/>
      <c r="IP23" s="154"/>
      <c r="IQ23" s="154"/>
      <c r="IR23" s="154"/>
      <c r="IS23" s="154"/>
    </row>
    <row r="24" spans="1:253" s="147" customFormat="1" ht="45" customHeight="1" thickBot="1">
      <c r="A24" s="154"/>
      <c r="B24" s="154"/>
      <c r="C24" s="154"/>
      <c r="D24" s="959" t="s">
        <v>49</v>
      </c>
      <c r="E24" s="975"/>
      <c r="F24" s="975"/>
      <c r="G24" s="168" t="s">
        <v>136</v>
      </c>
      <c r="H24" s="168" t="s">
        <v>134</v>
      </c>
      <c r="I24" s="168" t="s">
        <v>135</v>
      </c>
      <c r="J24" s="168" t="s">
        <v>243</v>
      </c>
      <c r="K24" s="168" t="s">
        <v>244</v>
      </c>
      <c r="L24" s="168" t="s">
        <v>137</v>
      </c>
      <c r="M24" s="168" t="s">
        <v>138</v>
      </c>
      <c r="N24" s="168" t="s">
        <v>139</v>
      </c>
      <c r="O24" s="168" t="s">
        <v>239</v>
      </c>
      <c r="P24" s="168" t="s">
        <v>140</v>
      </c>
      <c r="Q24" s="168" t="s">
        <v>218</v>
      </c>
      <c r="R24" s="243" t="s">
        <v>141</v>
      </c>
      <c r="S24" s="244"/>
      <c r="T24" s="245" t="s">
        <v>142</v>
      </c>
      <c r="U24" s="246" t="s">
        <v>219</v>
      </c>
      <c r="V24" s="246" t="s">
        <v>143</v>
      </c>
      <c r="W24" s="247" t="s">
        <v>220</v>
      </c>
      <c r="X24" s="248" t="s">
        <v>144</v>
      </c>
      <c r="Y24" s="277" t="s">
        <v>221</v>
      </c>
      <c r="Z24" s="277" t="s">
        <v>143</v>
      </c>
      <c r="AA24" s="278" t="s">
        <v>222</v>
      </c>
      <c r="AB24" s="969"/>
      <c r="AC24" s="958"/>
      <c r="AD24" s="244"/>
      <c r="AE24" s="673" t="s">
        <v>145</v>
      </c>
      <c r="AF24" s="674" t="s">
        <v>224</v>
      </c>
      <c r="AG24" s="675" t="s">
        <v>143</v>
      </c>
      <c r="AH24" s="154"/>
      <c r="AI24" s="683" t="s">
        <v>146</v>
      </c>
      <c r="AJ24" s="684" t="s">
        <v>225</v>
      </c>
      <c r="AK24" s="684" t="s">
        <v>143</v>
      </c>
      <c r="AL24" s="684" t="s">
        <v>147</v>
      </c>
      <c r="AM24" s="684" t="s">
        <v>226</v>
      </c>
      <c r="AN24" s="684" t="s">
        <v>143</v>
      </c>
      <c r="AO24" s="684" t="s">
        <v>148</v>
      </c>
      <c r="AP24" s="684" t="s">
        <v>227</v>
      </c>
      <c r="AQ24" s="685" t="s">
        <v>143</v>
      </c>
      <c r="AR24" s="154"/>
      <c r="AS24" s="702" t="s">
        <v>228</v>
      </c>
      <c r="AT24" s="703" t="s">
        <v>229</v>
      </c>
      <c r="AU24" s="703" t="s">
        <v>143</v>
      </c>
      <c r="AV24" s="703" t="s">
        <v>230</v>
      </c>
      <c r="AW24" s="703" t="s">
        <v>231</v>
      </c>
      <c r="AX24" s="703" t="s">
        <v>143</v>
      </c>
      <c r="AY24" s="703" t="s">
        <v>149</v>
      </c>
      <c r="AZ24" s="703" t="s">
        <v>232</v>
      </c>
      <c r="BA24" s="704" t="s">
        <v>141</v>
      </c>
      <c r="BB24" s="154"/>
      <c r="BC24" s="715" t="s">
        <v>150</v>
      </c>
      <c r="BD24" s="716" t="s">
        <v>233</v>
      </c>
      <c r="BE24" s="717" t="s">
        <v>143</v>
      </c>
      <c r="BF24" s="154"/>
      <c r="BG24" s="724" t="s">
        <v>151</v>
      </c>
      <c r="BH24" s="725" t="s">
        <v>234</v>
      </c>
      <c r="BI24" s="725" t="s">
        <v>143</v>
      </c>
      <c r="BJ24" s="725" t="s">
        <v>152</v>
      </c>
      <c r="BK24" s="725" t="s">
        <v>235</v>
      </c>
      <c r="BL24" s="725" t="s">
        <v>143</v>
      </c>
      <c r="BM24" s="725" t="s">
        <v>153</v>
      </c>
      <c r="BN24" s="725" t="s">
        <v>236</v>
      </c>
      <c r="BO24" s="726" t="s">
        <v>141</v>
      </c>
      <c r="BP24" s="155"/>
      <c r="BQ24" s="751" t="s">
        <v>154</v>
      </c>
      <c r="BR24" s="752" t="s">
        <v>237</v>
      </c>
      <c r="BS24" s="753" t="s">
        <v>143</v>
      </c>
      <c r="BT24" s="154"/>
      <c r="BU24" s="154"/>
      <c r="BV24" s="154"/>
      <c r="BW24" s="154"/>
      <c r="BX24" s="154"/>
      <c r="BY24" s="154"/>
      <c r="BZ24" s="154"/>
      <c r="CA24" s="154"/>
      <c r="CB24" s="154"/>
      <c r="CC24" s="154"/>
      <c r="CD24" s="154"/>
      <c r="CE24" s="154"/>
      <c r="CF24" s="154"/>
      <c r="CG24" s="154"/>
      <c r="CH24" s="154"/>
      <c r="CI24" s="154"/>
      <c r="CJ24" s="154"/>
      <c r="CK24" s="154"/>
      <c r="CL24" s="154"/>
      <c r="CM24" s="154"/>
      <c r="CN24" s="154"/>
      <c r="CO24" s="154"/>
      <c r="CP24" s="154"/>
      <c r="CQ24" s="154"/>
      <c r="CR24" s="154"/>
      <c r="CS24" s="154"/>
      <c r="CT24" s="154"/>
      <c r="CU24" s="154"/>
      <c r="CV24" s="154"/>
      <c r="CW24" s="154"/>
      <c r="CX24" s="154"/>
      <c r="CY24" s="154"/>
      <c r="CZ24" s="154"/>
      <c r="DA24" s="154"/>
      <c r="DB24" s="154"/>
      <c r="DC24" s="154"/>
      <c r="DD24" s="154"/>
      <c r="DE24" s="154"/>
      <c r="DF24" s="154"/>
      <c r="DG24" s="154"/>
      <c r="DH24" s="154"/>
      <c r="DI24" s="154"/>
      <c r="DJ24" s="154"/>
      <c r="DK24" s="154"/>
      <c r="DL24" s="154"/>
      <c r="DM24" s="154"/>
      <c r="DN24" s="154"/>
      <c r="DO24" s="154"/>
      <c r="DP24" s="154"/>
      <c r="DQ24" s="154"/>
      <c r="DR24" s="154"/>
      <c r="DS24" s="154"/>
      <c r="DT24" s="154"/>
      <c r="DU24" s="154"/>
      <c r="DV24" s="154"/>
      <c r="DW24" s="154"/>
      <c r="DX24" s="154"/>
      <c r="DY24" s="154"/>
      <c r="DZ24" s="154"/>
      <c r="EA24" s="154"/>
      <c r="EB24" s="154"/>
      <c r="EC24" s="154"/>
      <c r="ED24" s="154"/>
      <c r="EE24" s="154"/>
      <c r="EF24" s="154"/>
      <c r="EG24" s="154"/>
      <c r="EH24" s="154"/>
      <c r="EI24" s="154"/>
      <c r="EJ24" s="154"/>
      <c r="EK24" s="154"/>
      <c r="EL24" s="154"/>
      <c r="EM24" s="154"/>
      <c r="EN24" s="154"/>
      <c r="EO24" s="154"/>
      <c r="EP24" s="154"/>
      <c r="EQ24" s="154"/>
      <c r="ER24" s="154"/>
      <c r="ES24" s="154"/>
      <c r="ET24" s="154"/>
      <c r="EU24" s="154"/>
      <c r="EV24" s="154"/>
      <c r="EW24" s="154"/>
      <c r="EX24" s="154"/>
      <c r="EY24" s="154"/>
      <c r="EZ24" s="154"/>
      <c r="FA24" s="154"/>
      <c r="FB24" s="154"/>
      <c r="FC24" s="154"/>
      <c r="FD24" s="154"/>
      <c r="FE24" s="154"/>
      <c r="FF24" s="154"/>
      <c r="FG24" s="154"/>
      <c r="FH24" s="154"/>
      <c r="FI24" s="154"/>
      <c r="FJ24" s="154"/>
      <c r="FK24" s="154"/>
      <c r="FL24" s="154"/>
      <c r="FM24" s="154"/>
      <c r="FN24" s="154"/>
      <c r="FO24" s="154"/>
      <c r="FP24" s="154"/>
      <c r="FQ24" s="154"/>
      <c r="FR24" s="154"/>
      <c r="FS24" s="154"/>
      <c r="FT24" s="154"/>
      <c r="FU24" s="154"/>
      <c r="FV24" s="154"/>
      <c r="FW24" s="154"/>
      <c r="FX24" s="154"/>
      <c r="FY24" s="154"/>
      <c r="FZ24" s="154"/>
      <c r="GA24" s="154"/>
      <c r="GB24" s="154"/>
      <c r="GC24" s="154"/>
      <c r="GD24" s="154"/>
      <c r="GE24" s="154"/>
      <c r="GF24" s="154"/>
      <c r="GG24" s="154"/>
      <c r="GH24" s="154"/>
      <c r="GI24" s="154"/>
      <c r="GJ24" s="154"/>
      <c r="GK24" s="154"/>
      <c r="GL24" s="154"/>
      <c r="GM24" s="154"/>
      <c r="GN24" s="154"/>
      <c r="GO24" s="154"/>
      <c r="GP24" s="154"/>
      <c r="GQ24" s="154"/>
      <c r="GR24" s="154"/>
      <c r="GS24" s="154"/>
      <c r="GT24" s="154"/>
      <c r="GU24" s="154"/>
      <c r="GV24" s="154"/>
      <c r="GW24" s="154"/>
      <c r="GX24" s="154"/>
      <c r="GY24" s="154"/>
      <c r="GZ24" s="154"/>
      <c r="HA24" s="154"/>
      <c r="HB24" s="154"/>
      <c r="HC24" s="154"/>
      <c r="HD24" s="154"/>
      <c r="HE24" s="154"/>
      <c r="HF24" s="154"/>
      <c r="HG24" s="154"/>
      <c r="HH24" s="154"/>
      <c r="HI24" s="154"/>
      <c r="HJ24" s="154"/>
      <c r="HK24" s="154"/>
      <c r="HL24" s="154"/>
      <c r="HM24" s="154"/>
      <c r="HN24" s="154"/>
      <c r="HO24" s="154"/>
      <c r="HP24" s="154"/>
      <c r="HQ24" s="154"/>
      <c r="HR24" s="154"/>
      <c r="HS24" s="154"/>
      <c r="HT24" s="154"/>
      <c r="HU24" s="154"/>
      <c r="HV24" s="154"/>
      <c r="HW24" s="154"/>
      <c r="HX24" s="154"/>
      <c r="HY24" s="154"/>
      <c r="HZ24" s="154"/>
      <c r="IA24" s="154"/>
      <c r="IB24" s="154"/>
      <c r="IC24" s="154"/>
      <c r="ID24" s="154"/>
      <c r="IE24" s="154"/>
      <c r="IF24" s="154"/>
      <c r="IG24" s="154"/>
      <c r="IH24" s="154"/>
      <c r="II24" s="154"/>
      <c r="IJ24" s="154"/>
      <c r="IK24" s="154"/>
      <c r="IL24" s="154"/>
      <c r="IM24" s="154"/>
      <c r="IN24" s="154"/>
    </row>
    <row r="25" spans="1:253" s="149" customFormat="1" ht="14.25" customHeight="1">
      <c r="A25" s="154"/>
      <c r="B25" s="154"/>
      <c r="C25" s="154"/>
      <c r="D25" s="169">
        <v>1</v>
      </c>
      <c r="E25" s="973" t="s">
        <v>159</v>
      </c>
      <c r="F25" s="973"/>
      <c r="G25" s="170">
        <v>48302.5</v>
      </c>
      <c r="H25" s="171">
        <f>G25/$G$56</f>
        <v>1.9649635916380099E-2</v>
      </c>
      <c r="I25" s="202">
        <f>G$15*H25</f>
        <v>53751.021982079532</v>
      </c>
      <c r="J25" s="178" t="s">
        <v>159</v>
      </c>
      <c r="K25" s="203">
        <f>LS_RPRO!B6+MANUAL!B6+OUTSALE!B6</f>
        <v>173242.34999999998</v>
      </c>
      <c r="L25" s="204">
        <f>K25-I25</f>
        <v>119491.32801792044</v>
      </c>
      <c r="M25" s="205">
        <f>K25/G15</f>
        <v>6.3331802396855388E-2</v>
      </c>
      <c r="N25" s="206">
        <f>L25</f>
        <v>119491.32801792044</v>
      </c>
      <c r="O25" s="207">
        <v>167</v>
      </c>
      <c r="P25" s="170">
        <v>0</v>
      </c>
      <c r="Q25" s="203">
        <f>LS_RPRO!C6+MANUAL!C6+OUTSALE!C6</f>
        <v>0</v>
      </c>
      <c r="R25" s="249" t="e">
        <f>(Q25-P25)/P25</f>
        <v>#DIV/0!</v>
      </c>
      <c r="S25" s="250"/>
      <c r="T25" s="251">
        <v>6010.5</v>
      </c>
      <c r="U25" s="663">
        <v>21842.5</v>
      </c>
      <c r="V25" s="252">
        <f t="shared" ref="V25:V56" si="0">(U25-T25)/T25</f>
        <v>2.6340570667997669</v>
      </c>
      <c r="W25" s="664"/>
      <c r="X25" s="253">
        <v>48145</v>
      </c>
      <c r="Y25" s="666">
        <v>66074</v>
      </c>
      <c r="Z25" s="279">
        <f t="shared" ref="Z25:Z56" si="1">(Y25-X25)/X25</f>
        <v>0.37239588742340846</v>
      </c>
      <c r="AA25" s="664">
        <v>21128.422219999935</v>
      </c>
      <c r="AB25" s="667">
        <f t="shared" ref="AB25:AB55" si="2">W25+AA25</f>
        <v>21128.422219999935</v>
      </c>
      <c r="AC25" s="668">
        <f>AB25/$M$15</f>
        <v>2.2841537535135063E-2</v>
      </c>
      <c r="AD25" s="280"/>
      <c r="AE25" s="676">
        <v>20581</v>
      </c>
      <c r="AF25" s="677">
        <f>LS_RPRO!O6+MANUAL!M6+OUTSALE!M6</f>
        <v>137805.35</v>
      </c>
      <c r="AG25" s="678">
        <f>(AF25-AE25)/AE25</f>
        <v>5.6957557941790977</v>
      </c>
      <c r="AH25" s="154"/>
      <c r="AI25" s="686">
        <v>225</v>
      </c>
      <c r="AJ25" s="687">
        <f>LS_RPRO!M6</f>
        <v>359</v>
      </c>
      <c r="AK25" s="688">
        <f t="shared" ref="AK25:AK56" si="3">AJ25/AI25-1</f>
        <v>0.59555555555555562</v>
      </c>
      <c r="AL25" s="689">
        <v>34</v>
      </c>
      <c r="AM25" s="690">
        <f>LS_RPRO!H6+MANUAL!H6+OUTSALE!H6</f>
        <v>0</v>
      </c>
      <c r="AN25" s="688">
        <f t="shared" ref="AN25:AN56" si="4">AM25/AL25-1</f>
        <v>-1</v>
      </c>
      <c r="AO25" s="688">
        <f t="shared" ref="AO25:AP56" si="5">AL25/AI25</f>
        <v>0.15111111111111111</v>
      </c>
      <c r="AP25" s="688">
        <f t="shared" si="5"/>
        <v>0</v>
      </c>
      <c r="AQ25" s="691">
        <f t="shared" ref="AQ25:AQ56" si="6">AP25-AO25</f>
        <v>-0.15111111111111111</v>
      </c>
      <c r="AR25" s="154"/>
      <c r="AS25" s="705">
        <v>0</v>
      </c>
      <c r="AT25" s="687">
        <f>LS_RPRO!K6</f>
        <v>0</v>
      </c>
      <c r="AU25" s="688" t="e">
        <f>(AT25-AS25)/AS25</f>
        <v>#DIV/0!</v>
      </c>
      <c r="AV25" s="689">
        <v>1</v>
      </c>
      <c r="AW25" s="706">
        <f>LS_RPRO!L6</f>
        <v>0</v>
      </c>
      <c r="AX25" s="688">
        <f>(AW25-AV25)/AV25</f>
        <v>-1</v>
      </c>
      <c r="AY25" s="707">
        <f>AS25+AV25</f>
        <v>1</v>
      </c>
      <c r="AZ25" s="708">
        <f>AT25+AW25</f>
        <v>0</v>
      </c>
      <c r="BA25" s="691">
        <f>(AZ25-AY25)/AY25</f>
        <v>-1</v>
      </c>
      <c r="BB25" s="154"/>
      <c r="BC25" s="718"/>
      <c r="BD25" s="719">
        <v>0</v>
      </c>
      <c r="BE25" s="691" t="e">
        <f>(BD25-BC25)/BC25</f>
        <v>#DIV/0!</v>
      </c>
      <c r="BF25" s="154"/>
      <c r="BG25" s="727"/>
      <c r="BH25" s="728"/>
      <c r="BI25" s="729" t="e">
        <f>(BH25-BG25)/BG25</f>
        <v>#DIV/0!</v>
      </c>
      <c r="BJ25" s="730"/>
      <c r="BK25" s="731"/>
      <c r="BL25" s="732" t="e">
        <f>(BK25-BJ25)/BJ25</f>
        <v>#DIV/0!</v>
      </c>
      <c r="BM25" s="729" t="e">
        <f>BJ25/BG25</f>
        <v>#DIV/0!</v>
      </c>
      <c r="BN25" s="733" t="e">
        <f>BK25/BH25</f>
        <v>#DIV/0!</v>
      </c>
      <c r="BO25" s="734" t="e">
        <f>BN25-BM25</f>
        <v>#DIV/0!</v>
      </c>
      <c r="BP25" s="154"/>
      <c r="BQ25" s="718">
        <v>7</v>
      </c>
      <c r="BR25" s="719">
        <v>11</v>
      </c>
      <c r="BS25" s="691">
        <f>(BR25-BQ25)/BQ25</f>
        <v>0.5714285714285714</v>
      </c>
      <c r="BT25" s="154"/>
      <c r="BU25" s="154"/>
      <c r="BV25" s="154"/>
      <c r="BW25" s="154"/>
      <c r="BX25" s="154"/>
      <c r="BY25" s="154"/>
      <c r="BZ25" s="154"/>
      <c r="CA25" s="154"/>
      <c r="CB25" s="154"/>
      <c r="CC25" s="154"/>
      <c r="CD25" s="154"/>
      <c r="CE25" s="154"/>
      <c r="CF25" s="154"/>
      <c r="CG25" s="154"/>
      <c r="CH25" s="154"/>
      <c r="CI25" s="154"/>
      <c r="CJ25" s="154"/>
      <c r="CK25" s="154"/>
      <c r="CL25" s="154"/>
      <c r="CM25" s="154"/>
      <c r="CN25" s="154"/>
      <c r="CO25" s="154"/>
      <c r="CP25" s="154"/>
      <c r="CQ25" s="154"/>
      <c r="CR25" s="154"/>
      <c r="CS25" s="154"/>
      <c r="CT25" s="154"/>
      <c r="CU25" s="154"/>
      <c r="CV25" s="154"/>
      <c r="CW25" s="154"/>
      <c r="CX25" s="154"/>
      <c r="CY25" s="154"/>
      <c r="CZ25" s="154"/>
      <c r="DA25" s="154"/>
      <c r="DB25" s="154"/>
      <c r="DC25" s="154"/>
      <c r="DD25" s="154"/>
      <c r="DE25" s="154"/>
      <c r="DF25" s="154"/>
      <c r="DG25" s="154"/>
      <c r="DH25" s="154"/>
      <c r="DI25" s="154"/>
      <c r="DJ25" s="154"/>
      <c r="DK25" s="154"/>
      <c r="DL25" s="154"/>
      <c r="DM25" s="154"/>
      <c r="DN25" s="154"/>
      <c r="DO25" s="154"/>
      <c r="DP25" s="154"/>
      <c r="DQ25" s="154"/>
      <c r="DR25" s="154"/>
      <c r="DS25" s="154"/>
      <c r="DT25" s="154"/>
      <c r="DU25" s="154"/>
      <c r="DV25" s="154"/>
      <c r="DW25" s="154"/>
      <c r="DX25" s="154"/>
      <c r="DY25" s="154"/>
      <c r="DZ25" s="154"/>
      <c r="EA25" s="154"/>
      <c r="EB25" s="154"/>
      <c r="EC25" s="154"/>
      <c r="ED25" s="154"/>
      <c r="EE25" s="154"/>
      <c r="EF25" s="154"/>
      <c r="EG25" s="154"/>
      <c r="EH25" s="154"/>
      <c r="EI25" s="154"/>
      <c r="EJ25" s="154"/>
      <c r="EK25" s="154"/>
      <c r="EL25" s="154"/>
      <c r="EM25" s="154"/>
      <c r="EN25" s="154"/>
      <c r="EO25" s="154"/>
      <c r="EP25" s="154"/>
      <c r="EQ25" s="154"/>
      <c r="ER25" s="154"/>
      <c r="ES25" s="154"/>
      <c r="ET25" s="154"/>
      <c r="EU25" s="154"/>
      <c r="EV25" s="154"/>
      <c r="EW25" s="154"/>
      <c r="EX25" s="154"/>
      <c r="EY25" s="154"/>
      <c r="EZ25" s="154"/>
      <c r="FA25" s="154"/>
      <c r="FB25" s="154"/>
      <c r="FC25" s="154"/>
      <c r="FD25" s="154"/>
      <c r="FE25" s="154"/>
      <c r="FF25" s="154"/>
      <c r="FG25" s="154"/>
      <c r="FH25" s="154"/>
      <c r="FI25" s="154"/>
      <c r="FJ25" s="154"/>
      <c r="FK25" s="154"/>
      <c r="FL25" s="154"/>
      <c r="FM25" s="154"/>
      <c r="FN25" s="154"/>
      <c r="FO25" s="154"/>
      <c r="FP25" s="154"/>
      <c r="FQ25" s="154"/>
      <c r="FR25" s="154"/>
      <c r="FS25" s="154"/>
      <c r="FT25" s="154"/>
      <c r="FU25" s="154"/>
      <c r="FV25" s="154"/>
      <c r="FW25" s="154"/>
      <c r="FX25" s="154"/>
      <c r="FY25" s="154"/>
      <c r="FZ25" s="154"/>
      <c r="GA25" s="154"/>
      <c r="GB25" s="154"/>
      <c r="GC25" s="154"/>
      <c r="GD25" s="154"/>
      <c r="GE25" s="154"/>
      <c r="GF25" s="154"/>
      <c r="GG25" s="154"/>
      <c r="GH25" s="154"/>
      <c r="GI25" s="154"/>
      <c r="GJ25" s="154"/>
      <c r="GK25" s="154"/>
      <c r="GL25" s="154"/>
      <c r="GM25" s="154"/>
      <c r="GN25" s="154"/>
      <c r="GO25" s="154"/>
      <c r="GP25" s="154"/>
      <c r="GQ25" s="154"/>
      <c r="GR25" s="154"/>
      <c r="GS25" s="154"/>
      <c r="GT25" s="154"/>
      <c r="GU25" s="154"/>
      <c r="GV25" s="154"/>
      <c r="GW25" s="154"/>
      <c r="GX25" s="154"/>
      <c r="GY25" s="154"/>
      <c r="GZ25" s="154"/>
      <c r="HA25" s="154"/>
      <c r="HB25" s="154"/>
      <c r="HC25" s="154"/>
      <c r="HD25" s="154"/>
      <c r="HE25" s="154"/>
      <c r="HF25" s="154"/>
      <c r="HG25" s="154"/>
      <c r="HH25" s="154"/>
      <c r="HI25" s="154"/>
      <c r="HJ25" s="154"/>
      <c r="HK25" s="154"/>
      <c r="HL25" s="154"/>
      <c r="HM25" s="154"/>
      <c r="HN25" s="154"/>
      <c r="HO25" s="154"/>
      <c r="HP25" s="154"/>
      <c r="HQ25" s="154"/>
      <c r="HR25" s="154"/>
      <c r="HS25" s="154"/>
      <c r="HT25" s="154"/>
      <c r="HU25" s="154"/>
      <c r="HV25" s="154"/>
      <c r="HW25" s="154"/>
      <c r="HX25" s="154"/>
      <c r="HY25" s="154"/>
      <c r="HZ25" s="154"/>
      <c r="IA25" s="154"/>
      <c r="IB25" s="154"/>
      <c r="IC25" s="154"/>
      <c r="ID25" s="154"/>
      <c r="IE25" s="154"/>
      <c r="IF25" s="154"/>
      <c r="IG25" s="154"/>
      <c r="IH25" s="154"/>
      <c r="II25" s="154"/>
      <c r="IJ25" s="154"/>
      <c r="IK25" s="154"/>
      <c r="IL25" s="154"/>
      <c r="IM25" s="154"/>
      <c r="IN25" s="154"/>
    </row>
    <row r="26" spans="1:253" s="149" customFormat="1" ht="14.25" customHeight="1">
      <c r="A26" s="154"/>
      <c r="B26" s="154"/>
      <c r="C26" s="154"/>
      <c r="D26" s="172">
        <v>2</v>
      </c>
      <c r="E26" s="973" t="s">
        <v>160</v>
      </c>
      <c r="F26" s="973"/>
      <c r="G26" s="170">
        <v>85025.5</v>
      </c>
      <c r="H26" s="171">
        <f t="shared" ref="H26:H55" si="7">G26/$G$56</f>
        <v>3.4588688341352439E-2</v>
      </c>
      <c r="I26" s="208">
        <f t="shared" ref="I26:I55" si="8">G$15*H26</f>
        <v>94616.376368455109</v>
      </c>
      <c r="J26" s="178" t="s">
        <v>160</v>
      </c>
      <c r="K26" s="209">
        <f>LS_RPRO!B7+MANUAL!B7+OUTSALE!B7</f>
        <v>208772.5</v>
      </c>
      <c r="L26" s="210">
        <f>K26-I26</f>
        <v>114156.12363154489</v>
      </c>
      <c r="M26" s="211">
        <f>K26/G15</f>
        <v>7.6320476580336707E-2</v>
      </c>
      <c r="N26" s="212">
        <f>N25+L26</f>
        <v>233647.45164946534</v>
      </c>
      <c r="O26" s="207">
        <v>96</v>
      </c>
      <c r="P26" s="170">
        <v>318.75</v>
      </c>
      <c r="Q26" s="203">
        <f>LS_RPRO!C7+MANUAL!C7+OUTSALE!C7</f>
        <v>169.8</v>
      </c>
      <c r="R26" s="254">
        <f t="shared" ref="R26:R56" si="9">(Q26-P26)/P26</f>
        <v>-0.4672941176470588</v>
      </c>
      <c r="S26" s="250"/>
      <c r="T26" s="251">
        <v>14322</v>
      </c>
      <c r="U26" s="663">
        <v>20286.75</v>
      </c>
      <c r="V26" s="255">
        <f t="shared" si="0"/>
        <v>0.41647465437788017</v>
      </c>
      <c r="W26" s="664"/>
      <c r="X26" s="253">
        <v>27467</v>
      </c>
      <c r="Y26" s="666">
        <v>49502.999999999993</v>
      </c>
      <c r="Z26" s="279">
        <f t="shared" si="1"/>
        <v>0.80227181708959816</v>
      </c>
      <c r="AA26" s="664">
        <v>17394.700059999981</v>
      </c>
      <c r="AB26" s="667">
        <f t="shared" si="2"/>
        <v>17394.700059999981</v>
      </c>
      <c r="AC26" s="668">
        <f t="shared" ref="AC26:AC55" si="10">AB26/$M$15</f>
        <v>1.8805081145945927E-2</v>
      </c>
      <c r="AD26" s="280"/>
      <c r="AE26" s="676">
        <v>25166.25</v>
      </c>
      <c r="AF26" s="677">
        <f>LS_RPRO!O7+MANUAL!M7+OUTSALE!M7</f>
        <v>171801.75</v>
      </c>
      <c r="AG26" s="678">
        <f t="shared" ref="AG26:AG56" si="11">(AF26-AE26)/AE26</f>
        <v>5.8266726270302485</v>
      </c>
      <c r="AH26" s="154"/>
      <c r="AI26" s="686">
        <v>158</v>
      </c>
      <c r="AJ26" s="687">
        <f>LS_RPRO!M7</f>
        <v>446</v>
      </c>
      <c r="AK26" s="688">
        <f t="shared" si="3"/>
        <v>1.8227848101265822</v>
      </c>
      <c r="AL26" s="689">
        <v>23</v>
      </c>
      <c r="AM26" s="690">
        <f>LS_RPRO!H7+MANUAL!H7+OUTSALE!H7</f>
        <v>101</v>
      </c>
      <c r="AN26" s="688">
        <f t="shared" si="4"/>
        <v>3.3913043478260869</v>
      </c>
      <c r="AO26" s="688">
        <f t="shared" si="5"/>
        <v>0.14556962025316456</v>
      </c>
      <c r="AP26" s="688">
        <f t="shared" si="5"/>
        <v>0.226457399103139</v>
      </c>
      <c r="AQ26" s="691">
        <f t="shared" si="6"/>
        <v>8.0887778849974445E-2</v>
      </c>
      <c r="AR26" s="154"/>
      <c r="AS26" s="705">
        <v>0</v>
      </c>
      <c r="AT26" s="687">
        <f>LS_RPRO!K7</f>
        <v>0</v>
      </c>
      <c r="AU26" s="688" t="e">
        <f t="shared" ref="AU26:AU56" si="12">(AT26-AS26)/AS26</f>
        <v>#DIV/0!</v>
      </c>
      <c r="AV26" s="689">
        <v>0</v>
      </c>
      <c r="AW26" s="706">
        <f>LS_RPRO!L7</f>
        <v>2</v>
      </c>
      <c r="AX26" s="688" t="e">
        <f t="shared" ref="AX26:AX56" si="13">(AW26-AV26)/AV26</f>
        <v>#DIV/0!</v>
      </c>
      <c r="AY26" s="707">
        <f>AS26+AV26</f>
        <v>0</v>
      </c>
      <c r="AZ26" s="708">
        <f>AT26+AW26</f>
        <v>2</v>
      </c>
      <c r="BA26" s="691" t="e">
        <f t="shared" ref="BA26:BA56" si="14">(AZ26-AY26)/AY26</f>
        <v>#DIV/0!</v>
      </c>
      <c r="BB26" s="154"/>
      <c r="BC26" s="718"/>
      <c r="BD26" s="719">
        <v>0</v>
      </c>
      <c r="BE26" s="691" t="e">
        <f t="shared" ref="BE26:BE56" si="15">(BD26-BC26)/BC26</f>
        <v>#DIV/0!</v>
      </c>
      <c r="BF26" s="154"/>
      <c r="BG26" s="727"/>
      <c r="BH26" s="728"/>
      <c r="BI26" s="735" t="e">
        <f t="shared" ref="BI26:BI56" si="16">(BH26-BG26)/BG26</f>
        <v>#DIV/0!</v>
      </c>
      <c r="BJ26" s="730"/>
      <c r="BK26" s="731"/>
      <c r="BL26" s="732" t="e">
        <f t="shared" ref="BL26:BL56" si="17">(BK26-BJ26)/BJ26</f>
        <v>#DIV/0!</v>
      </c>
      <c r="BM26" s="729" t="e">
        <f t="shared" ref="BM26:BN55" si="18">BJ26/BG26</f>
        <v>#DIV/0!</v>
      </c>
      <c r="BN26" s="733" t="e">
        <f t="shared" si="18"/>
        <v>#DIV/0!</v>
      </c>
      <c r="BO26" s="734" t="e">
        <f t="shared" ref="BO26:BO56" si="19">BN26-BM26</f>
        <v>#DIV/0!</v>
      </c>
      <c r="BP26" s="154"/>
      <c r="BQ26" s="718">
        <v>2</v>
      </c>
      <c r="BR26" s="719">
        <v>10</v>
      </c>
      <c r="BS26" s="691">
        <f t="shared" ref="BS26:BS56" si="20">(BR26-BQ26)/BQ26</f>
        <v>4</v>
      </c>
      <c r="BT26" s="154"/>
      <c r="BU26" s="154"/>
      <c r="BV26" s="154"/>
      <c r="BW26" s="154"/>
      <c r="BX26" s="154"/>
      <c r="BY26" s="154"/>
      <c r="BZ26" s="154"/>
      <c r="CA26" s="154"/>
      <c r="CB26" s="154"/>
      <c r="CC26" s="154"/>
      <c r="CD26" s="154"/>
      <c r="CE26" s="154"/>
      <c r="CF26" s="154"/>
      <c r="CG26" s="154"/>
      <c r="CH26" s="154"/>
      <c r="CI26" s="154"/>
      <c r="CJ26" s="154"/>
      <c r="CK26" s="154"/>
      <c r="CL26" s="154"/>
      <c r="CM26" s="154"/>
      <c r="CN26" s="154"/>
      <c r="CO26" s="154"/>
      <c r="CP26" s="154"/>
      <c r="CQ26" s="154"/>
      <c r="CR26" s="154"/>
      <c r="CS26" s="154"/>
      <c r="CT26" s="154"/>
      <c r="CU26" s="154"/>
      <c r="CV26" s="154"/>
      <c r="CW26" s="154"/>
      <c r="CX26" s="154"/>
      <c r="CY26" s="154"/>
      <c r="CZ26" s="154"/>
      <c r="DA26" s="154"/>
      <c r="DB26" s="154"/>
      <c r="DC26" s="154"/>
      <c r="DD26" s="154"/>
      <c r="DE26" s="154"/>
      <c r="DF26" s="154"/>
      <c r="DG26" s="154"/>
      <c r="DH26" s="154"/>
      <c r="DI26" s="154"/>
      <c r="DJ26" s="154"/>
      <c r="DK26" s="154"/>
      <c r="DL26" s="154"/>
      <c r="DM26" s="154"/>
      <c r="DN26" s="154"/>
      <c r="DO26" s="154"/>
      <c r="DP26" s="154"/>
      <c r="DQ26" s="154"/>
      <c r="DR26" s="154"/>
      <c r="DS26" s="154"/>
      <c r="DT26" s="154"/>
      <c r="DU26" s="154"/>
      <c r="DV26" s="154"/>
      <c r="DW26" s="154"/>
      <c r="DX26" s="154"/>
      <c r="DY26" s="154"/>
      <c r="DZ26" s="154"/>
      <c r="EA26" s="154"/>
      <c r="EB26" s="154"/>
      <c r="EC26" s="154"/>
      <c r="ED26" s="154"/>
      <c r="EE26" s="154"/>
      <c r="EF26" s="154"/>
      <c r="EG26" s="154"/>
      <c r="EH26" s="154"/>
      <c r="EI26" s="154"/>
      <c r="EJ26" s="154"/>
      <c r="EK26" s="154"/>
      <c r="EL26" s="154"/>
      <c r="EM26" s="154"/>
      <c r="EN26" s="154"/>
      <c r="EO26" s="154"/>
      <c r="EP26" s="154"/>
      <c r="EQ26" s="154"/>
      <c r="ER26" s="154"/>
      <c r="ES26" s="154"/>
      <c r="ET26" s="154"/>
      <c r="EU26" s="154"/>
      <c r="EV26" s="154"/>
      <c r="EW26" s="154"/>
      <c r="EX26" s="154"/>
      <c r="EY26" s="154"/>
      <c r="EZ26" s="154"/>
      <c r="FA26" s="154"/>
      <c r="FB26" s="154"/>
      <c r="FC26" s="154"/>
      <c r="FD26" s="154"/>
      <c r="FE26" s="154"/>
      <c r="FF26" s="154"/>
      <c r="FG26" s="154"/>
      <c r="FH26" s="154"/>
      <c r="FI26" s="154"/>
      <c r="FJ26" s="154"/>
      <c r="FK26" s="154"/>
      <c r="FL26" s="154"/>
      <c r="FM26" s="154"/>
      <c r="FN26" s="154"/>
      <c r="FO26" s="154"/>
      <c r="FP26" s="154"/>
      <c r="FQ26" s="154"/>
      <c r="FR26" s="154"/>
      <c r="FS26" s="154"/>
      <c r="FT26" s="154"/>
      <c r="FU26" s="154"/>
      <c r="FV26" s="154"/>
      <c r="FW26" s="154"/>
      <c r="FX26" s="154"/>
      <c r="FY26" s="154"/>
      <c r="FZ26" s="154"/>
      <c r="GA26" s="154"/>
      <c r="GB26" s="154"/>
      <c r="GC26" s="154"/>
      <c r="GD26" s="154"/>
      <c r="GE26" s="154"/>
      <c r="GF26" s="154"/>
      <c r="GG26" s="154"/>
      <c r="GH26" s="154"/>
      <c r="GI26" s="154"/>
      <c r="GJ26" s="154"/>
      <c r="GK26" s="154"/>
      <c r="GL26" s="154"/>
      <c r="GM26" s="154"/>
      <c r="GN26" s="154"/>
      <c r="GO26" s="154"/>
      <c r="GP26" s="154"/>
      <c r="GQ26" s="154"/>
      <c r="GR26" s="154"/>
      <c r="GS26" s="154"/>
      <c r="GT26" s="154"/>
      <c r="GU26" s="154"/>
      <c r="GV26" s="154"/>
      <c r="GW26" s="154"/>
      <c r="GX26" s="154"/>
      <c r="GY26" s="154"/>
      <c r="GZ26" s="154"/>
      <c r="HA26" s="154"/>
      <c r="HB26" s="154"/>
      <c r="HC26" s="154"/>
      <c r="HD26" s="154"/>
      <c r="HE26" s="154"/>
      <c r="HF26" s="154"/>
      <c r="HG26" s="154"/>
      <c r="HH26" s="154"/>
      <c r="HI26" s="154"/>
      <c r="HJ26" s="154"/>
      <c r="HK26" s="154"/>
      <c r="HL26" s="154"/>
      <c r="HM26" s="154"/>
      <c r="HN26" s="154"/>
      <c r="HO26" s="154"/>
      <c r="HP26" s="154"/>
      <c r="HQ26" s="154"/>
      <c r="HR26" s="154"/>
      <c r="HS26" s="154"/>
      <c r="HT26" s="154"/>
      <c r="HU26" s="154"/>
      <c r="HV26" s="154"/>
      <c r="HW26" s="154"/>
      <c r="HX26" s="154"/>
      <c r="HY26" s="154"/>
      <c r="HZ26" s="154"/>
      <c r="IA26" s="154"/>
      <c r="IB26" s="154"/>
      <c r="IC26" s="154"/>
      <c r="ID26" s="154"/>
      <c r="IE26" s="154"/>
      <c r="IF26" s="154"/>
      <c r="IG26" s="154"/>
      <c r="IH26" s="154"/>
      <c r="II26" s="154"/>
      <c r="IJ26" s="154"/>
      <c r="IK26" s="154"/>
      <c r="IL26" s="154"/>
      <c r="IM26" s="154"/>
      <c r="IN26" s="154"/>
    </row>
    <row r="27" spans="1:253" s="149" customFormat="1" ht="14.25" customHeight="1">
      <c r="A27" s="154"/>
      <c r="B27" s="154"/>
      <c r="C27" s="154"/>
      <c r="D27" s="172">
        <v>3</v>
      </c>
      <c r="E27" s="973" t="s">
        <v>161</v>
      </c>
      <c r="F27" s="973"/>
      <c r="G27" s="170">
        <v>76585</v>
      </c>
      <c r="H27" s="171">
        <f t="shared" si="7"/>
        <v>3.115506167705543E-2</v>
      </c>
      <c r="I27" s="208">
        <f t="shared" si="8"/>
        <v>85223.787971586586</v>
      </c>
      <c r="J27" s="178" t="s">
        <v>161</v>
      </c>
      <c r="K27" s="209">
        <f>LS_RPRO!B8+MANUAL!B8+OUTSALE!B8</f>
        <v>355795.97</v>
      </c>
      <c r="L27" s="210">
        <f t="shared" ref="L27:L55" si="21">K27-I27</f>
        <v>270572.1820284134</v>
      </c>
      <c r="M27" s="211">
        <f>K27/G15</f>
        <v>0.13006750408106038</v>
      </c>
      <c r="N27" s="212">
        <f t="shared" ref="N27:N55" si="22">N26+L27</f>
        <v>504219.63367787877</v>
      </c>
      <c r="O27" s="207">
        <v>103</v>
      </c>
      <c r="P27" s="170">
        <v>0</v>
      </c>
      <c r="Q27" s="203">
        <f>LS_RPRO!C8+MANUAL!C8+OUTSALE!C8</f>
        <v>708.96</v>
      </c>
      <c r="R27" s="254" t="e">
        <f t="shared" si="9"/>
        <v>#DIV/0!</v>
      </c>
      <c r="S27" s="250"/>
      <c r="T27" s="251">
        <v>10475</v>
      </c>
      <c r="U27" s="663">
        <v>6411</v>
      </c>
      <c r="V27" s="255">
        <f t="shared" si="0"/>
        <v>-0.38797136038186159</v>
      </c>
      <c r="W27" s="664"/>
      <c r="X27" s="253">
        <v>37827.5</v>
      </c>
      <c r="Y27" s="666">
        <v>71209</v>
      </c>
      <c r="Z27" s="279">
        <f t="shared" si="1"/>
        <v>0.88246645958627978</v>
      </c>
      <c r="AA27" s="664">
        <v>20159.530639999975</v>
      </c>
      <c r="AB27" s="667">
        <f t="shared" si="2"/>
        <v>20159.530639999975</v>
      </c>
      <c r="AC27" s="668">
        <f t="shared" si="10"/>
        <v>2.179408717837835E-2</v>
      </c>
      <c r="AD27" s="280"/>
      <c r="AE27" s="676">
        <v>24898</v>
      </c>
      <c r="AF27" s="677">
        <f>LS_RPRO!O8+MANUAL!M8+OUTSALE!M8</f>
        <v>285580.75</v>
      </c>
      <c r="AG27" s="678">
        <f t="shared" si="11"/>
        <v>10.470027713069323</v>
      </c>
      <c r="AH27" s="154"/>
      <c r="AI27" s="686">
        <v>213</v>
      </c>
      <c r="AJ27" s="687">
        <f>LS_RPRO!M8</f>
        <v>976</v>
      </c>
      <c r="AK27" s="688">
        <f t="shared" si="3"/>
        <v>3.5821596244131459</v>
      </c>
      <c r="AL27" s="689">
        <v>36</v>
      </c>
      <c r="AM27" s="690">
        <f>LS_RPRO!H8+MANUAL!H8+OUTSALE!H8</f>
        <v>138</v>
      </c>
      <c r="AN27" s="688">
        <f t="shared" si="4"/>
        <v>2.8333333333333335</v>
      </c>
      <c r="AO27" s="688">
        <f t="shared" si="5"/>
        <v>0.16901408450704225</v>
      </c>
      <c r="AP27" s="688">
        <f t="shared" si="5"/>
        <v>0.14139344262295081</v>
      </c>
      <c r="AQ27" s="691">
        <f t="shared" si="6"/>
        <v>-2.762064188409144E-2</v>
      </c>
      <c r="AR27" s="154"/>
      <c r="AS27" s="705">
        <v>1</v>
      </c>
      <c r="AT27" s="687">
        <f>LS_RPRO!K8</f>
        <v>4</v>
      </c>
      <c r="AU27" s="688">
        <f t="shared" si="12"/>
        <v>3</v>
      </c>
      <c r="AV27" s="689">
        <v>6</v>
      </c>
      <c r="AW27" s="706">
        <f>LS_RPRO!L8</f>
        <v>5</v>
      </c>
      <c r="AX27" s="688">
        <f t="shared" si="13"/>
        <v>-0.16666666666666666</v>
      </c>
      <c r="AY27" s="707">
        <f t="shared" ref="AY27:AZ55" si="23">AS27+AV27</f>
        <v>7</v>
      </c>
      <c r="AZ27" s="708">
        <f t="shared" si="23"/>
        <v>9</v>
      </c>
      <c r="BA27" s="691">
        <f t="shared" si="14"/>
        <v>0.2857142857142857</v>
      </c>
      <c r="BB27" s="154"/>
      <c r="BC27" s="718"/>
      <c r="BD27" s="719">
        <v>0</v>
      </c>
      <c r="BE27" s="691" t="e">
        <f t="shared" si="15"/>
        <v>#DIV/0!</v>
      </c>
      <c r="BF27" s="154"/>
      <c r="BG27" s="727"/>
      <c r="BH27" s="728"/>
      <c r="BI27" s="735" t="e">
        <f t="shared" si="16"/>
        <v>#DIV/0!</v>
      </c>
      <c r="BJ27" s="730"/>
      <c r="BK27" s="731"/>
      <c r="BL27" s="732" t="e">
        <f t="shared" si="17"/>
        <v>#DIV/0!</v>
      </c>
      <c r="BM27" s="729" t="e">
        <f t="shared" si="18"/>
        <v>#DIV/0!</v>
      </c>
      <c r="BN27" s="733" t="e">
        <f t="shared" si="18"/>
        <v>#DIV/0!</v>
      </c>
      <c r="BO27" s="734" t="e">
        <f t="shared" si="19"/>
        <v>#DIV/0!</v>
      </c>
      <c r="BP27" s="154"/>
      <c r="BQ27" s="718">
        <v>1</v>
      </c>
      <c r="BR27" s="719">
        <v>7</v>
      </c>
      <c r="BS27" s="691">
        <f t="shared" si="20"/>
        <v>6</v>
      </c>
      <c r="BT27" s="154"/>
      <c r="BU27" s="154"/>
      <c r="BV27" s="154"/>
      <c r="BW27" s="154"/>
      <c r="BX27" s="154"/>
      <c r="BY27" s="154"/>
      <c r="BZ27" s="154"/>
      <c r="CA27" s="154"/>
      <c r="CB27" s="154"/>
      <c r="CC27" s="154"/>
      <c r="CD27" s="154"/>
      <c r="CE27" s="154"/>
      <c r="CF27" s="154"/>
      <c r="CG27" s="154"/>
      <c r="CH27" s="154"/>
      <c r="CI27" s="154"/>
      <c r="CJ27" s="154"/>
      <c r="CK27" s="154"/>
      <c r="CL27" s="154"/>
      <c r="CM27" s="154"/>
      <c r="CN27" s="154"/>
      <c r="CO27" s="154"/>
      <c r="CP27" s="154"/>
      <c r="CQ27" s="154"/>
      <c r="CR27" s="154"/>
      <c r="CS27" s="154"/>
      <c r="CT27" s="154"/>
      <c r="CU27" s="154"/>
      <c r="CV27" s="154"/>
      <c r="CW27" s="154"/>
      <c r="CX27" s="154"/>
      <c r="CY27" s="154"/>
      <c r="CZ27" s="154"/>
      <c r="DA27" s="154"/>
      <c r="DB27" s="154"/>
      <c r="DC27" s="154"/>
      <c r="DD27" s="154"/>
      <c r="DE27" s="154"/>
      <c r="DF27" s="154"/>
      <c r="DG27" s="154"/>
      <c r="DH27" s="154"/>
      <c r="DI27" s="154"/>
      <c r="DJ27" s="154"/>
      <c r="DK27" s="154"/>
      <c r="DL27" s="154"/>
      <c r="DM27" s="154"/>
      <c r="DN27" s="154"/>
      <c r="DO27" s="154"/>
      <c r="DP27" s="154"/>
      <c r="DQ27" s="154"/>
      <c r="DR27" s="154"/>
      <c r="DS27" s="154"/>
      <c r="DT27" s="154"/>
      <c r="DU27" s="154"/>
      <c r="DV27" s="154"/>
      <c r="DW27" s="154"/>
      <c r="DX27" s="154"/>
      <c r="DY27" s="154"/>
      <c r="DZ27" s="154"/>
      <c r="EA27" s="154"/>
      <c r="EB27" s="154"/>
      <c r="EC27" s="154"/>
      <c r="ED27" s="154"/>
      <c r="EE27" s="154"/>
      <c r="EF27" s="154"/>
      <c r="EG27" s="154"/>
      <c r="EH27" s="154"/>
      <c r="EI27" s="154"/>
      <c r="EJ27" s="154"/>
      <c r="EK27" s="154"/>
      <c r="EL27" s="154"/>
      <c r="EM27" s="154"/>
      <c r="EN27" s="154"/>
      <c r="EO27" s="154"/>
      <c r="EP27" s="154"/>
      <c r="EQ27" s="154"/>
      <c r="ER27" s="154"/>
      <c r="ES27" s="154"/>
      <c r="ET27" s="154"/>
      <c r="EU27" s="154"/>
      <c r="EV27" s="154"/>
      <c r="EW27" s="154"/>
      <c r="EX27" s="154"/>
      <c r="EY27" s="154"/>
      <c r="EZ27" s="154"/>
      <c r="FA27" s="154"/>
      <c r="FB27" s="154"/>
      <c r="FC27" s="154"/>
      <c r="FD27" s="154"/>
      <c r="FE27" s="154"/>
      <c r="FF27" s="154"/>
      <c r="FG27" s="154"/>
      <c r="FH27" s="154"/>
      <c r="FI27" s="154"/>
      <c r="FJ27" s="154"/>
      <c r="FK27" s="154"/>
      <c r="FL27" s="154"/>
      <c r="FM27" s="154"/>
      <c r="FN27" s="154"/>
      <c r="FO27" s="154"/>
      <c r="FP27" s="154"/>
      <c r="FQ27" s="154"/>
      <c r="FR27" s="154"/>
      <c r="FS27" s="154"/>
      <c r="FT27" s="154"/>
      <c r="FU27" s="154"/>
      <c r="FV27" s="154"/>
      <c r="FW27" s="154"/>
      <c r="FX27" s="154"/>
      <c r="FY27" s="154"/>
      <c r="FZ27" s="154"/>
      <c r="GA27" s="154"/>
      <c r="GB27" s="154"/>
      <c r="GC27" s="154"/>
      <c r="GD27" s="154"/>
      <c r="GE27" s="154"/>
      <c r="GF27" s="154"/>
      <c r="GG27" s="154"/>
      <c r="GH27" s="154"/>
      <c r="GI27" s="154"/>
      <c r="GJ27" s="154"/>
      <c r="GK27" s="154"/>
      <c r="GL27" s="154"/>
      <c r="GM27" s="154"/>
      <c r="GN27" s="154"/>
      <c r="GO27" s="154"/>
      <c r="GP27" s="154"/>
      <c r="GQ27" s="154"/>
      <c r="GR27" s="154"/>
      <c r="GS27" s="154"/>
      <c r="GT27" s="154"/>
      <c r="GU27" s="154"/>
      <c r="GV27" s="154"/>
      <c r="GW27" s="154"/>
      <c r="GX27" s="154"/>
      <c r="GY27" s="154"/>
      <c r="GZ27" s="154"/>
      <c r="HA27" s="154"/>
      <c r="HB27" s="154"/>
      <c r="HC27" s="154"/>
      <c r="HD27" s="154"/>
      <c r="HE27" s="154"/>
      <c r="HF27" s="154"/>
      <c r="HG27" s="154"/>
      <c r="HH27" s="154"/>
      <c r="HI27" s="154"/>
      <c r="HJ27" s="154"/>
      <c r="HK27" s="154"/>
      <c r="HL27" s="154"/>
      <c r="HM27" s="154"/>
      <c r="HN27" s="154"/>
      <c r="HO27" s="154"/>
      <c r="HP27" s="154"/>
      <c r="HQ27" s="154"/>
      <c r="HR27" s="154"/>
      <c r="HS27" s="154"/>
      <c r="HT27" s="154"/>
      <c r="HU27" s="154"/>
      <c r="HV27" s="154"/>
      <c r="HW27" s="154"/>
      <c r="HX27" s="154"/>
      <c r="HY27" s="154"/>
      <c r="HZ27" s="154"/>
      <c r="IA27" s="154"/>
      <c r="IB27" s="154"/>
      <c r="IC27" s="154"/>
      <c r="ID27" s="154"/>
      <c r="IE27" s="154"/>
      <c r="IF27" s="154"/>
      <c r="IG27" s="154"/>
      <c r="IH27" s="154"/>
      <c r="II27" s="154"/>
      <c r="IJ27" s="154"/>
      <c r="IK27" s="154"/>
      <c r="IL27" s="154"/>
      <c r="IM27" s="154"/>
      <c r="IN27" s="154"/>
    </row>
    <row r="28" spans="1:253" s="149" customFormat="1" ht="14.25" customHeight="1">
      <c r="A28" s="154"/>
      <c r="B28" s="154"/>
      <c r="C28" s="154"/>
      <c r="D28" s="172">
        <v>4</v>
      </c>
      <c r="E28" s="973" t="s">
        <v>155</v>
      </c>
      <c r="F28" s="973"/>
      <c r="G28" s="170">
        <v>100788</v>
      </c>
      <c r="H28" s="171">
        <f t="shared" si="7"/>
        <v>4.1000931726931679E-2</v>
      </c>
      <c r="I28" s="208">
        <f t="shared" si="8"/>
        <v>112156.88636260714</v>
      </c>
      <c r="J28" s="178" t="s">
        <v>155</v>
      </c>
      <c r="K28" s="209">
        <f>LS_RPRO!B9+MANUAL!B9+OUTSALE!B9</f>
        <v>300026.7</v>
      </c>
      <c r="L28" s="210">
        <f t="shared" si="21"/>
        <v>187869.81363739289</v>
      </c>
      <c r="M28" s="211">
        <f>K28/G15</f>
        <v>0.10968006193739936</v>
      </c>
      <c r="N28" s="212">
        <f t="shared" si="22"/>
        <v>692089.44731527171</v>
      </c>
      <c r="O28" s="207">
        <v>105</v>
      </c>
      <c r="P28" s="170">
        <v>0</v>
      </c>
      <c r="Q28" s="203">
        <f>LS_RPRO!C9+MANUAL!C9+OUTSALE!C9</f>
        <v>2180.5</v>
      </c>
      <c r="R28" s="254" t="e">
        <f t="shared" si="9"/>
        <v>#DIV/0!</v>
      </c>
      <c r="S28" s="250"/>
      <c r="T28" s="251">
        <v>15175</v>
      </c>
      <c r="U28" s="663">
        <v>22346</v>
      </c>
      <c r="V28" s="255">
        <f t="shared" si="0"/>
        <v>0.4725535420098847</v>
      </c>
      <c r="W28" s="664"/>
      <c r="X28" s="253">
        <v>69850.5</v>
      </c>
      <c r="Y28" s="666">
        <v>45634.5</v>
      </c>
      <c r="Z28" s="279">
        <f t="shared" si="1"/>
        <v>-0.34668327356282347</v>
      </c>
      <c r="AA28" s="664">
        <v>14498.235199999988</v>
      </c>
      <c r="AB28" s="667">
        <f t="shared" si="2"/>
        <v>14498.235199999988</v>
      </c>
      <c r="AC28" s="668">
        <f t="shared" si="10"/>
        <v>1.5673767783783772E-2</v>
      </c>
      <c r="AD28" s="280"/>
      <c r="AE28" s="676">
        <v>61799.5</v>
      </c>
      <c r="AF28" s="677">
        <f>LS_RPRO!O9+MANUAL!M9+OUTSALE!M9</f>
        <v>243077.7</v>
      </c>
      <c r="AG28" s="678">
        <f t="shared" si="11"/>
        <v>2.9333279395464364</v>
      </c>
      <c r="AH28" s="154"/>
      <c r="AI28" s="686">
        <v>178</v>
      </c>
      <c r="AJ28" s="687">
        <f>LS_RPRO!M9</f>
        <v>883</v>
      </c>
      <c r="AK28" s="688">
        <f t="shared" si="3"/>
        <v>3.9606741573033704</v>
      </c>
      <c r="AL28" s="689">
        <v>49</v>
      </c>
      <c r="AM28" s="690">
        <f>LS_RPRO!H9+MANUAL!H9+OUTSALE!H9</f>
        <v>130</v>
      </c>
      <c r="AN28" s="688">
        <f t="shared" si="4"/>
        <v>1.6530612244897958</v>
      </c>
      <c r="AO28" s="688">
        <f t="shared" si="5"/>
        <v>0.2752808988764045</v>
      </c>
      <c r="AP28" s="688">
        <f t="shared" si="5"/>
        <v>0.14722536806342015</v>
      </c>
      <c r="AQ28" s="691">
        <f t="shared" si="6"/>
        <v>-0.12805553081298435</v>
      </c>
      <c r="AR28" s="154"/>
      <c r="AS28" s="705">
        <v>0</v>
      </c>
      <c r="AT28" s="687">
        <f>LS_RPRO!K9</f>
        <v>0</v>
      </c>
      <c r="AU28" s="688" t="e">
        <f t="shared" si="12"/>
        <v>#DIV/0!</v>
      </c>
      <c r="AV28" s="689">
        <v>2</v>
      </c>
      <c r="AW28" s="706">
        <f>LS_RPRO!L9</f>
        <v>17</v>
      </c>
      <c r="AX28" s="688">
        <f t="shared" si="13"/>
        <v>7.5</v>
      </c>
      <c r="AY28" s="707">
        <f t="shared" si="23"/>
        <v>2</v>
      </c>
      <c r="AZ28" s="708">
        <f t="shared" si="23"/>
        <v>17</v>
      </c>
      <c r="BA28" s="691">
        <f t="shared" si="14"/>
        <v>7.5</v>
      </c>
      <c r="BB28" s="154"/>
      <c r="BC28" s="718"/>
      <c r="BD28" s="719">
        <v>0</v>
      </c>
      <c r="BE28" s="691" t="e">
        <f t="shared" si="15"/>
        <v>#DIV/0!</v>
      </c>
      <c r="BF28" s="154"/>
      <c r="BG28" s="727"/>
      <c r="BH28" s="728"/>
      <c r="BI28" s="735" t="e">
        <f t="shared" si="16"/>
        <v>#DIV/0!</v>
      </c>
      <c r="BJ28" s="730"/>
      <c r="BK28" s="731"/>
      <c r="BL28" s="732" t="e">
        <f t="shared" si="17"/>
        <v>#DIV/0!</v>
      </c>
      <c r="BM28" s="729" t="e">
        <f t="shared" si="18"/>
        <v>#DIV/0!</v>
      </c>
      <c r="BN28" s="733" t="e">
        <f t="shared" si="18"/>
        <v>#DIV/0!</v>
      </c>
      <c r="BO28" s="734" t="e">
        <f t="shared" si="19"/>
        <v>#DIV/0!</v>
      </c>
      <c r="BP28" s="154"/>
      <c r="BQ28" s="718">
        <v>11</v>
      </c>
      <c r="BR28" s="719">
        <v>7</v>
      </c>
      <c r="BS28" s="691">
        <f t="shared" si="20"/>
        <v>-0.36363636363636365</v>
      </c>
      <c r="BT28" s="154"/>
      <c r="BU28" s="154"/>
      <c r="BV28" s="154"/>
      <c r="BW28" s="154"/>
      <c r="BX28" s="154"/>
      <c r="BY28" s="154"/>
      <c r="BZ28" s="154"/>
      <c r="CA28" s="154"/>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54"/>
      <c r="CX28" s="154"/>
      <c r="CY28" s="154"/>
      <c r="CZ28" s="154"/>
      <c r="DA28" s="154"/>
      <c r="DB28" s="154"/>
      <c r="DC28" s="154"/>
      <c r="DD28" s="154"/>
      <c r="DE28" s="154"/>
      <c r="DF28" s="154"/>
      <c r="DG28" s="154"/>
      <c r="DH28" s="154"/>
      <c r="DI28" s="154"/>
      <c r="DJ28" s="154"/>
      <c r="DK28" s="154"/>
      <c r="DL28" s="154"/>
      <c r="DM28" s="154"/>
      <c r="DN28" s="154"/>
      <c r="DO28" s="154"/>
      <c r="DP28" s="154"/>
      <c r="DQ28" s="154"/>
      <c r="DR28" s="154"/>
      <c r="DS28" s="154"/>
      <c r="DT28" s="154"/>
      <c r="DU28" s="154"/>
      <c r="DV28" s="154"/>
      <c r="DW28" s="154"/>
      <c r="DX28" s="154"/>
      <c r="DY28" s="154"/>
      <c r="DZ28" s="154"/>
      <c r="EA28" s="154"/>
      <c r="EB28" s="154"/>
      <c r="EC28" s="154"/>
      <c r="ED28" s="154"/>
      <c r="EE28" s="154"/>
      <c r="EF28" s="154"/>
      <c r="EG28" s="154"/>
      <c r="EH28" s="154"/>
      <c r="EI28" s="154"/>
      <c r="EJ28" s="154"/>
      <c r="EK28" s="154"/>
      <c r="EL28" s="154"/>
      <c r="EM28" s="154"/>
      <c r="EN28" s="154"/>
      <c r="EO28" s="154"/>
      <c r="EP28" s="154"/>
      <c r="EQ28" s="154"/>
      <c r="ER28" s="154"/>
      <c r="ES28" s="154"/>
      <c r="ET28" s="154"/>
      <c r="EU28" s="154"/>
      <c r="EV28" s="154"/>
      <c r="EW28" s="154"/>
      <c r="EX28" s="154"/>
      <c r="EY28" s="154"/>
      <c r="EZ28" s="154"/>
      <c r="FA28" s="154"/>
      <c r="FB28" s="154"/>
      <c r="FC28" s="154"/>
      <c r="FD28" s="154"/>
      <c r="FE28" s="154"/>
      <c r="FF28" s="154"/>
      <c r="FG28" s="154"/>
      <c r="FH28" s="154"/>
      <c r="FI28" s="154"/>
      <c r="FJ28" s="154"/>
      <c r="FK28" s="154"/>
      <c r="FL28" s="154"/>
      <c r="FM28" s="154"/>
      <c r="FN28" s="154"/>
      <c r="FO28" s="154"/>
      <c r="FP28" s="154"/>
      <c r="FQ28" s="154"/>
      <c r="FR28" s="154"/>
      <c r="FS28" s="154"/>
      <c r="FT28" s="154"/>
      <c r="FU28" s="154"/>
      <c r="FV28" s="154"/>
      <c r="FW28" s="154"/>
      <c r="FX28" s="154"/>
      <c r="FY28" s="154"/>
      <c r="FZ28" s="154"/>
      <c r="GA28" s="154"/>
      <c r="GB28" s="154"/>
      <c r="GC28" s="154"/>
      <c r="GD28" s="154"/>
      <c r="GE28" s="154"/>
      <c r="GF28" s="154"/>
      <c r="GG28" s="154"/>
      <c r="GH28" s="154"/>
      <c r="GI28" s="154"/>
      <c r="GJ28" s="154"/>
      <c r="GK28" s="154"/>
      <c r="GL28" s="154"/>
      <c r="GM28" s="154"/>
      <c r="GN28" s="154"/>
      <c r="GO28" s="154"/>
      <c r="GP28" s="154"/>
      <c r="GQ28" s="154"/>
      <c r="GR28" s="154"/>
      <c r="GS28" s="154"/>
      <c r="GT28" s="154"/>
      <c r="GU28" s="154"/>
      <c r="GV28" s="154"/>
      <c r="GW28" s="154"/>
      <c r="GX28" s="154"/>
      <c r="GY28" s="154"/>
      <c r="GZ28" s="154"/>
      <c r="HA28" s="154"/>
      <c r="HB28" s="154"/>
      <c r="HC28" s="154"/>
      <c r="HD28" s="154"/>
      <c r="HE28" s="154"/>
      <c r="HF28" s="154"/>
      <c r="HG28" s="154"/>
      <c r="HH28" s="154"/>
      <c r="HI28" s="154"/>
      <c r="HJ28" s="154"/>
      <c r="HK28" s="154"/>
      <c r="HL28" s="154"/>
      <c r="HM28" s="154"/>
      <c r="HN28" s="154"/>
      <c r="HO28" s="154"/>
      <c r="HP28" s="154"/>
      <c r="HQ28" s="154"/>
      <c r="HR28" s="154"/>
      <c r="HS28" s="154"/>
      <c r="HT28" s="154"/>
      <c r="HU28" s="154"/>
      <c r="HV28" s="154"/>
      <c r="HW28" s="154"/>
      <c r="HX28" s="154"/>
      <c r="HY28" s="154"/>
      <c r="HZ28" s="154"/>
      <c r="IA28" s="154"/>
      <c r="IB28" s="154"/>
      <c r="IC28" s="154"/>
      <c r="ID28" s="154"/>
      <c r="IE28" s="154"/>
      <c r="IF28" s="154"/>
      <c r="IG28" s="154"/>
      <c r="IH28" s="154"/>
      <c r="II28" s="154"/>
      <c r="IJ28" s="154"/>
      <c r="IK28" s="154"/>
      <c r="IL28" s="154"/>
      <c r="IM28" s="154"/>
      <c r="IN28" s="154"/>
    </row>
    <row r="29" spans="1:253" s="149" customFormat="1" ht="14.25" customHeight="1">
      <c r="A29" s="154"/>
      <c r="B29" s="154"/>
      <c r="C29" s="154"/>
      <c r="D29" s="172">
        <v>5</v>
      </c>
      <c r="E29" s="973" t="s">
        <v>156</v>
      </c>
      <c r="F29" s="973"/>
      <c r="G29" s="170">
        <v>160546.5</v>
      </c>
      <c r="H29" s="171">
        <f t="shared" si="7"/>
        <v>6.531091087726551E-2</v>
      </c>
      <c r="I29" s="208">
        <f t="shared" si="8"/>
        <v>178656.14514043642</v>
      </c>
      <c r="J29" s="178" t="s">
        <v>156</v>
      </c>
      <c r="K29" s="209">
        <f>LS_RPRO!B10+MANUAL!B10+OUTSALE!B10</f>
        <v>214629.95</v>
      </c>
      <c r="L29" s="210">
        <f t="shared" si="21"/>
        <v>35973.804859563592</v>
      </c>
      <c r="M29" s="211">
        <f>K29/G15</f>
        <v>7.8461770934456596E-2</v>
      </c>
      <c r="N29" s="212">
        <f t="shared" si="22"/>
        <v>728063.2521748353</v>
      </c>
      <c r="O29" s="207">
        <v>139</v>
      </c>
      <c r="P29" s="170">
        <v>0</v>
      </c>
      <c r="Q29" s="203">
        <f>LS_RPRO!C10+MANUAL!C10+OUTSALE!C10</f>
        <v>1596.06</v>
      </c>
      <c r="R29" s="254" t="e">
        <f t="shared" si="9"/>
        <v>#DIV/0!</v>
      </c>
      <c r="S29" s="250"/>
      <c r="T29" s="251">
        <v>12719.5</v>
      </c>
      <c r="U29" s="663">
        <v>16321.5</v>
      </c>
      <c r="V29" s="255">
        <f t="shared" si="0"/>
        <v>0.28318723220252368</v>
      </c>
      <c r="W29" s="664"/>
      <c r="X29" s="253">
        <v>63865.5</v>
      </c>
      <c r="Y29" s="666">
        <v>70292.5</v>
      </c>
      <c r="Z29" s="279">
        <f t="shared" si="1"/>
        <v>0.10063336230045956</v>
      </c>
      <c r="AA29" s="664">
        <v>23645.014229999979</v>
      </c>
      <c r="AB29" s="667">
        <f t="shared" si="2"/>
        <v>23645.014229999979</v>
      </c>
      <c r="AC29" s="668">
        <f t="shared" si="10"/>
        <v>2.5562177545945922E-2</v>
      </c>
      <c r="AD29" s="280"/>
      <c r="AE29" s="676">
        <v>40319.5</v>
      </c>
      <c r="AF29" s="677">
        <f>LS_RPRO!O10+MANUAL!M10+OUTSALE!M10</f>
        <v>168429.69</v>
      </c>
      <c r="AG29" s="678">
        <f t="shared" si="11"/>
        <v>3.1773754634854106</v>
      </c>
      <c r="AH29" s="154"/>
      <c r="AI29" s="686">
        <v>278</v>
      </c>
      <c r="AJ29" s="687">
        <f>LS_RPRO!M10</f>
        <v>687</v>
      </c>
      <c r="AK29" s="688">
        <f t="shared" si="3"/>
        <v>1.471223021582734</v>
      </c>
      <c r="AL29" s="689">
        <v>44</v>
      </c>
      <c r="AM29" s="690">
        <f>LS_RPRO!H10+MANUAL!H10+OUTSALE!H10</f>
        <v>75</v>
      </c>
      <c r="AN29" s="688">
        <f t="shared" si="4"/>
        <v>0.70454545454545459</v>
      </c>
      <c r="AO29" s="688">
        <f t="shared" si="5"/>
        <v>0.15827338129496402</v>
      </c>
      <c r="AP29" s="688">
        <f t="shared" si="5"/>
        <v>0.1091703056768559</v>
      </c>
      <c r="AQ29" s="691">
        <f t="shared" si="6"/>
        <v>-4.9103075618108116E-2</v>
      </c>
      <c r="AR29" s="154"/>
      <c r="AS29" s="705">
        <v>0</v>
      </c>
      <c r="AT29" s="687">
        <f>LS_RPRO!K10</f>
        <v>5</v>
      </c>
      <c r="AU29" s="688" t="e">
        <f t="shared" si="12"/>
        <v>#DIV/0!</v>
      </c>
      <c r="AV29" s="689">
        <v>5</v>
      </c>
      <c r="AW29" s="706">
        <f>LS_RPRO!L10</f>
        <v>1</v>
      </c>
      <c r="AX29" s="688">
        <f t="shared" si="13"/>
        <v>-0.8</v>
      </c>
      <c r="AY29" s="707">
        <f t="shared" si="23"/>
        <v>5</v>
      </c>
      <c r="AZ29" s="708">
        <f t="shared" si="23"/>
        <v>6</v>
      </c>
      <c r="BA29" s="691">
        <f t="shared" si="14"/>
        <v>0.2</v>
      </c>
      <c r="BB29" s="154"/>
      <c r="BC29" s="718"/>
      <c r="BD29" s="719">
        <v>0</v>
      </c>
      <c r="BE29" s="691" t="e">
        <f t="shared" si="15"/>
        <v>#DIV/0!</v>
      </c>
      <c r="BF29" s="154"/>
      <c r="BG29" s="736"/>
      <c r="BH29" s="728"/>
      <c r="BI29" s="735" t="e">
        <f t="shared" si="16"/>
        <v>#DIV/0!</v>
      </c>
      <c r="BJ29" s="737"/>
      <c r="BK29" s="731"/>
      <c r="BL29" s="732" t="e">
        <f t="shared" si="17"/>
        <v>#DIV/0!</v>
      </c>
      <c r="BM29" s="729" t="e">
        <f t="shared" si="18"/>
        <v>#DIV/0!</v>
      </c>
      <c r="BN29" s="733" t="e">
        <f t="shared" si="18"/>
        <v>#DIV/0!</v>
      </c>
      <c r="BO29" s="734" t="e">
        <f t="shared" si="19"/>
        <v>#DIV/0!</v>
      </c>
      <c r="BP29" s="154"/>
      <c r="BQ29" s="718">
        <v>8</v>
      </c>
      <c r="BR29" s="719">
        <v>7</v>
      </c>
      <c r="BS29" s="691">
        <f t="shared" si="20"/>
        <v>-0.125</v>
      </c>
      <c r="BT29" s="154"/>
      <c r="BU29" s="154"/>
      <c r="BV29" s="154"/>
      <c r="BW29" s="154"/>
      <c r="BX29" s="154"/>
      <c r="BY29" s="154"/>
      <c r="BZ29" s="154"/>
      <c r="CA29" s="154"/>
      <c r="CB29" s="154"/>
      <c r="CC29" s="154"/>
      <c r="CD29" s="154"/>
      <c r="CE29" s="154"/>
      <c r="CF29" s="154"/>
      <c r="CG29" s="154"/>
      <c r="CH29" s="154"/>
      <c r="CI29" s="154"/>
      <c r="CJ29" s="154"/>
      <c r="CK29" s="154"/>
      <c r="CL29" s="154"/>
      <c r="CM29" s="154"/>
      <c r="CN29" s="154"/>
      <c r="CO29" s="154"/>
      <c r="CP29" s="154"/>
      <c r="CQ29" s="154"/>
      <c r="CR29" s="154"/>
      <c r="CS29" s="154"/>
      <c r="CT29" s="154"/>
      <c r="CU29" s="154"/>
      <c r="CV29" s="154"/>
      <c r="CW29" s="154"/>
      <c r="CX29" s="154"/>
      <c r="CY29" s="154"/>
      <c r="CZ29" s="154"/>
      <c r="DA29" s="154"/>
      <c r="DB29" s="154"/>
      <c r="DC29" s="154"/>
      <c r="DD29" s="154"/>
      <c r="DE29" s="154"/>
      <c r="DF29" s="154"/>
      <c r="DG29" s="154"/>
      <c r="DH29" s="154"/>
      <c r="DI29" s="154"/>
      <c r="DJ29" s="154"/>
      <c r="DK29" s="154"/>
      <c r="DL29" s="154"/>
      <c r="DM29" s="154"/>
      <c r="DN29" s="154"/>
      <c r="DO29" s="154"/>
      <c r="DP29" s="154"/>
      <c r="DQ29" s="154"/>
      <c r="DR29" s="154"/>
      <c r="DS29" s="154"/>
      <c r="DT29" s="154"/>
      <c r="DU29" s="154"/>
      <c r="DV29" s="154"/>
      <c r="DW29" s="154"/>
      <c r="DX29" s="154"/>
      <c r="DY29" s="154"/>
      <c r="DZ29" s="154"/>
      <c r="EA29" s="154"/>
      <c r="EB29" s="154"/>
      <c r="EC29" s="154"/>
      <c r="ED29" s="154"/>
      <c r="EE29" s="154"/>
      <c r="EF29" s="154"/>
      <c r="EG29" s="154"/>
      <c r="EH29" s="154"/>
      <c r="EI29" s="154"/>
      <c r="EJ29" s="154"/>
      <c r="EK29" s="154"/>
      <c r="EL29" s="154"/>
      <c r="EM29" s="154"/>
      <c r="EN29" s="154"/>
      <c r="EO29" s="154"/>
      <c r="EP29" s="154"/>
      <c r="EQ29" s="154"/>
      <c r="ER29" s="154"/>
      <c r="ES29" s="154"/>
      <c r="ET29" s="154"/>
      <c r="EU29" s="154"/>
      <c r="EV29" s="154"/>
      <c r="EW29" s="154"/>
      <c r="EX29" s="154"/>
      <c r="EY29" s="154"/>
      <c r="EZ29" s="154"/>
      <c r="FA29" s="154"/>
      <c r="FB29" s="154"/>
      <c r="FC29" s="154"/>
      <c r="FD29" s="154"/>
      <c r="FE29" s="154"/>
      <c r="FF29" s="154"/>
      <c r="FG29" s="154"/>
      <c r="FH29" s="154"/>
      <c r="FI29" s="154"/>
      <c r="FJ29" s="154"/>
      <c r="FK29" s="154"/>
      <c r="FL29" s="154"/>
      <c r="FM29" s="154"/>
      <c r="FN29" s="154"/>
      <c r="FO29" s="154"/>
      <c r="FP29" s="154"/>
      <c r="FQ29" s="154"/>
      <c r="FR29" s="154"/>
      <c r="FS29" s="154"/>
      <c r="FT29" s="154"/>
      <c r="FU29" s="154"/>
      <c r="FV29" s="154"/>
      <c r="FW29" s="154"/>
      <c r="FX29" s="154"/>
      <c r="FY29" s="154"/>
      <c r="FZ29" s="154"/>
      <c r="GA29" s="154"/>
      <c r="GB29" s="154"/>
      <c r="GC29" s="154"/>
      <c r="GD29" s="154"/>
      <c r="GE29" s="154"/>
      <c r="GF29" s="154"/>
      <c r="GG29" s="154"/>
      <c r="GH29" s="154"/>
      <c r="GI29" s="154"/>
      <c r="GJ29" s="154"/>
      <c r="GK29" s="154"/>
      <c r="GL29" s="154"/>
      <c r="GM29" s="154"/>
      <c r="GN29" s="154"/>
      <c r="GO29" s="154"/>
      <c r="GP29" s="154"/>
      <c r="GQ29" s="154"/>
      <c r="GR29" s="154"/>
      <c r="GS29" s="154"/>
      <c r="GT29" s="154"/>
      <c r="GU29" s="154"/>
      <c r="GV29" s="154"/>
      <c r="GW29" s="154"/>
      <c r="GX29" s="154"/>
      <c r="GY29" s="154"/>
      <c r="GZ29" s="154"/>
      <c r="HA29" s="154"/>
      <c r="HB29" s="154"/>
      <c r="HC29" s="154"/>
      <c r="HD29" s="154"/>
      <c r="HE29" s="154"/>
      <c r="HF29" s="154"/>
      <c r="HG29" s="154"/>
      <c r="HH29" s="154"/>
      <c r="HI29" s="154"/>
      <c r="HJ29" s="154"/>
      <c r="HK29" s="154"/>
      <c r="HL29" s="154"/>
      <c r="HM29" s="154"/>
      <c r="HN29" s="154"/>
      <c r="HO29" s="154"/>
      <c r="HP29" s="154"/>
      <c r="HQ29" s="154"/>
      <c r="HR29" s="154"/>
      <c r="HS29" s="154"/>
      <c r="HT29" s="154"/>
      <c r="HU29" s="154"/>
      <c r="HV29" s="154"/>
      <c r="HW29" s="154"/>
      <c r="HX29" s="154"/>
      <c r="HY29" s="154"/>
      <c r="HZ29" s="154"/>
      <c r="IA29" s="154"/>
      <c r="IB29" s="154"/>
      <c r="IC29" s="154"/>
      <c r="ID29" s="154"/>
      <c r="IE29" s="154"/>
      <c r="IF29" s="154"/>
      <c r="IG29" s="154"/>
      <c r="IH29" s="154"/>
      <c r="II29" s="154"/>
      <c r="IJ29" s="154"/>
      <c r="IK29" s="154"/>
      <c r="IL29" s="154"/>
      <c r="IM29" s="154"/>
      <c r="IN29" s="154"/>
    </row>
    <row r="30" spans="1:253" s="149" customFormat="1" ht="14.25" customHeight="1">
      <c r="A30" s="154"/>
      <c r="B30" s="154"/>
      <c r="C30" s="154"/>
      <c r="D30" s="172">
        <v>6</v>
      </c>
      <c r="E30" s="973" t="s">
        <v>157</v>
      </c>
      <c r="F30" s="973"/>
      <c r="G30" s="170">
        <v>97075.5</v>
      </c>
      <c r="H30" s="171">
        <f t="shared" si="7"/>
        <v>3.9490672975530383E-2</v>
      </c>
      <c r="I30" s="208">
        <f t="shared" si="8"/>
        <v>108025.6163639845</v>
      </c>
      <c r="J30" s="178" t="s">
        <v>157</v>
      </c>
      <c r="K30" s="209">
        <f>LS_RPRO!B11+MANUAL!B11+OUTSALE!B11</f>
        <v>151874.5</v>
      </c>
      <c r="L30" s="210">
        <f t="shared" si="21"/>
        <v>43848.883636015496</v>
      </c>
      <c r="M30" s="211">
        <f>K30/G15</f>
        <v>5.5520407239460882E-2</v>
      </c>
      <c r="N30" s="212">
        <f t="shared" si="22"/>
        <v>771912.13581085077</v>
      </c>
      <c r="O30" s="207">
        <v>166</v>
      </c>
      <c r="P30" s="170">
        <v>0</v>
      </c>
      <c r="Q30" s="203">
        <f>LS_RPRO!C11+MANUAL!C11+OUTSALE!C11</f>
        <v>328.75</v>
      </c>
      <c r="R30" s="254" t="e">
        <f t="shared" si="9"/>
        <v>#DIV/0!</v>
      </c>
      <c r="S30" s="250"/>
      <c r="T30" s="251">
        <v>13298.5</v>
      </c>
      <c r="U30" s="663">
        <v>35829</v>
      </c>
      <c r="V30" s="255">
        <f t="shared" si="0"/>
        <v>1.694213633116517</v>
      </c>
      <c r="W30" s="664"/>
      <c r="X30" s="253">
        <v>62931.5</v>
      </c>
      <c r="Y30" s="666">
        <v>69316.499999999985</v>
      </c>
      <c r="Z30" s="279">
        <f t="shared" si="1"/>
        <v>0.10145952345010027</v>
      </c>
      <c r="AA30" s="664">
        <v>20434.176339999918</v>
      </c>
      <c r="AB30" s="667">
        <f t="shared" si="2"/>
        <v>20434.176339999918</v>
      </c>
      <c r="AC30" s="668">
        <f t="shared" si="10"/>
        <v>2.2091001448648562E-2</v>
      </c>
      <c r="AD30" s="280"/>
      <c r="AE30" s="676">
        <v>46283.5</v>
      </c>
      <c r="AF30" s="677">
        <f>LS_RPRO!O11+MANUAL!M11+OUTSALE!M11</f>
        <v>143597.75</v>
      </c>
      <c r="AG30" s="678">
        <f t="shared" si="11"/>
        <v>2.1025689500577958</v>
      </c>
      <c r="AH30" s="154"/>
      <c r="AI30" s="686">
        <v>214</v>
      </c>
      <c r="AJ30" s="687">
        <f>LS_RPRO!M11</f>
        <v>333</v>
      </c>
      <c r="AK30" s="688">
        <f t="shared" si="3"/>
        <v>0.55607476635514019</v>
      </c>
      <c r="AL30" s="689">
        <v>54</v>
      </c>
      <c r="AM30" s="690">
        <f>LS_RPRO!H11+MANUAL!H11+OUTSALE!H11</f>
        <v>72</v>
      </c>
      <c r="AN30" s="688">
        <f t="shared" si="4"/>
        <v>0.33333333333333326</v>
      </c>
      <c r="AO30" s="688">
        <f t="shared" si="5"/>
        <v>0.25233644859813081</v>
      </c>
      <c r="AP30" s="688">
        <f t="shared" si="5"/>
        <v>0.21621621621621623</v>
      </c>
      <c r="AQ30" s="691">
        <f t="shared" si="6"/>
        <v>-3.6120232381914585E-2</v>
      </c>
      <c r="AR30" s="154"/>
      <c r="AS30" s="705">
        <v>0</v>
      </c>
      <c r="AT30" s="687">
        <f>LS_RPRO!K11</f>
        <v>1</v>
      </c>
      <c r="AU30" s="688" t="e">
        <f t="shared" si="12"/>
        <v>#DIV/0!</v>
      </c>
      <c r="AV30" s="689">
        <v>1</v>
      </c>
      <c r="AW30" s="706">
        <f>LS_RPRO!L11</f>
        <v>1</v>
      </c>
      <c r="AX30" s="688">
        <f t="shared" si="13"/>
        <v>0</v>
      </c>
      <c r="AY30" s="707">
        <f t="shared" si="23"/>
        <v>1</v>
      </c>
      <c r="AZ30" s="708">
        <f t="shared" si="23"/>
        <v>2</v>
      </c>
      <c r="BA30" s="691">
        <f t="shared" si="14"/>
        <v>1</v>
      </c>
      <c r="BB30" s="154"/>
      <c r="BC30" s="718"/>
      <c r="BD30" s="719">
        <v>0</v>
      </c>
      <c r="BE30" s="691" t="e">
        <f t="shared" si="15"/>
        <v>#DIV/0!</v>
      </c>
      <c r="BF30" s="154"/>
      <c r="BG30" s="736"/>
      <c r="BH30" s="728"/>
      <c r="BI30" s="735" t="e">
        <f t="shared" si="16"/>
        <v>#DIV/0!</v>
      </c>
      <c r="BJ30" s="737"/>
      <c r="BK30" s="731"/>
      <c r="BL30" s="732" t="e">
        <f t="shared" si="17"/>
        <v>#DIV/0!</v>
      </c>
      <c r="BM30" s="729" t="e">
        <f t="shared" si="18"/>
        <v>#DIV/0!</v>
      </c>
      <c r="BN30" s="733" t="e">
        <f t="shared" si="18"/>
        <v>#DIV/0!</v>
      </c>
      <c r="BO30" s="734" t="e">
        <f t="shared" si="19"/>
        <v>#DIV/0!</v>
      </c>
      <c r="BP30" s="154"/>
      <c r="BQ30" s="718">
        <v>12</v>
      </c>
      <c r="BR30" s="719">
        <v>14</v>
      </c>
      <c r="BS30" s="691">
        <f t="shared" si="20"/>
        <v>0.16666666666666666</v>
      </c>
      <c r="BT30" s="154"/>
      <c r="BU30" s="154"/>
      <c r="BV30" s="154"/>
      <c r="BW30" s="154"/>
      <c r="BX30" s="154"/>
      <c r="BY30" s="154"/>
      <c r="BZ30" s="154"/>
      <c r="CA30" s="154"/>
      <c r="CB30" s="154"/>
      <c r="CC30" s="154"/>
      <c r="CD30" s="154"/>
      <c r="CE30" s="154"/>
      <c r="CF30" s="154"/>
      <c r="CG30" s="154"/>
      <c r="CH30" s="154"/>
      <c r="CI30" s="154"/>
      <c r="CJ30" s="154"/>
      <c r="CK30" s="154"/>
      <c r="CL30" s="154"/>
      <c r="CM30" s="154"/>
      <c r="CN30" s="154"/>
      <c r="CO30" s="154"/>
      <c r="CP30" s="154"/>
      <c r="CQ30" s="154"/>
      <c r="CR30" s="154"/>
      <c r="CS30" s="154"/>
      <c r="CT30" s="154"/>
      <c r="CU30" s="154"/>
      <c r="CV30" s="154"/>
      <c r="CW30" s="154"/>
      <c r="CX30" s="154"/>
      <c r="CY30" s="154"/>
      <c r="CZ30" s="154"/>
      <c r="DA30" s="154"/>
      <c r="DB30" s="154"/>
      <c r="DC30" s="154"/>
      <c r="DD30" s="154"/>
      <c r="DE30" s="154"/>
      <c r="DF30" s="154"/>
      <c r="DG30" s="154"/>
      <c r="DH30" s="154"/>
      <c r="DI30" s="154"/>
      <c r="DJ30" s="154"/>
      <c r="DK30" s="154"/>
      <c r="DL30" s="154"/>
      <c r="DM30" s="154"/>
      <c r="DN30" s="154"/>
      <c r="DO30" s="154"/>
      <c r="DP30" s="154"/>
      <c r="DQ30" s="154"/>
      <c r="DR30" s="154"/>
      <c r="DS30" s="154"/>
      <c r="DT30" s="154"/>
      <c r="DU30" s="154"/>
      <c r="DV30" s="154"/>
      <c r="DW30" s="154"/>
      <c r="DX30" s="154"/>
      <c r="DY30" s="154"/>
      <c r="DZ30" s="154"/>
      <c r="EA30" s="154"/>
      <c r="EB30" s="154"/>
      <c r="EC30" s="154"/>
      <c r="ED30" s="154"/>
      <c r="EE30" s="154"/>
      <c r="EF30" s="154"/>
      <c r="EG30" s="154"/>
      <c r="EH30" s="154"/>
      <c r="EI30" s="154"/>
      <c r="EJ30" s="154"/>
      <c r="EK30" s="154"/>
      <c r="EL30" s="154"/>
      <c r="EM30" s="154"/>
      <c r="EN30" s="154"/>
      <c r="EO30" s="154"/>
      <c r="EP30" s="154"/>
      <c r="EQ30" s="154"/>
      <c r="ER30" s="154"/>
      <c r="ES30" s="154"/>
      <c r="ET30" s="154"/>
      <c r="EU30" s="154"/>
      <c r="EV30" s="154"/>
      <c r="EW30" s="154"/>
      <c r="EX30" s="154"/>
      <c r="EY30" s="154"/>
      <c r="EZ30" s="154"/>
      <c r="FA30" s="154"/>
      <c r="FB30" s="154"/>
      <c r="FC30" s="154"/>
      <c r="FD30" s="154"/>
      <c r="FE30" s="154"/>
      <c r="FF30" s="154"/>
      <c r="FG30" s="154"/>
      <c r="FH30" s="154"/>
      <c r="FI30" s="154"/>
      <c r="FJ30" s="154"/>
      <c r="FK30" s="154"/>
      <c r="FL30" s="154"/>
      <c r="FM30" s="154"/>
      <c r="FN30" s="154"/>
      <c r="FO30" s="154"/>
      <c r="FP30" s="154"/>
      <c r="FQ30" s="154"/>
      <c r="FR30" s="154"/>
      <c r="FS30" s="154"/>
      <c r="FT30" s="154"/>
      <c r="FU30" s="154"/>
      <c r="FV30" s="154"/>
      <c r="FW30" s="154"/>
      <c r="FX30" s="154"/>
      <c r="FY30" s="154"/>
      <c r="FZ30" s="154"/>
      <c r="GA30" s="154"/>
      <c r="GB30" s="154"/>
      <c r="GC30" s="154"/>
      <c r="GD30" s="154"/>
      <c r="GE30" s="154"/>
      <c r="GF30" s="154"/>
      <c r="GG30" s="154"/>
      <c r="GH30" s="154"/>
      <c r="GI30" s="154"/>
      <c r="GJ30" s="154"/>
      <c r="GK30" s="154"/>
      <c r="GL30" s="154"/>
      <c r="GM30" s="154"/>
      <c r="GN30" s="154"/>
      <c r="GO30" s="154"/>
      <c r="GP30" s="154"/>
      <c r="GQ30" s="154"/>
      <c r="GR30" s="154"/>
      <c r="GS30" s="154"/>
      <c r="GT30" s="154"/>
      <c r="GU30" s="154"/>
      <c r="GV30" s="154"/>
      <c r="GW30" s="154"/>
      <c r="GX30" s="154"/>
      <c r="GY30" s="154"/>
      <c r="GZ30" s="154"/>
      <c r="HA30" s="154"/>
      <c r="HB30" s="154"/>
      <c r="HC30" s="154"/>
      <c r="HD30" s="154"/>
      <c r="HE30" s="154"/>
      <c r="HF30" s="154"/>
      <c r="HG30" s="154"/>
      <c r="HH30" s="154"/>
      <c r="HI30" s="154"/>
      <c r="HJ30" s="154"/>
      <c r="HK30" s="154"/>
      <c r="HL30" s="154"/>
      <c r="HM30" s="154"/>
      <c r="HN30" s="154"/>
      <c r="HO30" s="154"/>
      <c r="HP30" s="154"/>
      <c r="HQ30" s="154"/>
      <c r="HR30" s="154"/>
      <c r="HS30" s="154"/>
      <c r="HT30" s="154"/>
      <c r="HU30" s="154"/>
      <c r="HV30" s="154"/>
      <c r="HW30" s="154"/>
      <c r="HX30" s="154"/>
      <c r="HY30" s="154"/>
      <c r="HZ30" s="154"/>
      <c r="IA30" s="154"/>
      <c r="IB30" s="154"/>
      <c r="IC30" s="154"/>
      <c r="ID30" s="154"/>
      <c r="IE30" s="154"/>
      <c r="IF30" s="154"/>
      <c r="IG30" s="154"/>
      <c r="IH30" s="154"/>
      <c r="II30" s="154"/>
      <c r="IJ30" s="154"/>
      <c r="IK30" s="154"/>
      <c r="IL30" s="154"/>
      <c r="IM30" s="154"/>
      <c r="IN30" s="154"/>
    </row>
    <row r="31" spans="1:253" s="149" customFormat="1" ht="14.25" customHeight="1">
      <c r="A31" s="154"/>
      <c r="B31" s="154"/>
      <c r="C31" s="154"/>
      <c r="D31" s="172">
        <v>7</v>
      </c>
      <c r="E31" s="973" t="s">
        <v>158</v>
      </c>
      <c r="F31" s="973"/>
      <c r="G31" s="170">
        <v>48751.5</v>
      </c>
      <c r="H31" s="171">
        <f t="shared" si="7"/>
        <v>1.983229077951254E-2</v>
      </c>
      <c r="I31" s="208">
        <f t="shared" si="8"/>
        <v>54250.669181912956</v>
      </c>
      <c r="J31" s="178" t="s">
        <v>158</v>
      </c>
      <c r="K31" s="209">
        <f>LS_RPRO!B12+MANUAL!B12+OUTSALE!B12</f>
        <v>116543.95</v>
      </c>
      <c r="L31" s="210">
        <f t="shared" si="21"/>
        <v>62293.280818087042</v>
      </c>
      <c r="M31" s="211">
        <f>K31/G15</f>
        <v>4.2604700363098262E-2</v>
      </c>
      <c r="N31" s="212">
        <f t="shared" si="22"/>
        <v>834205.41662893782</v>
      </c>
      <c r="O31" s="207">
        <v>53</v>
      </c>
      <c r="P31" s="170">
        <v>0</v>
      </c>
      <c r="Q31" s="203">
        <f>LS_RPRO!C12+MANUAL!C12+OUTSALE!C12</f>
        <v>966.3</v>
      </c>
      <c r="R31" s="254" t="e">
        <f t="shared" si="9"/>
        <v>#DIV/0!</v>
      </c>
      <c r="S31" s="250"/>
      <c r="T31" s="251">
        <v>18631.5</v>
      </c>
      <c r="U31" s="663">
        <v>9362.5</v>
      </c>
      <c r="V31" s="255">
        <f t="shared" si="0"/>
        <v>-0.4974908085768725</v>
      </c>
      <c r="W31" s="664">
        <v>33099.81</v>
      </c>
      <c r="X31" s="253">
        <v>141915</v>
      </c>
      <c r="Y31" s="666">
        <v>38113.5</v>
      </c>
      <c r="Z31" s="279">
        <f t="shared" si="1"/>
        <v>-0.73143430926963326</v>
      </c>
      <c r="AA31" s="664">
        <v>11659.520129999997</v>
      </c>
      <c r="AB31" s="667">
        <f t="shared" si="2"/>
        <v>44759.330129999995</v>
      </c>
      <c r="AC31" s="668">
        <f t="shared" si="10"/>
        <v>4.8388465005405397E-2</v>
      </c>
      <c r="AD31" s="280"/>
      <c r="AE31" s="676">
        <v>87498</v>
      </c>
      <c r="AF31" s="677">
        <f>LS_RPRO!O12+MANUAL!M12+OUTSALE!M12</f>
        <v>81910.399999999994</v>
      </c>
      <c r="AG31" s="678">
        <f t="shared" si="11"/>
        <v>-6.3859745365608428E-2</v>
      </c>
      <c r="AH31" s="154"/>
      <c r="AI31" s="686">
        <v>249</v>
      </c>
      <c r="AJ31" s="687">
        <f>LS_RPRO!M12</f>
        <v>316</v>
      </c>
      <c r="AK31" s="688">
        <f t="shared" si="3"/>
        <v>0.26907630522088355</v>
      </c>
      <c r="AL31" s="689">
        <v>65</v>
      </c>
      <c r="AM31" s="690">
        <f>LS_RPRO!H12+MANUAL!H12+OUTSALE!H12</f>
        <v>50</v>
      </c>
      <c r="AN31" s="688">
        <f t="shared" si="4"/>
        <v>-0.23076923076923073</v>
      </c>
      <c r="AO31" s="688">
        <f t="shared" si="5"/>
        <v>0.26104417670682734</v>
      </c>
      <c r="AP31" s="688">
        <f t="shared" si="5"/>
        <v>0.15822784810126583</v>
      </c>
      <c r="AQ31" s="691">
        <f t="shared" si="6"/>
        <v>-0.1028163286055615</v>
      </c>
      <c r="AR31" s="154"/>
      <c r="AS31" s="705">
        <v>0</v>
      </c>
      <c r="AT31" s="687">
        <f>LS_RPRO!K12</f>
        <v>0</v>
      </c>
      <c r="AU31" s="688" t="e">
        <f t="shared" si="12"/>
        <v>#DIV/0!</v>
      </c>
      <c r="AV31" s="689">
        <v>2</v>
      </c>
      <c r="AW31" s="706">
        <f>LS_RPRO!L12</f>
        <v>0</v>
      </c>
      <c r="AX31" s="688">
        <f t="shared" si="13"/>
        <v>-1</v>
      </c>
      <c r="AY31" s="707">
        <f t="shared" si="23"/>
        <v>2</v>
      </c>
      <c r="AZ31" s="708">
        <f t="shared" si="23"/>
        <v>0</v>
      </c>
      <c r="BA31" s="691">
        <f t="shared" si="14"/>
        <v>-1</v>
      </c>
      <c r="BB31" s="154"/>
      <c r="BC31" s="718"/>
      <c r="BD31" s="719">
        <v>0</v>
      </c>
      <c r="BE31" s="691" t="e">
        <f t="shared" si="15"/>
        <v>#DIV/0!</v>
      </c>
      <c r="BF31" s="154"/>
      <c r="BG31" s="727"/>
      <c r="BH31" s="728"/>
      <c r="BI31" s="735" t="e">
        <f t="shared" si="16"/>
        <v>#DIV/0!</v>
      </c>
      <c r="BJ31" s="730"/>
      <c r="BK31" s="731"/>
      <c r="BL31" s="732" t="e">
        <f t="shared" si="17"/>
        <v>#DIV/0!</v>
      </c>
      <c r="BM31" s="729" t="e">
        <f t="shared" si="18"/>
        <v>#DIV/0!</v>
      </c>
      <c r="BN31" s="733" t="e">
        <f t="shared" si="18"/>
        <v>#DIV/0!</v>
      </c>
      <c r="BO31" s="734" t="e">
        <f t="shared" si="19"/>
        <v>#DIV/0!</v>
      </c>
      <c r="BP31" s="154"/>
      <c r="BQ31" s="718">
        <v>19</v>
      </c>
      <c r="BR31" s="719">
        <v>7</v>
      </c>
      <c r="BS31" s="691">
        <f t="shared" si="20"/>
        <v>-0.63157894736842102</v>
      </c>
      <c r="BT31" s="154"/>
      <c r="BU31" s="154"/>
      <c r="BV31" s="154"/>
      <c r="BW31" s="154"/>
      <c r="BX31" s="154"/>
      <c r="BY31" s="154"/>
      <c r="BZ31" s="154"/>
      <c r="CA31" s="154"/>
      <c r="CB31" s="154"/>
      <c r="CC31" s="154"/>
      <c r="CD31" s="154"/>
      <c r="CE31" s="154"/>
      <c r="CF31" s="154"/>
      <c r="CG31" s="154"/>
      <c r="CH31" s="154"/>
      <c r="CI31" s="154"/>
      <c r="CJ31" s="154"/>
      <c r="CK31" s="154"/>
      <c r="CL31" s="154"/>
      <c r="CM31" s="154"/>
      <c r="CN31" s="154"/>
      <c r="CO31" s="154"/>
      <c r="CP31" s="154"/>
      <c r="CQ31" s="154"/>
      <c r="CR31" s="154"/>
      <c r="CS31" s="154"/>
      <c r="CT31" s="154"/>
      <c r="CU31" s="154"/>
      <c r="CV31" s="154"/>
      <c r="CW31" s="154"/>
      <c r="CX31" s="154"/>
      <c r="CY31" s="154"/>
      <c r="CZ31" s="154"/>
      <c r="DA31" s="154"/>
      <c r="DB31" s="154"/>
      <c r="DC31" s="154"/>
      <c r="DD31" s="154"/>
      <c r="DE31" s="154"/>
      <c r="DF31" s="154"/>
      <c r="DG31" s="154"/>
      <c r="DH31" s="154"/>
      <c r="DI31" s="154"/>
      <c r="DJ31" s="154"/>
      <c r="DK31" s="154"/>
      <c r="DL31" s="154"/>
      <c r="DM31" s="154"/>
      <c r="DN31" s="154"/>
      <c r="DO31" s="154"/>
      <c r="DP31" s="154"/>
      <c r="DQ31" s="154"/>
      <c r="DR31" s="154"/>
      <c r="DS31" s="154"/>
      <c r="DT31" s="154"/>
      <c r="DU31" s="154"/>
      <c r="DV31" s="154"/>
      <c r="DW31" s="154"/>
      <c r="DX31" s="154"/>
      <c r="DY31" s="154"/>
      <c r="DZ31" s="154"/>
      <c r="EA31" s="154"/>
      <c r="EB31" s="154"/>
      <c r="EC31" s="154"/>
      <c r="ED31" s="154"/>
      <c r="EE31" s="154"/>
      <c r="EF31" s="154"/>
      <c r="EG31" s="154"/>
      <c r="EH31" s="154"/>
      <c r="EI31" s="154"/>
      <c r="EJ31" s="154"/>
      <c r="EK31" s="154"/>
      <c r="EL31" s="154"/>
      <c r="EM31" s="154"/>
      <c r="EN31" s="154"/>
      <c r="EO31" s="154"/>
      <c r="EP31" s="154"/>
      <c r="EQ31" s="154"/>
      <c r="ER31" s="154"/>
      <c r="ES31" s="154"/>
      <c r="ET31" s="154"/>
      <c r="EU31" s="154"/>
      <c r="EV31" s="154"/>
      <c r="EW31" s="154"/>
      <c r="EX31" s="154"/>
      <c r="EY31" s="154"/>
      <c r="EZ31" s="154"/>
      <c r="FA31" s="154"/>
      <c r="FB31" s="154"/>
      <c r="FC31" s="154"/>
      <c r="FD31" s="154"/>
      <c r="FE31" s="154"/>
      <c r="FF31" s="154"/>
      <c r="FG31" s="154"/>
      <c r="FH31" s="154"/>
      <c r="FI31" s="154"/>
      <c r="FJ31" s="154"/>
      <c r="FK31" s="154"/>
      <c r="FL31" s="154"/>
      <c r="FM31" s="154"/>
      <c r="FN31" s="154"/>
      <c r="FO31" s="154"/>
      <c r="FP31" s="154"/>
      <c r="FQ31" s="154"/>
      <c r="FR31" s="154"/>
      <c r="FS31" s="154"/>
      <c r="FT31" s="154"/>
      <c r="FU31" s="154"/>
      <c r="FV31" s="154"/>
      <c r="FW31" s="154"/>
      <c r="FX31" s="154"/>
      <c r="FY31" s="154"/>
      <c r="FZ31" s="154"/>
      <c r="GA31" s="154"/>
      <c r="GB31" s="154"/>
      <c r="GC31" s="154"/>
      <c r="GD31" s="154"/>
      <c r="GE31" s="154"/>
      <c r="GF31" s="154"/>
      <c r="GG31" s="154"/>
      <c r="GH31" s="154"/>
      <c r="GI31" s="154"/>
      <c r="GJ31" s="154"/>
      <c r="GK31" s="154"/>
      <c r="GL31" s="154"/>
      <c r="GM31" s="154"/>
      <c r="GN31" s="154"/>
      <c r="GO31" s="154"/>
      <c r="GP31" s="154"/>
      <c r="GQ31" s="154"/>
      <c r="GR31" s="154"/>
      <c r="GS31" s="154"/>
      <c r="GT31" s="154"/>
      <c r="GU31" s="154"/>
      <c r="GV31" s="154"/>
      <c r="GW31" s="154"/>
      <c r="GX31" s="154"/>
      <c r="GY31" s="154"/>
      <c r="GZ31" s="154"/>
      <c r="HA31" s="154"/>
      <c r="HB31" s="154"/>
      <c r="HC31" s="154"/>
      <c r="HD31" s="154"/>
      <c r="HE31" s="154"/>
      <c r="HF31" s="154"/>
      <c r="HG31" s="154"/>
      <c r="HH31" s="154"/>
      <c r="HI31" s="154"/>
      <c r="HJ31" s="154"/>
      <c r="HK31" s="154"/>
      <c r="HL31" s="154"/>
      <c r="HM31" s="154"/>
      <c r="HN31" s="154"/>
      <c r="HO31" s="154"/>
      <c r="HP31" s="154"/>
      <c r="HQ31" s="154"/>
      <c r="HR31" s="154"/>
      <c r="HS31" s="154"/>
      <c r="HT31" s="154"/>
      <c r="HU31" s="154"/>
      <c r="HV31" s="154"/>
      <c r="HW31" s="154"/>
      <c r="HX31" s="154"/>
      <c r="HY31" s="154"/>
      <c r="HZ31" s="154"/>
      <c r="IA31" s="154"/>
      <c r="IB31" s="154"/>
      <c r="IC31" s="154"/>
      <c r="ID31" s="154"/>
      <c r="IE31" s="154"/>
      <c r="IF31" s="154"/>
      <c r="IG31" s="154"/>
      <c r="IH31" s="154"/>
      <c r="II31" s="154"/>
      <c r="IJ31" s="154"/>
      <c r="IK31" s="154"/>
      <c r="IL31" s="154"/>
      <c r="IM31" s="154"/>
      <c r="IN31" s="154"/>
    </row>
    <row r="32" spans="1:253" s="149" customFormat="1" ht="14.25" customHeight="1">
      <c r="A32" s="154"/>
      <c r="B32" s="154"/>
      <c r="C32" s="154"/>
      <c r="D32" s="172">
        <v>8</v>
      </c>
      <c r="E32" s="973" t="s">
        <v>159</v>
      </c>
      <c r="F32" s="973"/>
      <c r="G32" s="170">
        <v>100935</v>
      </c>
      <c r="H32" s="171">
        <f t="shared" si="7"/>
        <v>4.1060731871431611E-2</v>
      </c>
      <c r="I32" s="208">
        <f t="shared" si="8"/>
        <v>112320.46796255262</v>
      </c>
      <c r="J32" s="178" t="s">
        <v>159</v>
      </c>
      <c r="K32" s="209">
        <f>LS_RPRO!B13+MANUAL!B13+OUTSALE!B13</f>
        <v>146954.5</v>
      </c>
      <c r="L32" s="210">
        <f t="shared" si="21"/>
        <v>34634.032037447381</v>
      </c>
      <c r="M32" s="211">
        <f>K32/G15</f>
        <v>5.3721814298459285E-2</v>
      </c>
      <c r="N32" s="212">
        <f t="shared" si="22"/>
        <v>868839.44866638514</v>
      </c>
      <c r="O32" s="207">
        <v>105</v>
      </c>
      <c r="P32" s="170">
        <v>0</v>
      </c>
      <c r="Q32" s="203">
        <f>LS_RPRO!C13+MANUAL!C13+OUTSALE!C13</f>
        <v>1268.25</v>
      </c>
      <c r="R32" s="254" t="e">
        <f t="shared" si="9"/>
        <v>#DIV/0!</v>
      </c>
      <c r="S32" s="250"/>
      <c r="T32" s="251">
        <v>11501</v>
      </c>
      <c r="U32" s="663">
        <v>15962.75</v>
      </c>
      <c r="V32" s="255">
        <f t="shared" si="0"/>
        <v>0.38794452656290757</v>
      </c>
      <c r="W32" s="664"/>
      <c r="X32" s="253">
        <v>85574.5</v>
      </c>
      <c r="Y32" s="666">
        <v>46137.5</v>
      </c>
      <c r="Z32" s="279">
        <f t="shared" si="1"/>
        <v>-0.46084990271634657</v>
      </c>
      <c r="AA32" s="664">
        <v>14565.026409999988</v>
      </c>
      <c r="AB32" s="667">
        <f t="shared" si="2"/>
        <v>14565.026409999988</v>
      </c>
      <c r="AC32" s="668">
        <f t="shared" si="10"/>
        <v>1.5745974497297283E-2</v>
      </c>
      <c r="AD32" s="280"/>
      <c r="AE32" s="676">
        <v>64274.5</v>
      </c>
      <c r="AF32" s="677">
        <f>LS_RPRO!O13+MANUAL!M13+OUTSALE!M13</f>
        <v>120065.25</v>
      </c>
      <c r="AG32" s="678">
        <f t="shared" si="11"/>
        <v>0.86800753020249088</v>
      </c>
      <c r="AH32" s="154"/>
      <c r="AI32" s="686">
        <v>124</v>
      </c>
      <c r="AJ32" s="687">
        <f>LS_RPRO!M13</f>
        <v>478</v>
      </c>
      <c r="AK32" s="688">
        <f t="shared" si="3"/>
        <v>2.8548387096774195</v>
      </c>
      <c r="AL32" s="689">
        <v>37</v>
      </c>
      <c r="AM32" s="690">
        <f>LS_RPRO!H13+MANUAL!H13+OUTSALE!H13</f>
        <v>67</v>
      </c>
      <c r="AN32" s="688">
        <f t="shared" si="4"/>
        <v>0.81081081081081074</v>
      </c>
      <c r="AO32" s="688">
        <f t="shared" si="5"/>
        <v>0.29838709677419356</v>
      </c>
      <c r="AP32" s="688">
        <f t="shared" si="5"/>
        <v>0.14016736401673641</v>
      </c>
      <c r="AQ32" s="691">
        <f t="shared" si="6"/>
        <v>-0.15821973275745715</v>
      </c>
      <c r="AR32" s="154"/>
      <c r="AS32" s="705">
        <v>0</v>
      </c>
      <c r="AT32" s="687">
        <f>LS_RPRO!K13</f>
        <v>0</v>
      </c>
      <c r="AU32" s="688" t="e">
        <f t="shared" si="12"/>
        <v>#DIV/0!</v>
      </c>
      <c r="AV32" s="689">
        <v>1</v>
      </c>
      <c r="AW32" s="706">
        <f>LS_RPRO!L13</f>
        <v>0</v>
      </c>
      <c r="AX32" s="688">
        <f t="shared" si="13"/>
        <v>-1</v>
      </c>
      <c r="AY32" s="707">
        <f t="shared" si="23"/>
        <v>1</v>
      </c>
      <c r="AZ32" s="708">
        <f t="shared" si="23"/>
        <v>0</v>
      </c>
      <c r="BA32" s="691">
        <f t="shared" si="14"/>
        <v>-1</v>
      </c>
      <c r="BB32" s="154"/>
      <c r="BC32" s="718"/>
      <c r="BD32" s="719">
        <v>0</v>
      </c>
      <c r="BE32" s="691" t="e">
        <f t="shared" si="15"/>
        <v>#DIV/0!</v>
      </c>
      <c r="BF32" s="154"/>
      <c r="BG32" s="727"/>
      <c r="BH32" s="728"/>
      <c r="BI32" s="735" t="e">
        <f t="shared" si="16"/>
        <v>#DIV/0!</v>
      </c>
      <c r="BJ32" s="730"/>
      <c r="BK32" s="731"/>
      <c r="BL32" s="732" t="e">
        <f t="shared" si="17"/>
        <v>#DIV/0!</v>
      </c>
      <c r="BM32" s="729" t="e">
        <f t="shared" si="18"/>
        <v>#DIV/0!</v>
      </c>
      <c r="BN32" s="733" t="e">
        <f t="shared" si="18"/>
        <v>#DIV/0!</v>
      </c>
      <c r="BO32" s="734" t="e">
        <f t="shared" si="19"/>
        <v>#DIV/0!</v>
      </c>
      <c r="BP32" s="154"/>
      <c r="BQ32" s="718">
        <v>7</v>
      </c>
      <c r="BR32" s="719">
        <v>5</v>
      </c>
      <c r="BS32" s="691">
        <f t="shared" si="20"/>
        <v>-0.2857142857142857</v>
      </c>
      <c r="BT32" s="154"/>
      <c r="BU32" s="154"/>
      <c r="BV32" s="154"/>
      <c r="BW32" s="154"/>
      <c r="BX32" s="154"/>
      <c r="BY32" s="154"/>
      <c r="BZ32" s="154"/>
      <c r="CA32" s="154"/>
      <c r="CB32" s="154"/>
      <c r="CC32" s="154"/>
      <c r="CD32" s="154"/>
      <c r="CE32" s="154"/>
      <c r="CF32" s="154"/>
      <c r="CG32" s="154"/>
      <c r="CH32" s="154"/>
      <c r="CI32" s="154"/>
      <c r="CJ32" s="154"/>
      <c r="CK32" s="154"/>
      <c r="CL32" s="154"/>
      <c r="CM32" s="154"/>
      <c r="CN32" s="154"/>
      <c r="CO32" s="154"/>
      <c r="CP32" s="154"/>
      <c r="CQ32" s="154"/>
      <c r="CR32" s="154"/>
      <c r="CS32" s="154"/>
      <c r="CT32" s="154"/>
      <c r="CU32" s="154"/>
      <c r="CV32" s="154"/>
      <c r="CW32" s="154"/>
      <c r="CX32" s="154"/>
      <c r="CY32" s="154"/>
      <c r="CZ32" s="154"/>
      <c r="DA32" s="154"/>
      <c r="DB32" s="154"/>
      <c r="DC32" s="154"/>
      <c r="DD32" s="154"/>
      <c r="DE32" s="154"/>
      <c r="DF32" s="154"/>
      <c r="DG32" s="154"/>
      <c r="DH32" s="154"/>
      <c r="DI32" s="154"/>
      <c r="DJ32" s="154"/>
      <c r="DK32" s="154"/>
      <c r="DL32" s="154"/>
      <c r="DM32" s="154"/>
      <c r="DN32" s="154"/>
      <c r="DO32" s="154"/>
      <c r="DP32" s="154"/>
      <c r="DQ32" s="154"/>
      <c r="DR32" s="154"/>
      <c r="DS32" s="154"/>
      <c r="DT32" s="154"/>
      <c r="DU32" s="154"/>
      <c r="DV32" s="154"/>
      <c r="DW32" s="154"/>
      <c r="DX32" s="154"/>
      <c r="DY32" s="154"/>
      <c r="DZ32" s="154"/>
      <c r="EA32" s="154"/>
      <c r="EB32" s="154"/>
      <c r="EC32" s="154"/>
      <c r="ED32" s="154"/>
      <c r="EE32" s="154"/>
      <c r="EF32" s="154"/>
      <c r="EG32" s="154"/>
      <c r="EH32" s="154"/>
      <c r="EI32" s="154"/>
      <c r="EJ32" s="154"/>
      <c r="EK32" s="154"/>
      <c r="EL32" s="154"/>
      <c r="EM32" s="154"/>
      <c r="EN32" s="154"/>
      <c r="EO32" s="154"/>
      <c r="EP32" s="154"/>
      <c r="EQ32" s="154"/>
      <c r="ER32" s="154"/>
      <c r="ES32" s="154"/>
      <c r="ET32" s="154"/>
      <c r="EU32" s="154"/>
      <c r="EV32" s="154"/>
      <c r="EW32" s="154"/>
      <c r="EX32" s="154"/>
      <c r="EY32" s="154"/>
      <c r="EZ32" s="154"/>
      <c r="FA32" s="154"/>
      <c r="FB32" s="154"/>
      <c r="FC32" s="154"/>
      <c r="FD32" s="154"/>
      <c r="FE32" s="154"/>
      <c r="FF32" s="154"/>
      <c r="FG32" s="154"/>
      <c r="FH32" s="154"/>
      <c r="FI32" s="154"/>
      <c r="FJ32" s="154"/>
      <c r="FK32" s="154"/>
      <c r="FL32" s="154"/>
      <c r="FM32" s="154"/>
      <c r="FN32" s="154"/>
      <c r="FO32" s="154"/>
      <c r="FP32" s="154"/>
      <c r="FQ32" s="154"/>
      <c r="FR32" s="154"/>
      <c r="FS32" s="154"/>
      <c r="FT32" s="154"/>
      <c r="FU32" s="154"/>
      <c r="FV32" s="154"/>
      <c r="FW32" s="154"/>
      <c r="FX32" s="154"/>
      <c r="FY32" s="154"/>
      <c r="FZ32" s="154"/>
      <c r="GA32" s="154"/>
      <c r="GB32" s="154"/>
      <c r="GC32" s="154"/>
      <c r="GD32" s="154"/>
      <c r="GE32" s="154"/>
      <c r="GF32" s="154"/>
      <c r="GG32" s="154"/>
      <c r="GH32" s="154"/>
      <c r="GI32" s="154"/>
      <c r="GJ32" s="154"/>
      <c r="GK32" s="154"/>
      <c r="GL32" s="154"/>
      <c r="GM32" s="154"/>
      <c r="GN32" s="154"/>
      <c r="GO32" s="154"/>
      <c r="GP32" s="154"/>
      <c r="GQ32" s="154"/>
      <c r="GR32" s="154"/>
      <c r="GS32" s="154"/>
      <c r="GT32" s="154"/>
      <c r="GU32" s="154"/>
      <c r="GV32" s="154"/>
      <c r="GW32" s="154"/>
      <c r="GX32" s="154"/>
      <c r="GY32" s="154"/>
      <c r="GZ32" s="154"/>
      <c r="HA32" s="154"/>
      <c r="HB32" s="154"/>
      <c r="HC32" s="154"/>
      <c r="HD32" s="154"/>
      <c r="HE32" s="154"/>
      <c r="HF32" s="154"/>
      <c r="HG32" s="154"/>
      <c r="HH32" s="154"/>
      <c r="HI32" s="154"/>
      <c r="HJ32" s="154"/>
      <c r="HK32" s="154"/>
      <c r="HL32" s="154"/>
      <c r="HM32" s="154"/>
      <c r="HN32" s="154"/>
      <c r="HO32" s="154"/>
      <c r="HP32" s="154"/>
      <c r="HQ32" s="154"/>
      <c r="HR32" s="154"/>
      <c r="HS32" s="154"/>
      <c r="HT32" s="154"/>
      <c r="HU32" s="154"/>
      <c r="HV32" s="154"/>
      <c r="HW32" s="154"/>
      <c r="HX32" s="154"/>
      <c r="HY32" s="154"/>
      <c r="HZ32" s="154"/>
      <c r="IA32" s="154"/>
      <c r="IB32" s="154"/>
      <c r="IC32" s="154"/>
      <c r="ID32" s="154"/>
      <c r="IE32" s="154"/>
      <c r="IF32" s="154"/>
      <c r="IG32" s="154"/>
      <c r="IH32" s="154"/>
      <c r="II32" s="154"/>
      <c r="IJ32" s="154"/>
      <c r="IK32" s="154"/>
      <c r="IL32" s="154"/>
      <c r="IM32" s="154"/>
      <c r="IN32" s="154"/>
    </row>
    <row r="33" spans="1:248" s="149" customFormat="1" ht="14.25" customHeight="1">
      <c r="A33" s="154"/>
      <c r="B33" s="154"/>
      <c r="C33" s="154"/>
      <c r="D33" s="172">
        <v>9</v>
      </c>
      <c r="E33" s="973" t="s">
        <v>160</v>
      </c>
      <c r="F33" s="973"/>
      <c r="G33" s="170">
        <v>79330</v>
      </c>
      <c r="H33" s="171">
        <f t="shared" si="7"/>
        <v>3.2271737844758203E-2</v>
      </c>
      <c r="I33" s="208">
        <f t="shared" si="8"/>
        <v>88278.423970568168</v>
      </c>
      <c r="J33" s="178" t="s">
        <v>160</v>
      </c>
      <c r="K33" s="209">
        <f>LS_RPRO!B14+MANUAL!B14+OUTSALE!B14</f>
        <v>198378.74</v>
      </c>
      <c r="L33" s="210">
        <f t="shared" si="21"/>
        <v>110100.31602943182</v>
      </c>
      <c r="M33" s="211">
        <f>K33/G15</f>
        <v>7.2520853944876382E-2</v>
      </c>
      <c r="N33" s="212">
        <f t="shared" si="22"/>
        <v>978939.76469581691</v>
      </c>
      <c r="O33" s="207">
        <v>203</v>
      </c>
      <c r="P33" s="170">
        <v>0</v>
      </c>
      <c r="Q33" s="203">
        <f>LS_RPRO!C14+MANUAL!C14+OUTSALE!C14</f>
        <v>1337.3</v>
      </c>
      <c r="R33" s="254" t="e">
        <f t="shared" si="9"/>
        <v>#DIV/0!</v>
      </c>
      <c r="S33" s="250"/>
      <c r="T33" s="251">
        <v>14879</v>
      </c>
      <c r="U33" s="663">
        <v>26206.5</v>
      </c>
      <c r="V33" s="255">
        <f t="shared" si="0"/>
        <v>0.76130788359432755</v>
      </c>
      <c r="W33" s="664"/>
      <c r="X33" s="253">
        <v>33872.5</v>
      </c>
      <c r="Y33" s="666">
        <v>95411.500000000029</v>
      </c>
      <c r="Z33" s="279">
        <f t="shared" si="1"/>
        <v>1.8167835264595182</v>
      </c>
      <c r="AA33" s="664">
        <v>32588.821160000029</v>
      </c>
      <c r="AB33" s="667">
        <f t="shared" si="2"/>
        <v>32588.821160000029</v>
      </c>
      <c r="AC33" s="668">
        <f t="shared" si="10"/>
        <v>3.5231158010810844E-2</v>
      </c>
      <c r="AD33" s="280"/>
      <c r="AE33" s="676">
        <v>23752</v>
      </c>
      <c r="AF33" s="677">
        <f>LS_RPRO!O14+MANUAL!M14+OUTSALE!M14</f>
        <v>169130.25</v>
      </c>
      <c r="AG33" s="678">
        <f t="shared" si="11"/>
        <v>6.1206740485011792</v>
      </c>
      <c r="AH33" s="154"/>
      <c r="AI33" s="686">
        <v>141</v>
      </c>
      <c r="AJ33" s="687">
        <f>LS_RPRO!M14</f>
        <v>531</v>
      </c>
      <c r="AK33" s="688">
        <f t="shared" si="3"/>
        <v>2.7659574468085109</v>
      </c>
      <c r="AL33" s="689">
        <v>36</v>
      </c>
      <c r="AM33" s="690">
        <f>LS_RPRO!H14+MANUAL!H14+OUTSALE!H14</f>
        <v>81</v>
      </c>
      <c r="AN33" s="688">
        <f t="shared" si="4"/>
        <v>1.25</v>
      </c>
      <c r="AO33" s="688">
        <f t="shared" si="5"/>
        <v>0.25531914893617019</v>
      </c>
      <c r="AP33" s="688">
        <f t="shared" si="5"/>
        <v>0.15254237288135594</v>
      </c>
      <c r="AQ33" s="691">
        <f t="shared" si="6"/>
        <v>-0.10277677605481425</v>
      </c>
      <c r="AR33" s="154"/>
      <c r="AS33" s="705">
        <v>0</v>
      </c>
      <c r="AT33" s="687">
        <f>LS_RPRO!K14</f>
        <v>1</v>
      </c>
      <c r="AU33" s="688" t="e">
        <f t="shared" si="12"/>
        <v>#DIV/0!</v>
      </c>
      <c r="AV33" s="689">
        <v>3</v>
      </c>
      <c r="AW33" s="706">
        <f>LS_RPRO!L14</f>
        <v>6</v>
      </c>
      <c r="AX33" s="688">
        <f t="shared" si="13"/>
        <v>1</v>
      </c>
      <c r="AY33" s="707">
        <f t="shared" si="23"/>
        <v>3</v>
      </c>
      <c r="AZ33" s="708">
        <f t="shared" si="23"/>
        <v>7</v>
      </c>
      <c r="BA33" s="691">
        <f t="shared" si="14"/>
        <v>1.3333333333333333</v>
      </c>
      <c r="BB33" s="154"/>
      <c r="BC33" s="718"/>
      <c r="BD33" s="719">
        <v>0</v>
      </c>
      <c r="BE33" s="691" t="e">
        <f t="shared" si="15"/>
        <v>#DIV/0!</v>
      </c>
      <c r="BF33" s="154"/>
      <c r="BG33" s="727"/>
      <c r="BH33" s="728"/>
      <c r="BI33" s="735" t="e">
        <f t="shared" si="16"/>
        <v>#DIV/0!</v>
      </c>
      <c r="BJ33" s="730"/>
      <c r="BK33" s="731"/>
      <c r="BL33" s="732" t="e">
        <f t="shared" si="17"/>
        <v>#DIV/0!</v>
      </c>
      <c r="BM33" s="729" t="e">
        <f t="shared" si="18"/>
        <v>#DIV/0!</v>
      </c>
      <c r="BN33" s="733" t="e">
        <f t="shared" si="18"/>
        <v>#DIV/0!</v>
      </c>
      <c r="BO33" s="734" t="e">
        <f t="shared" si="19"/>
        <v>#DIV/0!</v>
      </c>
      <c r="BP33" s="154"/>
      <c r="BQ33" s="718">
        <v>5</v>
      </c>
      <c r="BR33" s="719">
        <v>11</v>
      </c>
      <c r="BS33" s="691">
        <f t="shared" si="20"/>
        <v>1.2</v>
      </c>
      <c r="BT33" s="154"/>
      <c r="BU33" s="154"/>
      <c r="BV33" s="154"/>
      <c r="BW33" s="154"/>
      <c r="BX33" s="154"/>
      <c r="BY33" s="154"/>
      <c r="BZ33" s="154"/>
      <c r="CA33" s="154"/>
      <c r="CB33" s="154"/>
      <c r="CC33" s="154"/>
      <c r="CD33" s="154"/>
      <c r="CE33" s="154"/>
      <c r="CF33" s="154"/>
      <c r="CG33" s="154"/>
      <c r="CH33" s="154"/>
      <c r="CI33" s="154"/>
      <c r="CJ33" s="154"/>
      <c r="CK33" s="154"/>
      <c r="CL33" s="154"/>
      <c r="CM33" s="154"/>
      <c r="CN33" s="154"/>
      <c r="CO33" s="154"/>
      <c r="CP33" s="154"/>
      <c r="CQ33" s="154"/>
      <c r="CR33" s="154"/>
      <c r="CS33" s="154"/>
      <c r="CT33" s="154"/>
      <c r="CU33" s="154"/>
      <c r="CV33" s="154"/>
      <c r="CW33" s="154"/>
      <c r="CX33" s="154"/>
      <c r="CY33" s="154"/>
      <c r="CZ33" s="154"/>
      <c r="DA33" s="154"/>
      <c r="DB33" s="154"/>
      <c r="DC33" s="154"/>
      <c r="DD33" s="154"/>
      <c r="DE33" s="154"/>
      <c r="DF33" s="154"/>
      <c r="DG33" s="154"/>
      <c r="DH33" s="154"/>
      <c r="DI33" s="154"/>
      <c r="DJ33" s="154"/>
      <c r="DK33" s="154"/>
      <c r="DL33" s="154"/>
      <c r="DM33" s="154"/>
      <c r="DN33" s="154"/>
      <c r="DO33" s="154"/>
      <c r="DP33" s="154"/>
      <c r="DQ33" s="154"/>
      <c r="DR33" s="154"/>
      <c r="DS33" s="154"/>
      <c r="DT33" s="154"/>
      <c r="DU33" s="154"/>
      <c r="DV33" s="154"/>
      <c r="DW33" s="154"/>
      <c r="DX33" s="154"/>
      <c r="DY33" s="154"/>
      <c r="DZ33" s="154"/>
      <c r="EA33" s="154"/>
      <c r="EB33" s="154"/>
      <c r="EC33" s="154"/>
      <c r="ED33" s="154"/>
      <c r="EE33" s="154"/>
      <c r="EF33" s="154"/>
      <c r="EG33" s="154"/>
      <c r="EH33" s="154"/>
      <c r="EI33" s="154"/>
      <c r="EJ33" s="154"/>
      <c r="EK33" s="154"/>
      <c r="EL33" s="154"/>
      <c r="EM33" s="154"/>
      <c r="EN33" s="154"/>
      <c r="EO33" s="154"/>
      <c r="EP33" s="154"/>
      <c r="EQ33" s="154"/>
      <c r="ER33" s="154"/>
      <c r="ES33" s="154"/>
      <c r="ET33" s="154"/>
      <c r="EU33" s="154"/>
      <c r="EV33" s="154"/>
      <c r="EW33" s="154"/>
      <c r="EX33" s="154"/>
      <c r="EY33" s="154"/>
      <c r="EZ33" s="154"/>
      <c r="FA33" s="154"/>
      <c r="FB33" s="154"/>
      <c r="FC33" s="154"/>
      <c r="FD33" s="154"/>
      <c r="FE33" s="154"/>
      <c r="FF33" s="154"/>
      <c r="FG33" s="154"/>
      <c r="FH33" s="154"/>
      <c r="FI33" s="154"/>
      <c r="FJ33" s="154"/>
      <c r="FK33" s="154"/>
      <c r="FL33" s="154"/>
      <c r="FM33" s="154"/>
      <c r="FN33" s="154"/>
      <c r="FO33" s="154"/>
      <c r="FP33" s="154"/>
      <c r="FQ33" s="154"/>
      <c r="FR33" s="154"/>
      <c r="FS33" s="154"/>
      <c r="FT33" s="154"/>
      <c r="FU33" s="154"/>
      <c r="FV33" s="154"/>
      <c r="FW33" s="154"/>
      <c r="FX33" s="154"/>
      <c r="FY33" s="154"/>
      <c r="FZ33" s="154"/>
      <c r="GA33" s="154"/>
      <c r="GB33" s="154"/>
      <c r="GC33" s="154"/>
      <c r="GD33" s="154"/>
      <c r="GE33" s="154"/>
      <c r="GF33" s="154"/>
      <c r="GG33" s="154"/>
      <c r="GH33" s="154"/>
      <c r="GI33" s="154"/>
      <c r="GJ33" s="154"/>
      <c r="GK33" s="154"/>
      <c r="GL33" s="154"/>
      <c r="GM33" s="154"/>
      <c r="GN33" s="154"/>
      <c r="GO33" s="154"/>
      <c r="GP33" s="154"/>
      <c r="GQ33" s="154"/>
      <c r="GR33" s="154"/>
      <c r="GS33" s="154"/>
      <c r="GT33" s="154"/>
      <c r="GU33" s="154"/>
      <c r="GV33" s="154"/>
      <c r="GW33" s="154"/>
      <c r="GX33" s="154"/>
      <c r="GY33" s="154"/>
      <c r="GZ33" s="154"/>
      <c r="HA33" s="154"/>
      <c r="HB33" s="154"/>
      <c r="HC33" s="154"/>
      <c r="HD33" s="154"/>
      <c r="HE33" s="154"/>
      <c r="HF33" s="154"/>
      <c r="HG33" s="154"/>
      <c r="HH33" s="154"/>
      <c r="HI33" s="154"/>
      <c r="HJ33" s="154"/>
      <c r="HK33" s="154"/>
      <c r="HL33" s="154"/>
      <c r="HM33" s="154"/>
      <c r="HN33" s="154"/>
      <c r="HO33" s="154"/>
      <c r="HP33" s="154"/>
      <c r="HQ33" s="154"/>
      <c r="HR33" s="154"/>
      <c r="HS33" s="154"/>
      <c r="HT33" s="154"/>
      <c r="HU33" s="154"/>
      <c r="HV33" s="154"/>
      <c r="HW33" s="154"/>
      <c r="HX33" s="154"/>
      <c r="HY33" s="154"/>
      <c r="HZ33" s="154"/>
      <c r="IA33" s="154"/>
      <c r="IB33" s="154"/>
      <c r="IC33" s="154"/>
      <c r="ID33" s="154"/>
      <c r="IE33" s="154"/>
      <c r="IF33" s="154"/>
      <c r="IG33" s="154"/>
      <c r="IH33" s="154"/>
      <c r="II33" s="154"/>
      <c r="IJ33" s="154"/>
      <c r="IK33" s="154"/>
      <c r="IL33" s="154"/>
      <c r="IM33" s="154"/>
      <c r="IN33" s="154"/>
    </row>
    <row r="34" spans="1:248" s="149" customFormat="1" ht="14.25" customHeight="1">
      <c r="A34" s="154"/>
      <c r="B34" s="154"/>
      <c r="C34" s="154"/>
      <c r="D34" s="172">
        <v>10</v>
      </c>
      <c r="E34" s="973" t="s">
        <v>161</v>
      </c>
      <c r="F34" s="973"/>
      <c r="G34" s="170">
        <v>83591.5</v>
      </c>
      <c r="H34" s="171">
        <f t="shared" si="7"/>
        <v>3.4005331829700058E-2</v>
      </c>
      <c r="I34" s="208">
        <f t="shared" si="8"/>
        <v>93020.621168987142</v>
      </c>
      <c r="J34" s="178" t="s">
        <v>161</v>
      </c>
      <c r="K34" s="209">
        <f>LS_RPRO!B15+MANUAL!B15+OUTSALE!B15</f>
        <v>316237.04000000004</v>
      </c>
      <c r="L34" s="210">
        <f t="shared" si="21"/>
        <v>223216.41883101291</v>
      </c>
      <c r="M34" s="211">
        <f>K34/G15</f>
        <v>0.11560603817626845</v>
      </c>
      <c r="N34" s="212">
        <f t="shared" si="22"/>
        <v>1202156.1835268298</v>
      </c>
      <c r="O34" s="207">
        <v>100</v>
      </c>
      <c r="P34" s="170">
        <v>0</v>
      </c>
      <c r="Q34" s="203">
        <f>LS_RPRO!C15+MANUAL!C15+OUTSALE!C15</f>
        <v>3966.1099999999997</v>
      </c>
      <c r="R34" s="254" t="e">
        <f t="shared" si="9"/>
        <v>#DIV/0!</v>
      </c>
      <c r="S34" s="250"/>
      <c r="T34" s="251">
        <v>10708</v>
      </c>
      <c r="U34" s="663">
        <v>14014</v>
      </c>
      <c r="V34" s="255">
        <f t="shared" si="0"/>
        <v>0.30874112812850207</v>
      </c>
      <c r="W34" s="664"/>
      <c r="X34" s="253">
        <v>90227</v>
      </c>
      <c r="Y34" s="666">
        <v>105662.50000000003</v>
      </c>
      <c r="Z34" s="279">
        <f t="shared" si="1"/>
        <v>0.17107406873773959</v>
      </c>
      <c r="AA34" s="664">
        <v>44097.695479999995</v>
      </c>
      <c r="AB34" s="667">
        <f t="shared" si="2"/>
        <v>44097.695479999995</v>
      </c>
      <c r="AC34" s="668">
        <f t="shared" si="10"/>
        <v>4.7673184302702697E-2</v>
      </c>
      <c r="AD34" s="280"/>
      <c r="AE34" s="676">
        <v>75065</v>
      </c>
      <c r="AF34" s="677">
        <f>LS_RPRO!O15+MANUAL!M15+OUTSALE!M15</f>
        <v>246123.72999999998</v>
      </c>
      <c r="AG34" s="678">
        <f t="shared" si="11"/>
        <v>2.2788080996469722</v>
      </c>
      <c r="AH34" s="154"/>
      <c r="AI34" s="686">
        <v>217</v>
      </c>
      <c r="AJ34" s="687">
        <f>LS_RPRO!M15</f>
        <v>887</v>
      </c>
      <c r="AK34" s="688">
        <f t="shared" si="3"/>
        <v>3.0875576036866361</v>
      </c>
      <c r="AL34" s="689">
        <v>55</v>
      </c>
      <c r="AM34" s="690">
        <f>LS_RPRO!H15+MANUAL!H15+OUTSALE!H15</f>
        <v>142</v>
      </c>
      <c r="AN34" s="688">
        <f t="shared" si="4"/>
        <v>1.581818181818182</v>
      </c>
      <c r="AO34" s="688">
        <f t="shared" si="5"/>
        <v>0.25345622119815669</v>
      </c>
      <c r="AP34" s="688">
        <f t="shared" si="5"/>
        <v>0.1600901916572717</v>
      </c>
      <c r="AQ34" s="691">
        <f t="shared" si="6"/>
        <v>-9.3366029540884993E-2</v>
      </c>
      <c r="AR34" s="154"/>
      <c r="AS34" s="705">
        <v>0</v>
      </c>
      <c r="AT34" s="687">
        <f>LS_RPRO!K15</f>
        <v>5</v>
      </c>
      <c r="AU34" s="688" t="e">
        <f t="shared" si="12"/>
        <v>#DIV/0!</v>
      </c>
      <c r="AV34" s="689">
        <v>3</v>
      </c>
      <c r="AW34" s="706">
        <f>LS_RPRO!L15</f>
        <v>4</v>
      </c>
      <c r="AX34" s="688">
        <f t="shared" si="13"/>
        <v>0.33333333333333331</v>
      </c>
      <c r="AY34" s="707">
        <f t="shared" si="23"/>
        <v>3</v>
      </c>
      <c r="AZ34" s="708">
        <f t="shared" si="23"/>
        <v>9</v>
      </c>
      <c r="BA34" s="691">
        <f t="shared" si="14"/>
        <v>2</v>
      </c>
      <c r="BB34" s="154"/>
      <c r="BC34" s="718"/>
      <c r="BD34" s="719">
        <v>0</v>
      </c>
      <c r="BE34" s="691" t="e">
        <f t="shared" si="15"/>
        <v>#DIV/0!</v>
      </c>
      <c r="BF34" s="154"/>
      <c r="BG34" s="727"/>
      <c r="BH34" s="728"/>
      <c r="BI34" s="735" t="e">
        <f t="shared" si="16"/>
        <v>#DIV/0!</v>
      </c>
      <c r="BJ34" s="730"/>
      <c r="BK34" s="731"/>
      <c r="BL34" s="732" t="e">
        <f t="shared" si="17"/>
        <v>#DIV/0!</v>
      </c>
      <c r="BM34" s="729" t="e">
        <f t="shared" si="18"/>
        <v>#DIV/0!</v>
      </c>
      <c r="BN34" s="733" t="e">
        <f t="shared" si="18"/>
        <v>#DIV/0!</v>
      </c>
      <c r="BO34" s="734" t="e">
        <f t="shared" si="19"/>
        <v>#DIV/0!</v>
      </c>
      <c r="BP34" s="154"/>
      <c r="BQ34" s="718">
        <v>22</v>
      </c>
      <c r="BR34" s="719">
        <v>11</v>
      </c>
      <c r="BS34" s="691">
        <f t="shared" si="20"/>
        <v>-0.5</v>
      </c>
      <c r="BT34" s="154"/>
      <c r="BU34" s="154"/>
      <c r="BV34" s="154"/>
      <c r="BW34" s="154"/>
      <c r="BX34" s="154"/>
      <c r="BY34" s="154"/>
      <c r="BZ34" s="154"/>
      <c r="CA34" s="154"/>
      <c r="CB34" s="154"/>
      <c r="CC34" s="154"/>
      <c r="CD34" s="154"/>
      <c r="CE34" s="154"/>
      <c r="CF34" s="154"/>
      <c r="CG34" s="154"/>
      <c r="CH34" s="154"/>
      <c r="CI34" s="154"/>
      <c r="CJ34" s="154"/>
      <c r="CK34" s="154"/>
      <c r="CL34" s="154"/>
      <c r="CM34" s="154"/>
      <c r="CN34" s="154"/>
      <c r="CO34" s="154"/>
      <c r="CP34" s="154"/>
      <c r="CQ34" s="154"/>
      <c r="CR34" s="154"/>
      <c r="CS34" s="154"/>
      <c r="CT34" s="154"/>
      <c r="CU34" s="154"/>
      <c r="CV34" s="154"/>
      <c r="CW34" s="154"/>
      <c r="CX34" s="154"/>
      <c r="CY34" s="154"/>
      <c r="CZ34" s="154"/>
      <c r="DA34" s="154"/>
      <c r="DB34" s="154"/>
      <c r="DC34" s="154"/>
      <c r="DD34" s="154"/>
      <c r="DE34" s="154"/>
      <c r="DF34" s="154"/>
      <c r="DG34" s="154"/>
      <c r="DH34" s="154"/>
      <c r="DI34" s="154"/>
      <c r="DJ34" s="154"/>
      <c r="DK34" s="154"/>
      <c r="DL34" s="154"/>
      <c r="DM34" s="154"/>
      <c r="DN34" s="154"/>
      <c r="DO34" s="154"/>
      <c r="DP34" s="154"/>
      <c r="DQ34" s="154"/>
      <c r="DR34" s="154"/>
      <c r="DS34" s="154"/>
      <c r="DT34" s="154"/>
      <c r="DU34" s="154"/>
      <c r="DV34" s="154"/>
      <c r="DW34" s="154"/>
      <c r="DX34" s="154"/>
      <c r="DY34" s="154"/>
      <c r="DZ34" s="154"/>
      <c r="EA34" s="154"/>
      <c r="EB34" s="154"/>
      <c r="EC34" s="154"/>
      <c r="ED34" s="154"/>
      <c r="EE34" s="154"/>
      <c r="EF34" s="154"/>
      <c r="EG34" s="154"/>
      <c r="EH34" s="154"/>
      <c r="EI34" s="154"/>
      <c r="EJ34" s="154"/>
      <c r="EK34" s="154"/>
      <c r="EL34" s="154"/>
      <c r="EM34" s="154"/>
      <c r="EN34" s="154"/>
      <c r="EO34" s="154"/>
      <c r="EP34" s="154"/>
      <c r="EQ34" s="154"/>
      <c r="ER34" s="154"/>
      <c r="ES34" s="154"/>
      <c r="ET34" s="154"/>
      <c r="EU34" s="154"/>
      <c r="EV34" s="154"/>
      <c r="EW34" s="154"/>
      <c r="EX34" s="154"/>
      <c r="EY34" s="154"/>
      <c r="EZ34" s="154"/>
      <c r="FA34" s="154"/>
      <c r="FB34" s="154"/>
      <c r="FC34" s="154"/>
      <c r="FD34" s="154"/>
      <c r="FE34" s="154"/>
      <c r="FF34" s="154"/>
      <c r="FG34" s="154"/>
      <c r="FH34" s="154"/>
      <c r="FI34" s="154"/>
      <c r="FJ34" s="154"/>
      <c r="FK34" s="154"/>
      <c r="FL34" s="154"/>
      <c r="FM34" s="154"/>
      <c r="FN34" s="154"/>
      <c r="FO34" s="154"/>
      <c r="FP34" s="154"/>
      <c r="FQ34" s="154"/>
      <c r="FR34" s="154"/>
      <c r="FS34" s="154"/>
      <c r="FT34" s="154"/>
      <c r="FU34" s="154"/>
      <c r="FV34" s="154"/>
      <c r="FW34" s="154"/>
      <c r="FX34" s="154"/>
      <c r="FY34" s="154"/>
      <c r="FZ34" s="154"/>
      <c r="GA34" s="154"/>
      <c r="GB34" s="154"/>
      <c r="GC34" s="154"/>
      <c r="GD34" s="154"/>
      <c r="GE34" s="154"/>
      <c r="GF34" s="154"/>
      <c r="GG34" s="154"/>
      <c r="GH34" s="154"/>
      <c r="GI34" s="154"/>
      <c r="GJ34" s="154"/>
      <c r="GK34" s="154"/>
      <c r="GL34" s="154"/>
      <c r="GM34" s="154"/>
      <c r="GN34" s="154"/>
      <c r="GO34" s="154"/>
      <c r="GP34" s="154"/>
      <c r="GQ34" s="154"/>
      <c r="GR34" s="154"/>
      <c r="GS34" s="154"/>
      <c r="GT34" s="154"/>
      <c r="GU34" s="154"/>
      <c r="GV34" s="154"/>
      <c r="GW34" s="154"/>
      <c r="GX34" s="154"/>
      <c r="GY34" s="154"/>
      <c r="GZ34" s="154"/>
      <c r="HA34" s="154"/>
      <c r="HB34" s="154"/>
      <c r="HC34" s="154"/>
      <c r="HD34" s="154"/>
      <c r="HE34" s="154"/>
      <c r="HF34" s="154"/>
      <c r="HG34" s="154"/>
      <c r="HH34" s="154"/>
      <c r="HI34" s="154"/>
      <c r="HJ34" s="154"/>
      <c r="HK34" s="154"/>
      <c r="HL34" s="154"/>
      <c r="HM34" s="154"/>
      <c r="HN34" s="154"/>
      <c r="HO34" s="154"/>
      <c r="HP34" s="154"/>
      <c r="HQ34" s="154"/>
      <c r="HR34" s="154"/>
      <c r="HS34" s="154"/>
      <c r="HT34" s="154"/>
      <c r="HU34" s="154"/>
      <c r="HV34" s="154"/>
      <c r="HW34" s="154"/>
      <c r="HX34" s="154"/>
      <c r="HY34" s="154"/>
      <c r="HZ34" s="154"/>
      <c r="IA34" s="154"/>
      <c r="IB34" s="154"/>
      <c r="IC34" s="154"/>
      <c r="ID34" s="154"/>
      <c r="IE34" s="154"/>
      <c r="IF34" s="154"/>
      <c r="IG34" s="154"/>
      <c r="IH34" s="154"/>
      <c r="II34" s="154"/>
      <c r="IJ34" s="154"/>
      <c r="IK34" s="154"/>
      <c r="IL34" s="154"/>
      <c r="IM34" s="154"/>
      <c r="IN34" s="154"/>
    </row>
    <row r="35" spans="1:248" s="149" customFormat="1" ht="14.25" customHeight="1">
      <c r="A35" s="174"/>
      <c r="B35" s="174"/>
      <c r="C35" s="174"/>
      <c r="D35" s="175">
        <v>11</v>
      </c>
      <c r="E35" s="973" t="s">
        <v>155</v>
      </c>
      <c r="F35" s="973"/>
      <c r="G35" s="170">
        <v>101294.5</v>
      </c>
      <c r="H35" s="171">
        <f t="shared" si="7"/>
        <v>4.1206977803048786E-2</v>
      </c>
      <c r="I35" s="213">
        <f t="shared" si="8"/>
        <v>112720.51956241923</v>
      </c>
      <c r="J35" s="178" t="s">
        <v>155</v>
      </c>
      <c r="K35" s="209">
        <f>LS_RPRO!B16+MANUAL!B16+OUTSALE!B16</f>
        <v>315334.40000000002</v>
      </c>
      <c r="L35" s="214">
        <f t="shared" si="21"/>
        <v>202613.88043758081</v>
      </c>
      <c r="M35" s="211">
        <f>K35/G15</f>
        <v>0.11527606217377542</v>
      </c>
      <c r="N35" s="212">
        <f t="shared" si="22"/>
        <v>1404770.0639644107</v>
      </c>
      <c r="O35" s="207">
        <v>180</v>
      </c>
      <c r="P35" s="170">
        <v>149.69999999999999</v>
      </c>
      <c r="Q35" s="203">
        <f>LS_RPRO!C16+MANUAL!C16+OUTSALE!C16</f>
        <v>3289.55</v>
      </c>
      <c r="R35" s="254">
        <f t="shared" si="9"/>
        <v>20.974281897127593</v>
      </c>
      <c r="S35" s="250"/>
      <c r="T35" s="251">
        <v>12067.5</v>
      </c>
      <c r="U35" s="663">
        <v>31410.5</v>
      </c>
      <c r="V35" s="255">
        <f t="shared" si="0"/>
        <v>1.6029003521856224</v>
      </c>
      <c r="W35" s="664"/>
      <c r="X35" s="253">
        <v>67262.5</v>
      </c>
      <c r="Y35" s="666">
        <v>69196</v>
      </c>
      <c r="Z35" s="279">
        <f t="shared" si="1"/>
        <v>2.8745586322244936E-2</v>
      </c>
      <c r="AA35" s="664">
        <v>22573.569399999986</v>
      </c>
      <c r="AB35" s="667">
        <f t="shared" si="2"/>
        <v>22573.569399999986</v>
      </c>
      <c r="AC35" s="668">
        <f t="shared" si="10"/>
        <v>2.4403858810810794E-2</v>
      </c>
      <c r="AD35" s="280"/>
      <c r="AE35" s="676">
        <v>29840.799999999999</v>
      </c>
      <c r="AF35" s="677">
        <f>LS_RPRO!O16+MANUAL!M16+OUTSALE!M16</f>
        <v>263154.2</v>
      </c>
      <c r="AG35" s="678">
        <f t="shared" si="11"/>
        <v>7.8186040588724168</v>
      </c>
      <c r="AH35" s="174"/>
      <c r="AI35" s="686">
        <v>129</v>
      </c>
      <c r="AJ35" s="687">
        <f>LS_RPRO!M16</f>
        <v>595</v>
      </c>
      <c r="AK35" s="688">
        <f t="shared" si="3"/>
        <v>3.612403100775194</v>
      </c>
      <c r="AL35" s="689">
        <v>39</v>
      </c>
      <c r="AM35" s="690">
        <f>LS_RPRO!H16+MANUAL!H16+OUTSALE!H16</f>
        <v>133</v>
      </c>
      <c r="AN35" s="688">
        <f t="shared" si="4"/>
        <v>2.4102564102564101</v>
      </c>
      <c r="AO35" s="688">
        <f t="shared" si="5"/>
        <v>0.30232558139534882</v>
      </c>
      <c r="AP35" s="688">
        <f t="shared" si="5"/>
        <v>0.22352941176470589</v>
      </c>
      <c r="AQ35" s="691">
        <f t="shared" si="6"/>
        <v>-7.8796169630642926E-2</v>
      </c>
      <c r="AR35" s="174"/>
      <c r="AS35" s="705">
        <v>0</v>
      </c>
      <c r="AT35" s="687">
        <f>LS_RPRO!K16</f>
        <v>0</v>
      </c>
      <c r="AU35" s="688" t="e">
        <f t="shared" si="12"/>
        <v>#DIV/0!</v>
      </c>
      <c r="AV35" s="689">
        <v>0</v>
      </c>
      <c r="AW35" s="706">
        <f>LS_RPRO!L16</f>
        <v>0</v>
      </c>
      <c r="AX35" s="688" t="e">
        <f t="shared" si="13"/>
        <v>#DIV/0!</v>
      </c>
      <c r="AY35" s="709">
        <f t="shared" si="23"/>
        <v>0</v>
      </c>
      <c r="AZ35" s="710">
        <f t="shared" si="23"/>
        <v>0</v>
      </c>
      <c r="BA35" s="691" t="e">
        <f t="shared" si="14"/>
        <v>#DIV/0!</v>
      </c>
      <c r="BB35" s="154"/>
      <c r="BC35" s="720"/>
      <c r="BD35" s="721">
        <v>0</v>
      </c>
      <c r="BE35" s="691" t="e">
        <f t="shared" si="15"/>
        <v>#DIV/0!</v>
      </c>
      <c r="BF35" s="174"/>
      <c r="BG35" s="727"/>
      <c r="BH35" s="728"/>
      <c r="BI35" s="735" t="e">
        <f t="shared" si="16"/>
        <v>#DIV/0!</v>
      </c>
      <c r="BJ35" s="730"/>
      <c r="BK35" s="731"/>
      <c r="BL35" s="732" t="e">
        <f t="shared" si="17"/>
        <v>#DIV/0!</v>
      </c>
      <c r="BM35" s="729" t="e">
        <f t="shared" si="18"/>
        <v>#DIV/0!</v>
      </c>
      <c r="BN35" s="733" t="e">
        <f t="shared" si="18"/>
        <v>#DIV/0!</v>
      </c>
      <c r="BO35" s="734" t="e">
        <f t="shared" si="19"/>
        <v>#DIV/0!</v>
      </c>
      <c r="BP35" s="174"/>
      <c r="BQ35" s="720">
        <v>7</v>
      </c>
      <c r="BR35" s="721">
        <v>11</v>
      </c>
      <c r="BS35" s="691">
        <f t="shared" si="20"/>
        <v>0.5714285714285714</v>
      </c>
      <c r="BT35" s="174"/>
      <c r="BU35" s="174"/>
      <c r="BV35" s="174"/>
      <c r="BW35" s="174"/>
      <c r="BX35" s="174"/>
      <c r="BY35" s="174"/>
      <c r="BZ35" s="174"/>
      <c r="CA35" s="174"/>
      <c r="CB35" s="174"/>
      <c r="CC35" s="174"/>
      <c r="CD35" s="174"/>
      <c r="CE35" s="174"/>
      <c r="CF35" s="174"/>
      <c r="CG35" s="174"/>
      <c r="CH35" s="174"/>
      <c r="CI35" s="174"/>
      <c r="CJ35" s="174"/>
      <c r="CK35" s="174"/>
      <c r="CL35" s="174"/>
      <c r="CM35" s="174"/>
      <c r="CN35" s="174"/>
      <c r="CO35" s="174"/>
      <c r="CP35" s="174"/>
      <c r="CQ35" s="174"/>
      <c r="CR35" s="174"/>
      <c r="CS35" s="174"/>
      <c r="CT35" s="174"/>
      <c r="CU35" s="174"/>
      <c r="CV35" s="174"/>
      <c r="CW35" s="174"/>
      <c r="CX35" s="174"/>
      <c r="CY35" s="174"/>
      <c r="CZ35" s="174"/>
      <c r="DA35" s="174"/>
      <c r="DB35" s="174"/>
      <c r="DC35" s="174"/>
      <c r="DD35" s="174"/>
      <c r="DE35" s="174"/>
      <c r="DF35" s="174"/>
      <c r="DG35" s="174"/>
      <c r="DH35" s="174"/>
      <c r="DI35" s="174"/>
      <c r="DJ35" s="174"/>
      <c r="DK35" s="174"/>
      <c r="DL35" s="174"/>
      <c r="DM35" s="174"/>
      <c r="DN35" s="174"/>
      <c r="DO35" s="174"/>
      <c r="DP35" s="174"/>
      <c r="DQ35" s="174"/>
      <c r="DR35" s="174"/>
      <c r="DS35" s="174"/>
      <c r="DT35" s="174"/>
      <c r="DU35" s="174"/>
      <c r="DV35" s="174"/>
      <c r="DW35" s="174"/>
      <c r="DX35" s="174"/>
      <c r="DY35" s="174"/>
      <c r="DZ35" s="174"/>
      <c r="EA35" s="174"/>
      <c r="EB35" s="174"/>
      <c r="EC35" s="174"/>
      <c r="ED35" s="174"/>
      <c r="EE35" s="174"/>
      <c r="EF35" s="174"/>
      <c r="EG35" s="174"/>
      <c r="EH35" s="174"/>
      <c r="EI35" s="174"/>
      <c r="EJ35" s="174"/>
      <c r="EK35" s="174"/>
      <c r="EL35" s="174"/>
      <c r="EM35" s="174"/>
      <c r="EN35" s="174"/>
      <c r="EO35" s="174"/>
      <c r="EP35" s="174"/>
      <c r="EQ35" s="174"/>
      <c r="ER35" s="174"/>
      <c r="ES35" s="174"/>
      <c r="ET35" s="174"/>
      <c r="EU35" s="174"/>
      <c r="EV35" s="174"/>
      <c r="EW35" s="174"/>
      <c r="EX35" s="174"/>
      <c r="EY35" s="174"/>
      <c r="EZ35" s="174"/>
      <c r="FA35" s="174"/>
      <c r="FB35" s="174"/>
      <c r="FC35" s="174"/>
      <c r="FD35" s="174"/>
      <c r="FE35" s="174"/>
      <c r="FF35" s="174"/>
      <c r="FG35" s="174"/>
      <c r="FH35" s="174"/>
      <c r="FI35" s="174"/>
      <c r="FJ35" s="174"/>
      <c r="FK35" s="174"/>
      <c r="FL35" s="174"/>
      <c r="FM35" s="174"/>
      <c r="FN35" s="174"/>
      <c r="FO35" s="174"/>
      <c r="FP35" s="174"/>
      <c r="FQ35" s="174"/>
      <c r="FR35" s="174"/>
      <c r="FS35" s="174"/>
      <c r="FT35" s="174"/>
      <c r="FU35" s="174"/>
      <c r="FV35" s="174"/>
      <c r="FW35" s="174"/>
      <c r="FX35" s="174"/>
      <c r="FY35" s="174"/>
      <c r="FZ35" s="174"/>
      <c r="GA35" s="174"/>
      <c r="GB35" s="174"/>
      <c r="GC35" s="174"/>
      <c r="GD35" s="174"/>
      <c r="GE35" s="174"/>
      <c r="GF35" s="174"/>
      <c r="GG35" s="174"/>
      <c r="GH35" s="174"/>
      <c r="GI35" s="174"/>
      <c r="GJ35" s="174"/>
      <c r="GK35" s="174"/>
      <c r="GL35" s="174"/>
      <c r="GM35" s="174"/>
      <c r="GN35" s="174"/>
      <c r="GO35" s="174"/>
      <c r="GP35" s="174"/>
      <c r="GQ35" s="174"/>
      <c r="GR35" s="174"/>
      <c r="GS35" s="174"/>
      <c r="GT35" s="174"/>
      <c r="GU35" s="174"/>
      <c r="GV35" s="174"/>
      <c r="GW35" s="174"/>
      <c r="GX35" s="174"/>
      <c r="GY35" s="174"/>
      <c r="GZ35" s="174"/>
      <c r="HA35" s="174"/>
      <c r="HB35" s="174"/>
      <c r="HC35" s="174"/>
      <c r="HD35" s="174"/>
      <c r="HE35" s="174"/>
      <c r="HF35" s="174"/>
      <c r="HG35" s="174"/>
      <c r="HH35" s="174"/>
      <c r="HI35" s="174"/>
      <c r="HJ35" s="174"/>
      <c r="HK35" s="174"/>
      <c r="HL35" s="174"/>
      <c r="HM35" s="174"/>
      <c r="HN35" s="174"/>
      <c r="HO35" s="174"/>
      <c r="HP35" s="174"/>
      <c r="HQ35" s="174"/>
      <c r="HR35" s="174"/>
      <c r="HS35" s="174"/>
      <c r="HT35" s="174"/>
      <c r="HU35" s="174"/>
      <c r="HV35" s="174"/>
      <c r="HW35" s="174"/>
      <c r="HX35" s="174"/>
      <c r="HY35" s="174"/>
      <c r="HZ35" s="174"/>
      <c r="IA35" s="174"/>
      <c r="IB35" s="174"/>
      <c r="IC35" s="174"/>
      <c r="ID35" s="174"/>
      <c r="IE35" s="174"/>
      <c r="IF35" s="174"/>
      <c r="IG35" s="174"/>
      <c r="IH35" s="174"/>
      <c r="II35" s="174"/>
      <c r="IJ35" s="174"/>
      <c r="IK35" s="174"/>
      <c r="IL35" s="174"/>
      <c r="IM35" s="174"/>
      <c r="IN35" s="174"/>
    </row>
    <row r="36" spans="1:248" s="149" customFormat="1" ht="14.25" customHeight="1">
      <c r="A36" s="174"/>
      <c r="B36" s="174"/>
      <c r="C36" s="174"/>
      <c r="D36" s="175">
        <v>12</v>
      </c>
      <c r="E36" s="973" t="s">
        <v>156</v>
      </c>
      <c r="F36" s="973"/>
      <c r="G36" s="176">
        <v>96241.5</v>
      </c>
      <c r="H36" s="171">
        <f t="shared" si="7"/>
        <v>3.9151398686326694E-2</v>
      </c>
      <c r="I36" s="213">
        <f t="shared" si="8"/>
        <v>107097.54116429391</v>
      </c>
      <c r="J36" s="178" t="s">
        <v>156</v>
      </c>
      <c r="K36" s="209">
        <f>LS_RPRO!B17+MANUAL!B17+OUTSALE!B17</f>
        <v>158110</v>
      </c>
      <c r="L36" s="214">
        <f t="shared" si="21"/>
        <v>51012.458835706086</v>
      </c>
      <c r="M36" s="211">
        <f>K36/G15</f>
        <v>5.7799904451577851E-2</v>
      </c>
      <c r="N36" s="212">
        <f t="shared" si="22"/>
        <v>1455782.5228001168</v>
      </c>
      <c r="O36" s="207">
        <v>167</v>
      </c>
      <c r="P36" s="170">
        <v>0</v>
      </c>
      <c r="Q36" s="203">
        <f>LS_RPRO!C17+MANUAL!C17+OUTSALE!C17</f>
        <v>658.3</v>
      </c>
      <c r="R36" s="254" t="e">
        <f t="shared" si="9"/>
        <v>#DIV/0!</v>
      </c>
      <c r="S36" s="250"/>
      <c r="T36" s="251">
        <v>18115</v>
      </c>
      <c r="U36" s="663">
        <v>34912.5</v>
      </c>
      <c r="V36" s="255">
        <f t="shared" si="0"/>
        <v>0.92727021805133869</v>
      </c>
      <c r="W36" s="664"/>
      <c r="X36" s="253">
        <v>65476.5</v>
      </c>
      <c r="Y36" s="666">
        <v>66206.5</v>
      </c>
      <c r="Z36" s="279">
        <f t="shared" si="1"/>
        <v>1.114903820454667E-2</v>
      </c>
      <c r="AA36" s="664">
        <v>18039.771829999983</v>
      </c>
      <c r="AB36" s="667">
        <f t="shared" si="2"/>
        <v>18039.771829999983</v>
      </c>
      <c r="AC36" s="668">
        <f t="shared" si="10"/>
        <v>1.9502456032432416E-2</v>
      </c>
      <c r="AD36" s="280"/>
      <c r="AE36" s="676">
        <v>43473</v>
      </c>
      <c r="AF36" s="677">
        <f>LS_RPRO!O17+MANUAL!M17+OUTSALE!M17</f>
        <v>119603.7</v>
      </c>
      <c r="AG36" s="678">
        <f t="shared" si="11"/>
        <v>1.7512179973776827</v>
      </c>
      <c r="AH36" s="174"/>
      <c r="AI36" s="686">
        <v>184</v>
      </c>
      <c r="AJ36" s="687">
        <f>LS_RPRO!M17</f>
        <v>336</v>
      </c>
      <c r="AK36" s="688">
        <f t="shared" si="3"/>
        <v>0.82608695652173902</v>
      </c>
      <c r="AL36" s="689">
        <v>46</v>
      </c>
      <c r="AM36" s="690">
        <f>LS_RPRO!H17+MANUAL!H17+OUTSALE!H17</f>
        <v>24</v>
      </c>
      <c r="AN36" s="688">
        <f t="shared" si="4"/>
        <v>-0.47826086956521741</v>
      </c>
      <c r="AO36" s="688">
        <f t="shared" si="5"/>
        <v>0.25</v>
      </c>
      <c r="AP36" s="688">
        <f t="shared" si="5"/>
        <v>7.1428571428571425E-2</v>
      </c>
      <c r="AQ36" s="691">
        <f t="shared" si="6"/>
        <v>-0.17857142857142858</v>
      </c>
      <c r="AR36" s="174"/>
      <c r="AS36" s="705">
        <v>0</v>
      </c>
      <c r="AT36" s="687">
        <f>LS_RPRO!K17</f>
        <v>0</v>
      </c>
      <c r="AU36" s="688" t="e">
        <f t="shared" si="12"/>
        <v>#DIV/0!</v>
      </c>
      <c r="AV36" s="689">
        <v>8</v>
      </c>
      <c r="AW36" s="706">
        <f>LS_RPRO!L17</f>
        <v>2</v>
      </c>
      <c r="AX36" s="688">
        <f t="shared" si="13"/>
        <v>-0.75</v>
      </c>
      <c r="AY36" s="709">
        <f t="shared" si="23"/>
        <v>8</v>
      </c>
      <c r="AZ36" s="710">
        <f t="shared" si="23"/>
        <v>2</v>
      </c>
      <c r="BA36" s="691">
        <f t="shared" si="14"/>
        <v>-0.75</v>
      </c>
      <c r="BB36" s="154"/>
      <c r="BC36" s="720"/>
      <c r="BD36" s="721">
        <v>0</v>
      </c>
      <c r="BE36" s="691" t="e">
        <f t="shared" si="15"/>
        <v>#DIV/0!</v>
      </c>
      <c r="BF36" s="174"/>
      <c r="BG36" s="727"/>
      <c r="BH36" s="728"/>
      <c r="BI36" s="735" t="e">
        <f t="shared" si="16"/>
        <v>#DIV/0!</v>
      </c>
      <c r="BJ36" s="730"/>
      <c r="BK36" s="731"/>
      <c r="BL36" s="732" t="e">
        <f t="shared" si="17"/>
        <v>#DIV/0!</v>
      </c>
      <c r="BM36" s="729" t="e">
        <f t="shared" si="18"/>
        <v>#DIV/0!</v>
      </c>
      <c r="BN36" s="733" t="e">
        <f t="shared" si="18"/>
        <v>#DIV/0!</v>
      </c>
      <c r="BO36" s="734" t="e">
        <f t="shared" si="19"/>
        <v>#DIV/0!</v>
      </c>
      <c r="BP36" s="174"/>
      <c r="BQ36" s="720">
        <v>7</v>
      </c>
      <c r="BR36" s="721">
        <v>13</v>
      </c>
      <c r="BS36" s="691">
        <f t="shared" si="20"/>
        <v>0.8571428571428571</v>
      </c>
      <c r="BT36" s="174"/>
      <c r="BU36" s="174"/>
      <c r="BV36" s="174"/>
      <c r="BW36" s="174"/>
      <c r="BX36" s="174"/>
      <c r="BY36" s="174"/>
      <c r="BZ36" s="174"/>
      <c r="CA36" s="174"/>
      <c r="CB36" s="174"/>
      <c r="CC36" s="174"/>
      <c r="CD36" s="174"/>
      <c r="CE36" s="174"/>
      <c r="CF36" s="174"/>
      <c r="CG36" s="174"/>
      <c r="CH36" s="174"/>
      <c r="CI36" s="174"/>
      <c r="CJ36" s="174"/>
      <c r="CK36" s="174"/>
      <c r="CL36" s="174"/>
      <c r="CM36" s="174"/>
      <c r="CN36" s="174"/>
      <c r="CO36" s="174"/>
      <c r="CP36" s="174"/>
      <c r="CQ36" s="174"/>
      <c r="CR36" s="174"/>
      <c r="CS36" s="174"/>
      <c r="CT36" s="174"/>
      <c r="CU36" s="174"/>
      <c r="CV36" s="174"/>
      <c r="CW36" s="174"/>
      <c r="CX36" s="174"/>
      <c r="CY36" s="174"/>
      <c r="CZ36" s="174"/>
      <c r="DA36" s="174"/>
      <c r="DB36" s="174"/>
      <c r="DC36" s="174"/>
      <c r="DD36" s="174"/>
      <c r="DE36" s="174"/>
      <c r="DF36" s="174"/>
      <c r="DG36" s="174"/>
      <c r="DH36" s="174"/>
      <c r="DI36" s="174"/>
      <c r="DJ36" s="174"/>
      <c r="DK36" s="174"/>
      <c r="DL36" s="174"/>
      <c r="DM36" s="174"/>
      <c r="DN36" s="174"/>
      <c r="DO36" s="174"/>
      <c r="DP36" s="174"/>
      <c r="DQ36" s="174"/>
      <c r="DR36" s="174"/>
      <c r="DS36" s="174"/>
      <c r="DT36" s="174"/>
      <c r="DU36" s="174"/>
      <c r="DV36" s="174"/>
      <c r="DW36" s="174"/>
      <c r="DX36" s="174"/>
      <c r="DY36" s="174"/>
      <c r="DZ36" s="174"/>
      <c r="EA36" s="174"/>
      <c r="EB36" s="174"/>
      <c r="EC36" s="174"/>
      <c r="ED36" s="174"/>
      <c r="EE36" s="174"/>
      <c r="EF36" s="174"/>
      <c r="EG36" s="174"/>
      <c r="EH36" s="174"/>
      <c r="EI36" s="174"/>
      <c r="EJ36" s="174"/>
      <c r="EK36" s="174"/>
      <c r="EL36" s="174"/>
      <c r="EM36" s="174"/>
      <c r="EN36" s="174"/>
      <c r="EO36" s="174"/>
      <c r="EP36" s="174"/>
      <c r="EQ36" s="174"/>
      <c r="ER36" s="174"/>
      <c r="ES36" s="174"/>
      <c r="ET36" s="174"/>
      <c r="EU36" s="174"/>
      <c r="EV36" s="174"/>
      <c r="EW36" s="174"/>
      <c r="EX36" s="174"/>
      <c r="EY36" s="174"/>
      <c r="EZ36" s="174"/>
      <c r="FA36" s="174"/>
      <c r="FB36" s="174"/>
      <c r="FC36" s="174"/>
      <c r="FD36" s="174"/>
      <c r="FE36" s="174"/>
      <c r="FF36" s="174"/>
      <c r="FG36" s="174"/>
      <c r="FH36" s="174"/>
      <c r="FI36" s="174"/>
      <c r="FJ36" s="174"/>
      <c r="FK36" s="174"/>
      <c r="FL36" s="174"/>
      <c r="FM36" s="174"/>
      <c r="FN36" s="174"/>
      <c r="FO36" s="174"/>
      <c r="FP36" s="174"/>
      <c r="FQ36" s="174"/>
      <c r="FR36" s="174"/>
      <c r="FS36" s="174"/>
      <c r="FT36" s="174"/>
      <c r="FU36" s="174"/>
      <c r="FV36" s="174"/>
      <c r="FW36" s="174"/>
      <c r="FX36" s="174"/>
      <c r="FY36" s="174"/>
      <c r="FZ36" s="174"/>
      <c r="GA36" s="174"/>
      <c r="GB36" s="174"/>
      <c r="GC36" s="174"/>
      <c r="GD36" s="174"/>
      <c r="GE36" s="174"/>
      <c r="GF36" s="174"/>
      <c r="GG36" s="174"/>
      <c r="GH36" s="174"/>
      <c r="GI36" s="174"/>
      <c r="GJ36" s="174"/>
      <c r="GK36" s="174"/>
      <c r="GL36" s="174"/>
      <c r="GM36" s="174"/>
      <c r="GN36" s="174"/>
      <c r="GO36" s="174"/>
      <c r="GP36" s="174"/>
      <c r="GQ36" s="174"/>
      <c r="GR36" s="174"/>
      <c r="GS36" s="174"/>
      <c r="GT36" s="174"/>
      <c r="GU36" s="174"/>
      <c r="GV36" s="174"/>
      <c r="GW36" s="174"/>
      <c r="GX36" s="174"/>
      <c r="GY36" s="174"/>
      <c r="GZ36" s="174"/>
      <c r="HA36" s="174"/>
      <c r="HB36" s="174"/>
      <c r="HC36" s="174"/>
      <c r="HD36" s="174"/>
      <c r="HE36" s="174"/>
      <c r="HF36" s="174"/>
      <c r="HG36" s="174"/>
      <c r="HH36" s="174"/>
      <c r="HI36" s="174"/>
      <c r="HJ36" s="174"/>
      <c r="HK36" s="174"/>
      <c r="HL36" s="174"/>
      <c r="HM36" s="174"/>
      <c r="HN36" s="174"/>
      <c r="HO36" s="174"/>
      <c r="HP36" s="174"/>
      <c r="HQ36" s="174"/>
      <c r="HR36" s="174"/>
      <c r="HS36" s="174"/>
      <c r="HT36" s="174"/>
      <c r="HU36" s="174"/>
      <c r="HV36" s="174"/>
      <c r="HW36" s="174"/>
      <c r="HX36" s="174"/>
      <c r="HY36" s="174"/>
      <c r="HZ36" s="174"/>
      <c r="IA36" s="174"/>
      <c r="IB36" s="174"/>
      <c r="IC36" s="174"/>
      <c r="ID36" s="174"/>
      <c r="IE36" s="174"/>
      <c r="IF36" s="174"/>
      <c r="IG36" s="174"/>
      <c r="IH36" s="174"/>
      <c r="II36" s="174"/>
      <c r="IJ36" s="174"/>
      <c r="IK36" s="174"/>
      <c r="IL36" s="174"/>
      <c r="IM36" s="174"/>
      <c r="IN36" s="174"/>
    </row>
    <row r="37" spans="1:248" s="149" customFormat="1" ht="14.25" customHeight="1">
      <c r="A37" s="174"/>
      <c r="B37" s="174"/>
      <c r="C37" s="174"/>
      <c r="D37" s="175">
        <v>13</v>
      </c>
      <c r="E37" s="973" t="s">
        <v>157</v>
      </c>
      <c r="F37" s="973"/>
      <c r="G37" s="170">
        <v>80204</v>
      </c>
      <c r="H37" s="171">
        <f t="shared" si="7"/>
        <v>3.2627284282125135E-2</v>
      </c>
      <c r="I37" s="213">
        <f t="shared" si="8"/>
        <v>89251.011170243903</v>
      </c>
      <c r="J37" s="178" t="s">
        <v>157</v>
      </c>
      <c r="K37" s="209">
        <f>LS_RPRO!B18+MANUAL!B18+OUTSALE!B18</f>
        <v>0</v>
      </c>
      <c r="L37" s="214">
        <f t="shared" si="21"/>
        <v>-89251.011170243903</v>
      </c>
      <c r="M37" s="211">
        <f>K37/G15</f>
        <v>0</v>
      </c>
      <c r="N37" s="212">
        <f t="shared" si="22"/>
        <v>1366531.511629873</v>
      </c>
      <c r="O37" s="207">
        <v>167</v>
      </c>
      <c r="P37" s="170">
        <v>0</v>
      </c>
      <c r="Q37" s="203">
        <f>LS_RPRO!C18+MANUAL!C18+OUTSALE!C18</f>
        <v>0</v>
      </c>
      <c r="R37" s="254" t="e">
        <f t="shared" si="9"/>
        <v>#DIV/0!</v>
      </c>
      <c r="S37" s="250"/>
      <c r="T37" s="251">
        <v>23774.5</v>
      </c>
      <c r="U37" s="663">
        <v>13019</v>
      </c>
      <c r="V37" s="255">
        <f t="shared" si="0"/>
        <v>-0.45239647521504134</v>
      </c>
      <c r="W37" s="664"/>
      <c r="X37" s="253">
        <v>77520</v>
      </c>
      <c r="Y37" s="666">
        <v>96257</v>
      </c>
      <c r="Z37" s="279">
        <f t="shared" si="1"/>
        <v>0.24170536635706916</v>
      </c>
      <c r="AA37" s="664">
        <v>30445.929069999998</v>
      </c>
      <c r="AB37" s="667">
        <f t="shared" si="2"/>
        <v>30445.929069999998</v>
      </c>
      <c r="AC37" s="668">
        <f t="shared" si="10"/>
        <v>3.2914517913513512E-2</v>
      </c>
      <c r="AD37" s="280"/>
      <c r="AE37" s="676">
        <v>80990.5</v>
      </c>
      <c r="AF37" s="677">
        <f>LS_RPRO!O18+MANUAL!M18+OUTSALE!M18</f>
        <v>0</v>
      </c>
      <c r="AG37" s="678">
        <f t="shared" si="11"/>
        <v>-1</v>
      </c>
      <c r="AH37" s="174"/>
      <c r="AI37" s="686">
        <v>153</v>
      </c>
      <c r="AJ37" s="687">
        <f>LS_RPRO!M18</f>
        <v>0</v>
      </c>
      <c r="AK37" s="688">
        <f t="shared" si="3"/>
        <v>-1</v>
      </c>
      <c r="AL37" s="689">
        <v>49</v>
      </c>
      <c r="AM37" s="690">
        <f>LS_RPRO!H18+MANUAL!H18+OUTSALE!H18</f>
        <v>0</v>
      </c>
      <c r="AN37" s="688">
        <f t="shared" si="4"/>
        <v>-1</v>
      </c>
      <c r="AO37" s="688">
        <f t="shared" si="5"/>
        <v>0.3202614379084967</v>
      </c>
      <c r="AP37" s="688" t="e">
        <f t="shared" si="5"/>
        <v>#DIV/0!</v>
      </c>
      <c r="AQ37" s="691" t="e">
        <f t="shared" si="6"/>
        <v>#DIV/0!</v>
      </c>
      <c r="AR37" s="174"/>
      <c r="AS37" s="705">
        <v>2</v>
      </c>
      <c r="AT37" s="687">
        <f>LS_RPRO!K18</f>
        <v>0</v>
      </c>
      <c r="AU37" s="688">
        <f t="shared" si="12"/>
        <v>-1</v>
      </c>
      <c r="AV37" s="689">
        <v>5</v>
      </c>
      <c r="AW37" s="706">
        <f>LS_RPRO!L18</f>
        <v>0</v>
      </c>
      <c r="AX37" s="688">
        <f t="shared" si="13"/>
        <v>-1</v>
      </c>
      <c r="AY37" s="709">
        <f t="shared" si="23"/>
        <v>7</v>
      </c>
      <c r="AZ37" s="710">
        <f t="shared" si="23"/>
        <v>0</v>
      </c>
      <c r="BA37" s="691">
        <f t="shared" si="14"/>
        <v>-1</v>
      </c>
      <c r="BB37" s="154"/>
      <c r="BC37" s="720"/>
      <c r="BD37" s="721">
        <v>0</v>
      </c>
      <c r="BE37" s="691" t="e">
        <f t="shared" si="15"/>
        <v>#DIV/0!</v>
      </c>
      <c r="BF37" s="174"/>
      <c r="BG37" s="727"/>
      <c r="BH37" s="728"/>
      <c r="BI37" s="735" t="e">
        <f t="shared" si="16"/>
        <v>#DIV/0!</v>
      </c>
      <c r="BJ37" s="730"/>
      <c r="BK37" s="731"/>
      <c r="BL37" s="732" t="e">
        <f t="shared" si="17"/>
        <v>#DIV/0!</v>
      </c>
      <c r="BM37" s="729" t="e">
        <f t="shared" si="18"/>
        <v>#DIV/0!</v>
      </c>
      <c r="BN37" s="733" t="e">
        <f t="shared" si="18"/>
        <v>#DIV/0!</v>
      </c>
      <c r="BO37" s="734" t="e">
        <f t="shared" si="19"/>
        <v>#DIV/0!</v>
      </c>
      <c r="BP37" s="174"/>
      <c r="BQ37" s="720">
        <v>11</v>
      </c>
      <c r="BR37" s="721">
        <v>17</v>
      </c>
      <c r="BS37" s="691">
        <f t="shared" si="20"/>
        <v>0.54545454545454541</v>
      </c>
      <c r="BT37" s="174"/>
      <c r="BU37" s="174"/>
      <c r="BV37" s="174"/>
      <c r="BW37" s="174"/>
      <c r="BX37" s="174"/>
      <c r="BY37" s="174"/>
      <c r="BZ37" s="174"/>
      <c r="CA37" s="174"/>
      <c r="CB37" s="174"/>
      <c r="CC37" s="174"/>
      <c r="CD37" s="174"/>
      <c r="CE37" s="174"/>
      <c r="CF37" s="174"/>
      <c r="CG37" s="174"/>
      <c r="CH37" s="174"/>
      <c r="CI37" s="174"/>
      <c r="CJ37" s="174"/>
      <c r="CK37" s="174"/>
      <c r="CL37" s="174"/>
      <c r="CM37" s="174"/>
      <c r="CN37" s="174"/>
      <c r="CO37" s="174"/>
      <c r="CP37" s="174"/>
      <c r="CQ37" s="174"/>
      <c r="CR37" s="174"/>
      <c r="CS37" s="174"/>
      <c r="CT37" s="174"/>
      <c r="CU37" s="174"/>
      <c r="CV37" s="174"/>
      <c r="CW37" s="174"/>
      <c r="CX37" s="174"/>
      <c r="CY37" s="174"/>
      <c r="CZ37" s="174"/>
      <c r="DA37" s="174"/>
      <c r="DB37" s="174"/>
      <c r="DC37" s="174"/>
      <c r="DD37" s="174"/>
      <c r="DE37" s="174"/>
      <c r="DF37" s="174"/>
      <c r="DG37" s="174"/>
      <c r="DH37" s="174"/>
      <c r="DI37" s="174"/>
      <c r="DJ37" s="174"/>
      <c r="DK37" s="174"/>
      <c r="DL37" s="174"/>
      <c r="DM37" s="174"/>
      <c r="DN37" s="174"/>
      <c r="DO37" s="174"/>
      <c r="DP37" s="174"/>
      <c r="DQ37" s="174"/>
      <c r="DR37" s="174"/>
      <c r="DS37" s="174"/>
      <c r="DT37" s="174"/>
      <c r="DU37" s="174"/>
      <c r="DV37" s="174"/>
      <c r="DW37" s="174"/>
      <c r="DX37" s="174"/>
      <c r="DY37" s="174"/>
      <c r="DZ37" s="174"/>
      <c r="EA37" s="174"/>
      <c r="EB37" s="174"/>
      <c r="EC37" s="174"/>
      <c r="ED37" s="174"/>
      <c r="EE37" s="174"/>
      <c r="EF37" s="174"/>
      <c r="EG37" s="174"/>
      <c r="EH37" s="174"/>
      <c r="EI37" s="174"/>
      <c r="EJ37" s="174"/>
      <c r="EK37" s="174"/>
      <c r="EL37" s="174"/>
      <c r="EM37" s="174"/>
      <c r="EN37" s="174"/>
      <c r="EO37" s="174"/>
      <c r="EP37" s="174"/>
      <c r="EQ37" s="174"/>
      <c r="ER37" s="174"/>
      <c r="ES37" s="174"/>
      <c r="ET37" s="174"/>
      <c r="EU37" s="174"/>
      <c r="EV37" s="174"/>
      <c r="EW37" s="174"/>
      <c r="EX37" s="174"/>
      <c r="EY37" s="174"/>
      <c r="EZ37" s="174"/>
      <c r="FA37" s="174"/>
      <c r="FB37" s="174"/>
      <c r="FC37" s="174"/>
      <c r="FD37" s="174"/>
      <c r="FE37" s="174"/>
      <c r="FF37" s="174"/>
      <c r="FG37" s="174"/>
      <c r="FH37" s="174"/>
      <c r="FI37" s="174"/>
      <c r="FJ37" s="174"/>
      <c r="FK37" s="174"/>
      <c r="FL37" s="174"/>
      <c r="FM37" s="174"/>
      <c r="FN37" s="174"/>
      <c r="FO37" s="174"/>
      <c r="FP37" s="174"/>
      <c r="FQ37" s="174"/>
      <c r="FR37" s="174"/>
      <c r="FS37" s="174"/>
      <c r="FT37" s="174"/>
      <c r="FU37" s="174"/>
      <c r="FV37" s="174"/>
      <c r="FW37" s="174"/>
      <c r="FX37" s="174"/>
      <c r="FY37" s="174"/>
      <c r="FZ37" s="174"/>
      <c r="GA37" s="174"/>
      <c r="GB37" s="174"/>
      <c r="GC37" s="174"/>
      <c r="GD37" s="174"/>
      <c r="GE37" s="174"/>
      <c r="GF37" s="174"/>
      <c r="GG37" s="174"/>
      <c r="GH37" s="174"/>
      <c r="GI37" s="174"/>
      <c r="GJ37" s="174"/>
      <c r="GK37" s="174"/>
      <c r="GL37" s="174"/>
      <c r="GM37" s="174"/>
      <c r="GN37" s="174"/>
      <c r="GO37" s="174"/>
      <c r="GP37" s="174"/>
      <c r="GQ37" s="174"/>
      <c r="GR37" s="174"/>
      <c r="GS37" s="174"/>
      <c r="GT37" s="174"/>
      <c r="GU37" s="174"/>
      <c r="GV37" s="174"/>
      <c r="GW37" s="174"/>
      <c r="GX37" s="174"/>
      <c r="GY37" s="174"/>
      <c r="GZ37" s="174"/>
      <c r="HA37" s="174"/>
      <c r="HB37" s="174"/>
      <c r="HC37" s="174"/>
      <c r="HD37" s="174"/>
      <c r="HE37" s="174"/>
      <c r="HF37" s="174"/>
      <c r="HG37" s="174"/>
      <c r="HH37" s="174"/>
      <c r="HI37" s="174"/>
      <c r="HJ37" s="174"/>
      <c r="HK37" s="174"/>
      <c r="HL37" s="174"/>
      <c r="HM37" s="174"/>
      <c r="HN37" s="174"/>
      <c r="HO37" s="174"/>
      <c r="HP37" s="174"/>
      <c r="HQ37" s="174"/>
      <c r="HR37" s="174"/>
      <c r="HS37" s="174"/>
      <c r="HT37" s="174"/>
      <c r="HU37" s="174"/>
      <c r="HV37" s="174"/>
      <c r="HW37" s="174"/>
      <c r="HX37" s="174"/>
      <c r="HY37" s="174"/>
      <c r="HZ37" s="174"/>
      <c r="IA37" s="174"/>
      <c r="IB37" s="174"/>
      <c r="IC37" s="174"/>
      <c r="ID37" s="174"/>
      <c r="IE37" s="174"/>
      <c r="IF37" s="174"/>
      <c r="IG37" s="174"/>
      <c r="IH37" s="174"/>
      <c r="II37" s="174"/>
      <c r="IJ37" s="174"/>
      <c r="IK37" s="174"/>
      <c r="IL37" s="174"/>
      <c r="IM37" s="174"/>
      <c r="IN37" s="174"/>
    </row>
    <row r="38" spans="1:248" s="149" customFormat="1" ht="14.25" customHeight="1">
      <c r="A38" s="174"/>
      <c r="B38" s="174"/>
      <c r="C38" s="174"/>
      <c r="D38" s="175">
        <v>14</v>
      </c>
      <c r="E38" s="973" t="s">
        <v>158</v>
      </c>
      <c r="F38" s="973"/>
      <c r="G38" s="170">
        <v>87098</v>
      </c>
      <c r="H38" s="171">
        <f t="shared" si="7"/>
        <v>3.5431789018060635E-2</v>
      </c>
      <c r="I38" s="213">
        <f t="shared" si="8"/>
        <v>96922.654367686206</v>
      </c>
      <c r="J38" s="178" t="s">
        <v>158</v>
      </c>
      <c r="K38" s="209">
        <f>LS_RPRO!B19+MANUAL!B19+OUTSALE!B19</f>
        <v>0</v>
      </c>
      <c r="L38" s="214">
        <f t="shared" si="21"/>
        <v>-96922.654367686206</v>
      </c>
      <c r="M38" s="211">
        <f>K38/G15</f>
        <v>0</v>
      </c>
      <c r="N38" s="212">
        <f t="shared" si="22"/>
        <v>1269608.8572621867</v>
      </c>
      <c r="O38" s="207">
        <v>110</v>
      </c>
      <c r="P38" s="170">
        <v>0</v>
      </c>
      <c r="Q38" s="203">
        <f>LS_RPRO!C19+MANUAL!C19+OUTSALE!C19</f>
        <v>0</v>
      </c>
      <c r="R38" s="254" t="e">
        <f t="shared" si="9"/>
        <v>#DIV/0!</v>
      </c>
      <c r="S38" s="250"/>
      <c r="T38" s="251">
        <v>15009</v>
      </c>
      <c r="U38" s="663">
        <v>20244</v>
      </c>
      <c r="V38" s="255">
        <f t="shared" si="0"/>
        <v>0.34879072556466123</v>
      </c>
      <c r="W38" s="664"/>
      <c r="X38" s="253">
        <v>81232.5</v>
      </c>
      <c r="Y38" s="666">
        <v>46435.499999999985</v>
      </c>
      <c r="Z38" s="279">
        <f t="shared" si="1"/>
        <v>-0.42836303203766984</v>
      </c>
      <c r="AA38" s="664">
        <v>13815.899510000003</v>
      </c>
      <c r="AB38" s="667">
        <f t="shared" si="2"/>
        <v>13815.899510000003</v>
      </c>
      <c r="AC38" s="668">
        <f t="shared" si="10"/>
        <v>1.4936107578378382E-2</v>
      </c>
      <c r="AD38" s="280"/>
      <c r="AE38" s="676">
        <v>51700</v>
      </c>
      <c r="AF38" s="677">
        <f>LS_RPRO!O19+MANUAL!M19+OUTSALE!M19</f>
        <v>0</v>
      </c>
      <c r="AG38" s="678">
        <f t="shared" si="11"/>
        <v>-1</v>
      </c>
      <c r="AH38" s="174"/>
      <c r="AI38" s="686">
        <v>207</v>
      </c>
      <c r="AJ38" s="687">
        <f>LS_RPRO!M19</f>
        <v>0</v>
      </c>
      <c r="AK38" s="688">
        <f t="shared" si="3"/>
        <v>-1</v>
      </c>
      <c r="AL38" s="692">
        <v>0</v>
      </c>
      <c r="AM38" s="690">
        <f>LS_RPRO!H19+MANUAL!H19+OUTSALE!H19</f>
        <v>0</v>
      </c>
      <c r="AN38" s="688" t="e">
        <f t="shared" si="4"/>
        <v>#DIV/0!</v>
      </c>
      <c r="AO38" s="688">
        <f t="shared" si="5"/>
        <v>0</v>
      </c>
      <c r="AP38" s="688" t="e">
        <f t="shared" si="5"/>
        <v>#DIV/0!</v>
      </c>
      <c r="AQ38" s="691" t="e">
        <f t="shared" si="6"/>
        <v>#DIV/0!</v>
      </c>
      <c r="AR38" s="174"/>
      <c r="AS38" s="705">
        <v>1</v>
      </c>
      <c r="AT38" s="687">
        <f>LS_RPRO!K19</f>
        <v>0</v>
      </c>
      <c r="AU38" s="688">
        <f t="shared" si="12"/>
        <v>-1</v>
      </c>
      <c r="AV38" s="689">
        <v>1</v>
      </c>
      <c r="AW38" s="706">
        <f>LS_RPRO!L19</f>
        <v>0</v>
      </c>
      <c r="AX38" s="688">
        <f t="shared" si="13"/>
        <v>-1</v>
      </c>
      <c r="AY38" s="709">
        <f t="shared" si="23"/>
        <v>2</v>
      </c>
      <c r="AZ38" s="710">
        <f t="shared" si="23"/>
        <v>0</v>
      </c>
      <c r="BA38" s="691">
        <f t="shared" si="14"/>
        <v>-1</v>
      </c>
      <c r="BB38" s="154"/>
      <c r="BC38" s="720"/>
      <c r="BD38" s="721">
        <v>0</v>
      </c>
      <c r="BE38" s="691" t="e">
        <f t="shared" si="15"/>
        <v>#DIV/0!</v>
      </c>
      <c r="BF38" s="174"/>
      <c r="BG38" s="727"/>
      <c r="BH38" s="728"/>
      <c r="BI38" s="735" t="e">
        <f t="shared" si="16"/>
        <v>#DIV/0!</v>
      </c>
      <c r="BJ38" s="730"/>
      <c r="BK38" s="731"/>
      <c r="BL38" s="732" t="e">
        <f t="shared" si="17"/>
        <v>#DIV/0!</v>
      </c>
      <c r="BM38" s="729" t="e">
        <f t="shared" si="18"/>
        <v>#DIV/0!</v>
      </c>
      <c r="BN38" s="733" t="e">
        <f t="shared" si="18"/>
        <v>#DIV/0!</v>
      </c>
      <c r="BO38" s="734" t="e">
        <f t="shared" si="19"/>
        <v>#DIV/0!</v>
      </c>
      <c r="BP38" s="174"/>
      <c r="BQ38" s="720">
        <v>20</v>
      </c>
      <c r="BR38" s="721">
        <v>5</v>
      </c>
      <c r="BS38" s="691">
        <f t="shared" si="20"/>
        <v>-0.75</v>
      </c>
      <c r="BT38" s="174"/>
      <c r="BU38" s="174"/>
      <c r="BV38" s="174"/>
      <c r="BW38" s="174"/>
      <c r="BX38" s="174"/>
      <c r="BY38" s="174"/>
      <c r="BZ38" s="174"/>
      <c r="CA38" s="174"/>
      <c r="CB38" s="174"/>
      <c r="CC38" s="174"/>
      <c r="CD38" s="174"/>
      <c r="CE38" s="174"/>
      <c r="CF38" s="174"/>
      <c r="CG38" s="174"/>
      <c r="CH38" s="174"/>
      <c r="CI38" s="174"/>
      <c r="CJ38" s="174"/>
      <c r="CK38" s="174"/>
      <c r="CL38" s="174"/>
      <c r="CM38" s="174"/>
      <c r="CN38" s="174"/>
      <c r="CO38" s="174"/>
      <c r="CP38" s="174"/>
      <c r="CQ38" s="174"/>
      <c r="CR38" s="174"/>
      <c r="CS38" s="174"/>
      <c r="CT38" s="174"/>
      <c r="CU38" s="174"/>
      <c r="CV38" s="174"/>
      <c r="CW38" s="174"/>
      <c r="CX38" s="174"/>
      <c r="CY38" s="174"/>
      <c r="CZ38" s="174"/>
      <c r="DA38" s="174"/>
      <c r="DB38" s="174"/>
      <c r="DC38" s="174"/>
      <c r="DD38" s="174"/>
      <c r="DE38" s="174"/>
      <c r="DF38" s="174"/>
      <c r="DG38" s="174"/>
      <c r="DH38" s="174"/>
      <c r="DI38" s="174"/>
      <c r="DJ38" s="174"/>
      <c r="DK38" s="174"/>
      <c r="DL38" s="174"/>
      <c r="DM38" s="174"/>
      <c r="DN38" s="174"/>
      <c r="DO38" s="174"/>
      <c r="DP38" s="174"/>
      <c r="DQ38" s="174"/>
      <c r="DR38" s="174"/>
      <c r="DS38" s="174"/>
      <c r="DT38" s="174"/>
      <c r="DU38" s="174"/>
      <c r="DV38" s="174"/>
      <c r="DW38" s="174"/>
      <c r="DX38" s="174"/>
      <c r="DY38" s="174"/>
      <c r="DZ38" s="174"/>
      <c r="EA38" s="174"/>
      <c r="EB38" s="174"/>
      <c r="EC38" s="174"/>
      <c r="ED38" s="174"/>
      <c r="EE38" s="174"/>
      <c r="EF38" s="174"/>
      <c r="EG38" s="174"/>
      <c r="EH38" s="174"/>
      <c r="EI38" s="174"/>
      <c r="EJ38" s="174"/>
      <c r="EK38" s="174"/>
      <c r="EL38" s="174"/>
      <c r="EM38" s="174"/>
      <c r="EN38" s="174"/>
      <c r="EO38" s="174"/>
      <c r="EP38" s="174"/>
      <c r="EQ38" s="174"/>
      <c r="ER38" s="174"/>
      <c r="ES38" s="174"/>
      <c r="ET38" s="174"/>
      <c r="EU38" s="174"/>
      <c r="EV38" s="174"/>
      <c r="EW38" s="174"/>
      <c r="EX38" s="174"/>
      <c r="EY38" s="174"/>
      <c r="EZ38" s="174"/>
      <c r="FA38" s="174"/>
      <c r="FB38" s="174"/>
      <c r="FC38" s="174"/>
      <c r="FD38" s="174"/>
      <c r="FE38" s="174"/>
      <c r="FF38" s="174"/>
      <c r="FG38" s="174"/>
      <c r="FH38" s="174"/>
      <c r="FI38" s="174"/>
      <c r="FJ38" s="174"/>
      <c r="FK38" s="174"/>
      <c r="FL38" s="174"/>
      <c r="FM38" s="174"/>
      <c r="FN38" s="174"/>
      <c r="FO38" s="174"/>
      <c r="FP38" s="174"/>
      <c r="FQ38" s="174"/>
      <c r="FR38" s="174"/>
      <c r="FS38" s="174"/>
      <c r="FT38" s="174"/>
      <c r="FU38" s="174"/>
      <c r="FV38" s="174"/>
      <c r="FW38" s="174"/>
      <c r="FX38" s="174"/>
      <c r="FY38" s="174"/>
      <c r="FZ38" s="174"/>
      <c r="GA38" s="174"/>
      <c r="GB38" s="174"/>
      <c r="GC38" s="174"/>
      <c r="GD38" s="174"/>
      <c r="GE38" s="174"/>
      <c r="GF38" s="174"/>
      <c r="GG38" s="174"/>
      <c r="GH38" s="174"/>
      <c r="GI38" s="174"/>
      <c r="GJ38" s="174"/>
      <c r="GK38" s="174"/>
      <c r="GL38" s="174"/>
      <c r="GM38" s="174"/>
      <c r="GN38" s="174"/>
      <c r="GO38" s="174"/>
      <c r="GP38" s="174"/>
      <c r="GQ38" s="174"/>
      <c r="GR38" s="174"/>
      <c r="GS38" s="174"/>
      <c r="GT38" s="174"/>
      <c r="GU38" s="174"/>
      <c r="GV38" s="174"/>
      <c r="GW38" s="174"/>
      <c r="GX38" s="174"/>
      <c r="GY38" s="174"/>
      <c r="GZ38" s="174"/>
      <c r="HA38" s="174"/>
      <c r="HB38" s="174"/>
      <c r="HC38" s="174"/>
      <c r="HD38" s="174"/>
      <c r="HE38" s="174"/>
      <c r="HF38" s="174"/>
      <c r="HG38" s="174"/>
      <c r="HH38" s="174"/>
      <c r="HI38" s="174"/>
      <c r="HJ38" s="174"/>
      <c r="HK38" s="174"/>
      <c r="HL38" s="174"/>
      <c r="HM38" s="174"/>
      <c r="HN38" s="174"/>
      <c r="HO38" s="174"/>
      <c r="HP38" s="174"/>
      <c r="HQ38" s="174"/>
      <c r="HR38" s="174"/>
      <c r="HS38" s="174"/>
      <c r="HT38" s="174"/>
      <c r="HU38" s="174"/>
      <c r="HV38" s="174"/>
      <c r="HW38" s="174"/>
      <c r="HX38" s="174"/>
      <c r="HY38" s="174"/>
      <c r="HZ38" s="174"/>
      <c r="IA38" s="174"/>
      <c r="IB38" s="174"/>
      <c r="IC38" s="174"/>
      <c r="ID38" s="174"/>
      <c r="IE38" s="174"/>
      <c r="IF38" s="174"/>
      <c r="IG38" s="174"/>
      <c r="IH38" s="174"/>
      <c r="II38" s="174"/>
      <c r="IJ38" s="174"/>
      <c r="IK38" s="174"/>
      <c r="IL38" s="174"/>
      <c r="IM38" s="174"/>
      <c r="IN38" s="174"/>
    </row>
    <row r="39" spans="1:248" s="149" customFormat="1" ht="14.25" customHeight="1">
      <c r="A39" s="174"/>
      <c r="B39" s="174"/>
      <c r="C39" s="174"/>
      <c r="D39" s="175">
        <v>15</v>
      </c>
      <c r="E39" s="973" t="s">
        <v>159</v>
      </c>
      <c r="F39" s="973"/>
      <c r="G39" s="170">
        <v>62989.5</v>
      </c>
      <c r="H39" s="171">
        <f t="shared" si="7"/>
        <v>2.5624361918220057E-2</v>
      </c>
      <c r="I39" s="213">
        <f t="shared" si="8"/>
        <v>70094.71557663058</v>
      </c>
      <c r="J39" s="178" t="s">
        <v>159</v>
      </c>
      <c r="K39" s="209">
        <f>LS_RPRO!B20+MANUAL!B20+OUTSALE!B20</f>
        <v>0</v>
      </c>
      <c r="L39" s="214">
        <f t="shared" si="21"/>
        <v>-70094.71557663058</v>
      </c>
      <c r="M39" s="211">
        <f>K39/G15</f>
        <v>0</v>
      </c>
      <c r="N39" s="212">
        <f t="shared" si="22"/>
        <v>1199514.1416855562</v>
      </c>
      <c r="O39" s="207">
        <v>108</v>
      </c>
      <c r="P39" s="170">
        <v>0</v>
      </c>
      <c r="Q39" s="203">
        <f>LS_RPRO!C20+MANUAL!C20+OUTSALE!C20</f>
        <v>0</v>
      </c>
      <c r="R39" s="254" t="e">
        <f t="shared" si="9"/>
        <v>#DIV/0!</v>
      </c>
      <c r="S39" s="250"/>
      <c r="T39" s="251">
        <v>16156.5</v>
      </c>
      <c r="U39" s="663">
        <v>21277</v>
      </c>
      <c r="V39" s="255">
        <f t="shared" si="0"/>
        <v>0.3169312660539102</v>
      </c>
      <c r="W39" s="664">
        <v>44261.56</v>
      </c>
      <c r="X39" s="253">
        <v>64047.5</v>
      </c>
      <c r="Y39" s="666">
        <v>54026.000000000007</v>
      </c>
      <c r="Z39" s="279">
        <f t="shared" si="1"/>
        <v>-0.15646980756469797</v>
      </c>
      <c r="AA39" s="664">
        <v>16020.847549999991</v>
      </c>
      <c r="AB39" s="667">
        <f t="shared" si="2"/>
        <v>60282.407549999989</v>
      </c>
      <c r="AC39" s="668">
        <f t="shared" si="10"/>
        <v>6.5170170324324317E-2</v>
      </c>
      <c r="AD39" s="280"/>
      <c r="AE39" s="676">
        <v>41039.5</v>
      </c>
      <c r="AF39" s="677">
        <f>LS_RPRO!O20+MANUAL!M20+OUTSALE!M20</f>
        <v>0</v>
      </c>
      <c r="AG39" s="678">
        <f t="shared" si="11"/>
        <v>-1</v>
      </c>
      <c r="AH39" s="174"/>
      <c r="AI39" s="686">
        <v>209</v>
      </c>
      <c r="AJ39" s="687">
        <f>LS_RPRO!M20</f>
        <v>0</v>
      </c>
      <c r="AK39" s="688">
        <f t="shared" si="3"/>
        <v>-1</v>
      </c>
      <c r="AL39" s="692">
        <v>42</v>
      </c>
      <c r="AM39" s="690">
        <f>LS_RPRO!H20+MANUAL!H20+OUTSALE!H20</f>
        <v>0</v>
      </c>
      <c r="AN39" s="688">
        <f t="shared" si="4"/>
        <v>-1</v>
      </c>
      <c r="AO39" s="688">
        <f t="shared" si="5"/>
        <v>0.20095693779904306</v>
      </c>
      <c r="AP39" s="688" t="e">
        <f t="shared" si="5"/>
        <v>#DIV/0!</v>
      </c>
      <c r="AQ39" s="691" t="e">
        <f t="shared" si="6"/>
        <v>#DIV/0!</v>
      </c>
      <c r="AR39" s="174"/>
      <c r="AS39" s="705">
        <v>1</v>
      </c>
      <c r="AT39" s="687">
        <f>LS_RPRO!K20</f>
        <v>0</v>
      </c>
      <c r="AU39" s="688">
        <f t="shared" si="12"/>
        <v>-1</v>
      </c>
      <c r="AV39" s="689">
        <v>0</v>
      </c>
      <c r="AW39" s="706">
        <f>LS_RPRO!L20</f>
        <v>0</v>
      </c>
      <c r="AX39" s="688" t="e">
        <f t="shared" si="13"/>
        <v>#DIV/0!</v>
      </c>
      <c r="AY39" s="709">
        <f t="shared" si="23"/>
        <v>1</v>
      </c>
      <c r="AZ39" s="710">
        <f t="shared" si="23"/>
        <v>0</v>
      </c>
      <c r="BA39" s="691">
        <f t="shared" si="14"/>
        <v>-1</v>
      </c>
      <c r="BB39" s="154"/>
      <c r="BC39" s="720"/>
      <c r="BD39" s="721">
        <v>0</v>
      </c>
      <c r="BE39" s="691" t="e">
        <f t="shared" si="15"/>
        <v>#DIV/0!</v>
      </c>
      <c r="BF39" s="174"/>
      <c r="BG39" s="727"/>
      <c r="BH39" s="728"/>
      <c r="BI39" s="735" t="e">
        <f t="shared" si="16"/>
        <v>#DIV/0!</v>
      </c>
      <c r="BJ39" s="730"/>
      <c r="BK39" s="731"/>
      <c r="BL39" s="732" t="e">
        <f t="shared" si="17"/>
        <v>#DIV/0!</v>
      </c>
      <c r="BM39" s="729" t="e">
        <f t="shared" si="18"/>
        <v>#DIV/0!</v>
      </c>
      <c r="BN39" s="733" t="e">
        <f t="shared" si="18"/>
        <v>#DIV/0!</v>
      </c>
      <c r="BO39" s="734" t="e">
        <f t="shared" si="19"/>
        <v>#DIV/0!</v>
      </c>
      <c r="BP39" s="174"/>
      <c r="BQ39" s="720">
        <v>8</v>
      </c>
      <c r="BR39" s="721">
        <v>9</v>
      </c>
      <c r="BS39" s="691">
        <f t="shared" si="20"/>
        <v>0.125</v>
      </c>
      <c r="BT39" s="174"/>
      <c r="BU39" s="174"/>
      <c r="BV39" s="174"/>
      <c r="BW39" s="174"/>
      <c r="BX39" s="174"/>
      <c r="BY39" s="174"/>
      <c r="BZ39" s="174"/>
      <c r="CA39" s="174"/>
      <c r="CB39" s="174"/>
      <c r="CC39" s="174"/>
      <c r="CD39" s="174"/>
      <c r="CE39" s="174"/>
      <c r="CF39" s="174"/>
      <c r="CG39" s="174"/>
      <c r="CH39" s="174"/>
      <c r="CI39" s="174"/>
      <c r="CJ39" s="174"/>
      <c r="CK39" s="174"/>
      <c r="CL39" s="174"/>
      <c r="CM39" s="174"/>
      <c r="CN39" s="174"/>
      <c r="CO39" s="174"/>
      <c r="CP39" s="174"/>
      <c r="CQ39" s="174"/>
      <c r="CR39" s="174"/>
      <c r="CS39" s="174"/>
      <c r="CT39" s="174"/>
      <c r="CU39" s="174"/>
      <c r="CV39" s="174"/>
      <c r="CW39" s="174"/>
      <c r="CX39" s="174"/>
      <c r="CY39" s="174"/>
      <c r="CZ39" s="174"/>
      <c r="DA39" s="174"/>
      <c r="DB39" s="174"/>
      <c r="DC39" s="174"/>
      <c r="DD39" s="174"/>
      <c r="DE39" s="174"/>
      <c r="DF39" s="174"/>
      <c r="DG39" s="174"/>
      <c r="DH39" s="174"/>
      <c r="DI39" s="174"/>
      <c r="DJ39" s="174"/>
      <c r="DK39" s="174"/>
      <c r="DL39" s="174"/>
      <c r="DM39" s="174"/>
      <c r="DN39" s="174"/>
      <c r="DO39" s="174"/>
      <c r="DP39" s="174"/>
      <c r="DQ39" s="174"/>
      <c r="DR39" s="174"/>
      <c r="DS39" s="174"/>
      <c r="DT39" s="174"/>
      <c r="DU39" s="174"/>
      <c r="DV39" s="174"/>
      <c r="DW39" s="174"/>
      <c r="DX39" s="174"/>
      <c r="DY39" s="174"/>
      <c r="DZ39" s="174"/>
      <c r="EA39" s="174"/>
      <c r="EB39" s="174"/>
      <c r="EC39" s="174"/>
      <c r="ED39" s="174"/>
      <c r="EE39" s="174"/>
      <c r="EF39" s="174"/>
      <c r="EG39" s="174"/>
      <c r="EH39" s="174"/>
      <c r="EI39" s="174"/>
      <c r="EJ39" s="174"/>
      <c r="EK39" s="174"/>
      <c r="EL39" s="174"/>
      <c r="EM39" s="174"/>
      <c r="EN39" s="174"/>
      <c r="EO39" s="174"/>
      <c r="EP39" s="174"/>
      <c r="EQ39" s="174"/>
      <c r="ER39" s="174"/>
      <c r="ES39" s="174"/>
      <c r="ET39" s="174"/>
      <c r="EU39" s="174"/>
      <c r="EV39" s="174"/>
      <c r="EW39" s="174"/>
      <c r="EX39" s="174"/>
      <c r="EY39" s="174"/>
      <c r="EZ39" s="174"/>
      <c r="FA39" s="174"/>
      <c r="FB39" s="174"/>
      <c r="FC39" s="174"/>
      <c r="FD39" s="174"/>
      <c r="FE39" s="174"/>
      <c r="FF39" s="174"/>
      <c r="FG39" s="174"/>
      <c r="FH39" s="174"/>
      <c r="FI39" s="174"/>
      <c r="FJ39" s="174"/>
      <c r="FK39" s="174"/>
      <c r="FL39" s="174"/>
      <c r="FM39" s="174"/>
      <c r="FN39" s="174"/>
      <c r="FO39" s="174"/>
      <c r="FP39" s="174"/>
      <c r="FQ39" s="174"/>
      <c r="FR39" s="174"/>
      <c r="FS39" s="174"/>
      <c r="FT39" s="174"/>
      <c r="FU39" s="174"/>
      <c r="FV39" s="174"/>
      <c r="FW39" s="174"/>
      <c r="FX39" s="174"/>
      <c r="FY39" s="174"/>
      <c r="FZ39" s="174"/>
      <c r="GA39" s="174"/>
      <c r="GB39" s="174"/>
      <c r="GC39" s="174"/>
      <c r="GD39" s="174"/>
      <c r="GE39" s="174"/>
      <c r="GF39" s="174"/>
      <c r="GG39" s="174"/>
      <c r="GH39" s="174"/>
      <c r="GI39" s="174"/>
      <c r="GJ39" s="174"/>
      <c r="GK39" s="174"/>
      <c r="GL39" s="174"/>
      <c r="GM39" s="174"/>
      <c r="GN39" s="174"/>
      <c r="GO39" s="174"/>
      <c r="GP39" s="174"/>
      <c r="GQ39" s="174"/>
      <c r="GR39" s="174"/>
      <c r="GS39" s="174"/>
      <c r="GT39" s="174"/>
      <c r="GU39" s="174"/>
      <c r="GV39" s="174"/>
      <c r="GW39" s="174"/>
      <c r="GX39" s="174"/>
      <c r="GY39" s="174"/>
      <c r="GZ39" s="174"/>
      <c r="HA39" s="174"/>
      <c r="HB39" s="174"/>
      <c r="HC39" s="174"/>
      <c r="HD39" s="174"/>
      <c r="HE39" s="174"/>
      <c r="HF39" s="174"/>
      <c r="HG39" s="174"/>
      <c r="HH39" s="174"/>
      <c r="HI39" s="174"/>
      <c r="HJ39" s="174"/>
      <c r="HK39" s="174"/>
      <c r="HL39" s="174"/>
      <c r="HM39" s="174"/>
      <c r="HN39" s="174"/>
      <c r="HO39" s="174"/>
      <c r="HP39" s="174"/>
      <c r="HQ39" s="174"/>
      <c r="HR39" s="174"/>
      <c r="HS39" s="174"/>
      <c r="HT39" s="174"/>
      <c r="HU39" s="174"/>
      <c r="HV39" s="174"/>
      <c r="HW39" s="174"/>
      <c r="HX39" s="174"/>
      <c r="HY39" s="174"/>
      <c r="HZ39" s="174"/>
      <c r="IA39" s="174"/>
      <c r="IB39" s="174"/>
      <c r="IC39" s="174"/>
      <c r="ID39" s="174"/>
      <c r="IE39" s="174"/>
      <c r="IF39" s="174"/>
      <c r="IG39" s="174"/>
      <c r="IH39" s="174"/>
      <c r="II39" s="174"/>
      <c r="IJ39" s="174"/>
      <c r="IK39" s="174"/>
      <c r="IL39" s="174"/>
      <c r="IM39" s="174"/>
      <c r="IN39" s="174"/>
    </row>
    <row r="40" spans="1:248" s="149" customFormat="1" ht="14.25" customHeight="1">
      <c r="A40" s="174"/>
      <c r="B40" s="174"/>
      <c r="C40" s="174"/>
      <c r="D40" s="175">
        <v>16</v>
      </c>
      <c r="E40" s="973" t="s">
        <v>160</v>
      </c>
      <c r="F40" s="973"/>
      <c r="G40" s="170">
        <v>49559.5</v>
      </c>
      <c r="H40" s="171">
        <f t="shared" si="7"/>
        <v>2.0160988172410115E-2</v>
      </c>
      <c r="I40" s="213">
        <f t="shared" si="8"/>
        <v>55149.811581613183</v>
      </c>
      <c r="J40" s="178" t="s">
        <v>160</v>
      </c>
      <c r="K40" s="215">
        <f>LS_RPRO!B23+MANUAL!B23+OUTSALE!B23</f>
        <v>0</v>
      </c>
      <c r="L40" s="214">
        <f t="shared" si="21"/>
        <v>-55149.811581613183</v>
      </c>
      <c r="M40" s="216">
        <f>K40/G15</f>
        <v>0</v>
      </c>
      <c r="N40" s="217">
        <f t="shared" si="22"/>
        <v>1144364.3301039429</v>
      </c>
      <c r="O40" s="207">
        <v>78</v>
      </c>
      <c r="P40" s="170">
        <v>0</v>
      </c>
      <c r="Q40" s="215">
        <f>LS_RPRO!C23+MANUAL!C23+OUTSALE!C23</f>
        <v>0</v>
      </c>
      <c r="R40" s="256" t="e">
        <f t="shared" si="9"/>
        <v>#DIV/0!</v>
      </c>
      <c r="S40" s="257"/>
      <c r="T40" s="251">
        <v>8923.5</v>
      </c>
      <c r="U40" s="663">
        <v>22997.5</v>
      </c>
      <c r="V40" s="258">
        <f t="shared" si="0"/>
        <v>1.5771838404213594</v>
      </c>
      <c r="W40" s="664"/>
      <c r="X40" s="253">
        <v>78174.5</v>
      </c>
      <c r="Y40" s="666">
        <v>48534.000000000007</v>
      </c>
      <c r="Z40" s="279">
        <f t="shared" si="1"/>
        <v>-0.37915816538641106</v>
      </c>
      <c r="AA40" s="664">
        <v>17660.528370000036</v>
      </c>
      <c r="AB40" s="667">
        <f t="shared" si="2"/>
        <v>17660.528370000036</v>
      </c>
      <c r="AC40" s="668">
        <f t="shared" si="10"/>
        <v>1.9092463102702743E-2</v>
      </c>
      <c r="AD40" s="280"/>
      <c r="AE40" s="676">
        <v>57139.5</v>
      </c>
      <c r="AF40" s="677">
        <f>LS_RPRO!O23+MANUAL!M23+OUTSALE!M23</f>
        <v>0</v>
      </c>
      <c r="AG40" s="679">
        <f t="shared" si="11"/>
        <v>-1</v>
      </c>
      <c r="AH40" s="174"/>
      <c r="AI40" s="686">
        <v>224</v>
      </c>
      <c r="AJ40" s="693">
        <f>LS_RPRO!M23</f>
        <v>0</v>
      </c>
      <c r="AK40" s="694">
        <f t="shared" si="3"/>
        <v>-1</v>
      </c>
      <c r="AL40" s="692">
        <v>48</v>
      </c>
      <c r="AM40" s="690">
        <f>MANUAL!H23+LS_RPRO!H23+OUTSALE!H23</f>
        <v>0</v>
      </c>
      <c r="AN40" s="694">
        <f t="shared" si="4"/>
        <v>-1</v>
      </c>
      <c r="AO40" s="694">
        <f t="shared" si="5"/>
        <v>0.21428571428571427</v>
      </c>
      <c r="AP40" s="694" t="e">
        <f t="shared" si="5"/>
        <v>#DIV/0!</v>
      </c>
      <c r="AQ40" s="695" t="e">
        <f t="shared" si="6"/>
        <v>#DIV/0!</v>
      </c>
      <c r="AR40" s="174"/>
      <c r="AS40" s="705">
        <v>0</v>
      </c>
      <c r="AT40" s="693">
        <f>LS_RPRO!K23</f>
        <v>0</v>
      </c>
      <c r="AU40" s="694" t="e">
        <f t="shared" si="12"/>
        <v>#DIV/0!</v>
      </c>
      <c r="AV40" s="689">
        <v>2</v>
      </c>
      <c r="AW40" s="710">
        <f>LS_RPRO!L23</f>
        <v>0</v>
      </c>
      <c r="AX40" s="694">
        <f t="shared" si="13"/>
        <v>-1</v>
      </c>
      <c r="AY40" s="709">
        <f t="shared" si="23"/>
        <v>2</v>
      </c>
      <c r="AZ40" s="710">
        <f t="shared" si="23"/>
        <v>0</v>
      </c>
      <c r="BA40" s="695">
        <f t="shared" si="14"/>
        <v>-1</v>
      </c>
      <c r="BB40" s="154"/>
      <c r="BC40" s="720"/>
      <c r="BD40" s="721">
        <v>0</v>
      </c>
      <c r="BE40" s="695" t="e">
        <f t="shared" si="15"/>
        <v>#DIV/0!</v>
      </c>
      <c r="BF40" s="174"/>
      <c r="BG40" s="727"/>
      <c r="BH40" s="728"/>
      <c r="BI40" s="735" t="e">
        <f t="shared" si="16"/>
        <v>#DIV/0!</v>
      </c>
      <c r="BJ40" s="730"/>
      <c r="BK40" s="731"/>
      <c r="BL40" s="732" t="e">
        <f t="shared" si="17"/>
        <v>#DIV/0!</v>
      </c>
      <c r="BM40" s="729" t="e">
        <f t="shared" si="18"/>
        <v>#DIV/0!</v>
      </c>
      <c r="BN40" s="733" t="e">
        <f t="shared" si="18"/>
        <v>#DIV/0!</v>
      </c>
      <c r="BO40" s="734" t="e">
        <f t="shared" si="19"/>
        <v>#DIV/0!</v>
      </c>
      <c r="BP40" s="174"/>
      <c r="BQ40" s="720">
        <v>8</v>
      </c>
      <c r="BR40" s="721">
        <v>9</v>
      </c>
      <c r="BS40" s="695">
        <f t="shared" si="20"/>
        <v>0.125</v>
      </c>
      <c r="BT40" s="174"/>
      <c r="BU40" s="174"/>
      <c r="BV40" s="174"/>
      <c r="BW40" s="174"/>
      <c r="BX40" s="174"/>
      <c r="BY40" s="174"/>
      <c r="BZ40" s="174"/>
      <c r="CA40" s="174"/>
      <c r="CB40" s="174"/>
      <c r="CC40" s="174"/>
      <c r="CD40" s="174"/>
      <c r="CE40" s="174"/>
      <c r="CF40" s="174"/>
      <c r="CG40" s="174"/>
      <c r="CH40" s="174"/>
      <c r="CI40" s="174"/>
      <c r="CJ40" s="174"/>
      <c r="CK40" s="174"/>
      <c r="CL40" s="174"/>
      <c r="CM40" s="174"/>
      <c r="CN40" s="174"/>
      <c r="CO40" s="174"/>
      <c r="CP40" s="174"/>
      <c r="CQ40" s="174"/>
      <c r="CR40" s="174"/>
      <c r="CS40" s="174"/>
      <c r="CT40" s="174"/>
      <c r="CU40" s="174"/>
      <c r="CV40" s="174"/>
      <c r="CW40" s="174"/>
      <c r="CX40" s="174"/>
      <c r="CY40" s="174"/>
      <c r="CZ40" s="174"/>
      <c r="DA40" s="174"/>
      <c r="DB40" s="174"/>
      <c r="DC40" s="174"/>
      <c r="DD40" s="174"/>
      <c r="DE40" s="174"/>
      <c r="DF40" s="174"/>
      <c r="DG40" s="174"/>
      <c r="DH40" s="174"/>
      <c r="DI40" s="174"/>
      <c r="DJ40" s="174"/>
      <c r="DK40" s="174"/>
      <c r="DL40" s="174"/>
      <c r="DM40" s="174"/>
      <c r="DN40" s="174"/>
      <c r="DO40" s="174"/>
      <c r="DP40" s="174"/>
      <c r="DQ40" s="174"/>
      <c r="DR40" s="174"/>
      <c r="DS40" s="174"/>
      <c r="DT40" s="174"/>
      <c r="DU40" s="174"/>
      <c r="DV40" s="174"/>
      <c r="DW40" s="174"/>
      <c r="DX40" s="174"/>
      <c r="DY40" s="174"/>
      <c r="DZ40" s="174"/>
      <c r="EA40" s="174"/>
      <c r="EB40" s="174"/>
      <c r="EC40" s="174"/>
      <c r="ED40" s="174"/>
      <c r="EE40" s="174"/>
      <c r="EF40" s="174"/>
      <c r="EG40" s="174"/>
      <c r="EH40" s="174"/>
      <c r="EI40" s="174"/>
      <c r="EJ40" s="174"/>
      <c r="EK40" s="174"/>
      <c r="EL40" s="174"/>
      <c r="EM40" s="174"/>
      <c r="EN40" s="174"/>
      <c r="EO40" s="174"/>
      <c r="EP40" s="174"/>
      <c r="EQ40" s="174"/>
      <c r="ER40" s="174"/>
      <c r="ES40" s="174"/>
      <c r="ET40" s="174"/>
      <c r="EU40" s="174"/>
      <c r="EV40" s="174"/>
      <c r="EW40" s="174"/>
      <c r="EX40" s="174"/>
      <c r="EY40" s="174"/>
      <c r="EZ40" s="174"/>
      <c r="FA40" s="174"/>
      <c r="FB40" s="174"/>
      <c r="FC40" s="174"/>
      <c r="FD40" s="174"/>
      <c r="FE40" s="174"/>
      <c r="FF40" s="174"/>
      <c r="FG40" s="174"/>
      <c r="FH40" s="174"/>
      <c r="FI40" s="174"/>
      <c r="FJ40" s="174"/>
      <c r="FK40" s="174"/>
      <c r="FL40" s="174"/>
      <c r="FM40" s="174"/>
      <c r="FN40" s="174"/>
      <c r="FO40" s="174"/>
      <c r="FP40" s="174"/>
      <c r="FQ40" s="174"/>
      <c r="FR40" s="174"/>
      <c r="FS40" s="174"/>
      <c r="FT40" s="174"/>
      <c r="FU40" s="174"/>
      <c r="FV40" s="174"/>
      <c r="FW40" s="174"/>
      <c r="FX40" s="174"/>
      <c r="FY40" s="174"/>
      <c r="FZ40" s="174"/>
      <c r="GA40" s="174"/>
      <c r="GB40" s="174"/>
      <c r="GC40" s="174"/>
      <c r="GD40" s="174"/>
      <c r="GE40" s="174"/>
      <c r="GF40" s="174"/>
      <c r="GG40" s="174"/>
      <c r="GH40" s="174"/>
      <c r="GI40" s="174"/>
      <c r="GJ40" s="174"/>
      <c r="GK40" s="174"/>
      <c r="GL40" s="174"/>
      <c r="GM40" s="174"/>
      <c r="GN40" s="174"/>
      <c r="GO40" s="174"/>
      <c r="GP40" s="174"/>
      <c r="GQ40" s="174"/>
      <c r="GR40" s="174"/>
      <c r="GS40" s="174"/>
      <c r="GT40" s="174"/>
      <c r="GU40" s="174"/>
      <c r="GV40" s="174"/>
      <c r="GW40" s="174"/>
      <c r="GX40" s="174"/>
      <c r="GY40" s="174"/>
      <c r="GZ40" s="174"/>
      <c r="HA40" s="174"/>
      <c r="HB40" s="174"/>
      <c r="HC40" s="174"/>
      <c r="HD40" s="174"/>
      <c r="HE40" s="174"/>
      <c r="HF40" s="174"/>
      <c r="HG40" s="174"/>
      <c r="HH40" s="174"/>
      <c r="HI40" s="174"/>
      <c r="HJ40" s="174"/>
      <c r="HK40" s="174"/>
      <c r="HL40" s="174"/>
      <c r="HM40" s="174"/>
      <c r="HN40" s="174"/>
      <c r="HO40" s="174"/>
      <c r="HP40" s="174"/>
      <c r="HQ40" s="174"/>
      <c r="HR40" s="174"/>
      <c r="HS40" s="174"/>
      <c r="HT40" s="174"/>
      <c r="HU40" s="174"/>
      <c r="HV40" s="174"/>
      <c r="HW40" s="174"/>
      <c r="HX40" s="174"/>
      <c r="HY40" s="174"/>
      <c r="HZ40" s="174"/>
      <c r="IA40" s="174"/>
      <c r="IB40" s="174"/>
      <c r="IC40" s="174"/>
      <c r="ID40" s="174"/>
      <c r="IE40" s="174"/>
      <c r="IF40" s="174"/>
      <c r="IG40" s="174"/>
      <c r="IH40" s="174"/>
      <c r="II40" s="174"/>
      <c r="IJ40" s="174"/>
      <c r="IK40" s="174"/>
      <c r="IL40" s="174"/>
      <c r="IM40" s="174"/>
      <c r="IN40" s="174"/>
    </row>
    <row r="41" spans="1:248" s="149" customFormat="1" ht="14.25" customHeight="1">
      <c r="A41" s="174"/>
      <c r="B41" s="174"/>
      <c r="C41" s="174"/>
      <c r="D41" s="175">
        <v>17</v>
      </c>
      <c r="E41" s="973" t="s">
        <v>161</v>
      </c>
      <c r="F41" s="973"/>
      <c r="G41" s="170">
        <v>68242.5</v>
      </c>
      <c r="H41" s="171">
        <f t="shared" si="7"/>
        <v>2.7761301775758376E-2</v>
      </c>
      <c r="I41" s="213">
        <f t="shared" si="8"/>
        <v>75940.253974681691</v>
      </c>
      <c r="J41" s="178" t="s">
        <v>161</v>
      </c>
      <c r="K41" s="215">
        <f>LS_RPRO!B24+MANUAL!B24+OUTSALE!B24</f>
        <v>0</v>
      </c>
      <c r="L41" s="214">
        <f t="shared" si="21"/>
        <v>-75940.253974681691</v>
      </c>
      <c r="M41" s="216">
        <f>K41/G15</f>
        <v>0</v>
      </c>
      <c r="N41" s="217">
        <f t="shared" si="22"/>
        <v>1068424.0761292612</v>
      </c>
      <c r="O41" s="207">
        <v>0</v>
      </c>
      <c r="P41" s="170">
        <v>0</v>
      </c>
      <c r="Q41" s="215">
        <f>LS_RPRO!C24+MANUAL!C24+OUTSALE!C24</f>
        <v>0</v>
      </c>
      <c r="R41" s="256" t="e">
        <f t="shared" si="9"/>
        <v>#DIV/0!</v>
      </c>
      <c r="S41" s="257"/>
      <c r="T41" s="251">
        <v>7438.5</v>
      </c>
      <c r="U41" s="663">
        <v>0</v>
      </c>
      <c r="V41" s="258">
        <f t="shared" si="0"/>
        <v>-1</v>
      </c>
      <c r="W41" s="664"/>
      <c r="X41" s="253">
        <v>55551</v>
      </c>
      <c r="Y41" s="666"/>
      <c r="Z41" s="279">
        <f t="shared" si="1"/>
        <v>-1</v>
      </c>
      <c r="AA41" s="664"/>
      <c r="AB41" s="667">
        <f t="shared" si="2"/>
        <v>0</v>
      </c>
      <c r="AC41" s="668">
        <f t="shared" si="10"/>
        <v>0</v>
      </c>
      <c r="AD41" s="280"/>
      <c r="AE41" s="676">
        <v>38644</v>
      </c>
      <c r="AF41" s="677">
        <f>LS_RPRO!O24+MANUAL!M24+OUTSALE!M24</f>
        <v>0</v>
      </c>
      <c r="AG41" s="679">
        <f t="shared" si="11"/>
        <v>-1</v>
      </c>
      <c r="AH41" s="174"/>
      <c r="AI41" s="686">
        <v>209</v>
      </c>
      <c r="AJ41" s="693">
        <f>LS_RPRO!M24</f>
        <v>0</v>
      </c>
      <c r="AK41" s="694">
        <f t="shared" si="3"/>
        <v>-1</v>
      </c>
      <c r="AL41" s="689">
        <v>32</v>
      </c>
      <c r="AM41" s="690">
        <f>MANUAL!H24+LS_RPRO!H24+OUTSALE!H24</f>
        <v>0</v>
      </c>
      <c r="AN41" s="694">
        <f t="shared" si="4"/>
        <v>-1</v>
      </c>
      <c r="AO41" s="694">
        <f t="shared" si="5"/>
        <v>0.15311004784688995</v>
      </c>
      <c r="AP41" s="694" t="e">
        <f t="shared" si="5"/>
        <v>#DIV/0!</v>
      </c>
      <c r="AQ41" s="695" t="e">
        <f t="shared" si="6"/>
        <v>#DIV/0!</v>
      </c>
      <c r="AR41" s="174"/>
      <c r="AS41" s="705">
        <v>2</v>
      </c>
      <c r="AT41" s="693">
        <f>LS_RPRO!K24</f>
        <v>0</v>
      </c>
      <c r="AU41" s="694">
        <f t="shared" si="12"/>
        <v>-1</v>
      </c>
      <c r="AV41" s="689">
        <v>0</v>
      </c>
      <c r="AW41" s="710">
        <f>LS_RPRO!L24</f>
        <v>0</v>
      </c>
      <c r="AX41" s="694" t="e">
        <f t="shared" si="13"/>
        <v>#DIV/0!</v>
      </c>
      <c r="AY41" s="709">
        <f t="shared" si="23"/>
        <v>2</v>
      </c>
      <c r="AZ41" s="710">
        <f t="shared" si="23"/>
        <v>0</v>
      </c>
      <c r="BA41" s="695">
        <f t="shared" si="14"/>
        <v>-1</v>
      </c>
      <c r="BB41" s="154"/>
      <c r="BC41" s="720"/>
      <c r="BD41" s="721">
        <v>0</v>
      </c>
      <c r="BE41" s="695" t="e">
        <f t="shared" si="15"/>
        <v>#DIV/0!</v>
      </c>
      <c r="BF41" s="174"/>
      <c r="BG41" s="727"/>
      <c r="BH41" s="728"/>
      <c r="BI41" s="735" t="e">
        <f t="shared" si="16"/>
        <v>#DIV/0!</v>
      </c>
      <c r="BJ41" s="730"/>
      <c r="BK41" s="731"/>
      <c r="BL41" s="732" t="e">
        <f t="shared" si="17"/>
        <v>#DIV/0!</v>
      </c>
      <c r="BM41" s="729" t="e">
        <f t="shared" si="18"/>
        <v>#DIV/0!</v>
      </c>
      <c r="BN41" s="733" t="e">
        <f t="shared" si="18"/>
        <v>#DIV/0!</v>
      </c>
      <c r="BO41" s="738" t="e">
        <f t="shared" si="19"/>
        <v>#DIV/0!</v>
      </c>
      <c r="BP41" s="174"/>
      <c r="BQ41" s="720">
        <v>5</v>
      </c>
      <c r="BR41" s="721">
        <v>0</v>
      </c>
      <c r="BS41" s="695">
        <f t="shared" si="20"/>
        <v>-1</v>
      </c>
      <c r="BT41" s="174"/>
      <c r="BU41" s="174"/>
      <c r="BV41" s="174"/>
      <c r="BW41" s="174"/>
      <c r="BX41" s="174"/>
      <c r="BY41" s="174"/>
      <c r="BZ41" s="174"/>
      <c r="CA41" s="174"/>
      <c r="CB41" s="174"/>
      <c r="CC41" s="174"/>
      <c r="CD41" s="174"/>
      <c r="CE41" s="174"/>
      <c r="CF41" s="174"/>
      <c r="CG41" s="174"/>
      <c r="CH41" s="174"/>
      <c r="CI41" s="174"/>
      <c r="CJ41" s="174"/>
      <c r="CK41" s="174"/>
      <c r="CL41" s="174"/>
      <c r="CM41" s="174"/>
      <c r="CN41" s="174"/>
      <c r="CO41" s="174"/>
      <c r="CP41" s="174"/>
      <c r="CQ41" s="174"/>
      <c r="CR41" s="174"/>
      <c r="CS41" s="174"/>
      <c r="CT41" s="174"/>
      <c r="CU41" s="174"/>
      <c r="CV41" s="174"/>
      <c r="CW41" s="174"/>
      <c r="CX41" s="174"/>
      <c r="CY41" s="174"/>
      <c r="CZ41" s="174"/>
      <c r="DA41" s="174"/>
      <c r="DB41" s="174"/>
      <c r="DC41" s="174"/>
      <c r="DD41" s="174"/>
      <c r="DE41" s="174"/>
      <c r="DF41" s="174"/>
      <c r="DG41" s="174"/>
      <c r="DH41" s="174"/>
      <c r="DI41" s="174"/>
      <c r="DJ41" s="174"/>
      <c r="DK41" s="174"/>
      <c r="DL41" s="174"/>
      <c r="DM41" s="174"/>
      <c r="DN41" s="174"/>
      <c r="DO41" s="174"/>
      <c r="DP41" s="174"/>
      <c r="DQ41" s="174"/>
      <c r="DR41" s="174"/>
      <c r="DS41" s="174"/>
      <c r="DT41" s="174"/>
      <c r="DU41" s="174"/>
      <c r="DV41" s="174"/>
      <c r="DW41" s="174"/>
      <c r="DX41" s="174"/>
      <c r="DY41" s="174"/>
      <c r="DZ41" s="174"/>
      <c r="EA41" s="174"/>
      <c r="EB41" s="174"/>
      <c r="EC41" s="174"/>
      <c r="ED41" s="174"/>
      <c r="EE41" s="174"/>
      <c r="EF41" s="174"/>
      <c r="EG41" s="174"/>
      <c r="EH41" s="174"/>
      <c r="EI41" s="174"/>
      <c r="EJ41" s="174"/>
      <c r="EK41" s="174"/>
      <c r="EL41" s="174"/>
      <c r="EM41" s="174"/>
      <c r="EN41" s="174"/>
      <c r="EO41" s="174"/>
      <c r="EP41" s="174"/>
      <c r="EQ41" s="174"/>
      <c r="ER41" s="174"/>
      <c r="ES41" s="174"/>
      <c r="ET41" s="174"/>
      <c r="EU41" s="174"/>
      <c r="EV41" s="174"/>
      <c r="EW41" s="174"/>
      <c r="EX41" s="174"/>
      <c r="EY41" s="174"/>
      <c r="EZ41" s="174"/>
      <c r="FA41" s="174"/>
      <c r="FB41" s="174"/>
      <c r="FC41" s="174"/>
      <c r="FD41" s="174"/>
      <c r="FE41" s="174"/>
      <c r="FF41" s="174"/>
      <c r="FG41" s="174"/>
      <c r="FH41" s="174"/>
      <c r="FI41" s="174"/>
      <c r="FJ41" s="174"/>
      <c r="FK41" s="174"/>
      <c r="FL41" s="174"/>
      <c r="FM41" s="174"/>
      <c r="FN41" s="174"/>
      <c r="FO41" s="174"/>
      <c r="FP41" s="174"/>
      <c r="FQ41" s="174"/>
      <c r="FR41" s="174"/>
      <c r="FS41" s="174"/>
      <c r="FT41" s="174"/>
      <c r="FU41" s="174"/>
      <c r="FV41" s="174"/>
      <c r="FW41" s="174"/>
      <c r="FX41" s="174"/>
      <c r="FY41" s="174"/>
      <c r="FZ41" s="174"/>
      <c r="GA41" s="174"/>
      <c r="GB41" s="174"/>
      <c r="GC41" s="174"/>
      <c r="GD41" s="174"/>
      <c r="GE41" s="174"/>
      <c r="GF41" s="174"/>
      <c r="GG41" s="174"/>
      <c r="GH41" s="174"/>
      <c r="GI41" s="174"/>
      <c r="GJ41" s="174"/>
      <c r="GK41" s="174"/>
      <c r="GL41" s="174"/>
      <c r="GM41" s="174"/>
      <c r="GN41" s="174"/>
      <c r="GO41" s="174"/>
      <c r="GP41" s="174"/>
      <c r="GQ41" s="174"/>
      <c r="GR41" s="174"/>
      <c r="GS41" s="174"/>
      <c r="GT41" s="174"/>
      <c r="GU41" s="174"/>
      <c r="GV41" s="174"/>
      <c r="GW41" s="174"/>
      <c r="GX41" s="174"/>
      <c r="GY41" s="174"/>
      <c r="GZ41" s="174"/>
      <c r="HA41" s="174"/>
      <c r="HB41" s="174"/>
      <c r="HC41" s="174"/>
      <c r="HD41" s="174"/>
      <c r="HE41" s="174"/>
      <c r="HF41" s="174"/>
      <c r="HG41" s="174"/>
      <c r="HH41" s="174"/>
      <c r="HI41" s="174"/>
      <c r="HJ41" s="174"/>
      <c r="HK41" s="174"/>
      <c r="HL41" s="174"/>
      <c r="HM41" s="174"/>
      <c r="HN41" s="174"/>
      <c r="HO41" s="174"/>
      <c r="HP41" s="174"/>
      <c r="HQ41" s="174"/>
      <c r="HR41" s="174"/>
      <c r="HS41" s="174"/>
      <c r="HT41" s="174"/>
      <c r="HU41" s="174"/>
      <c r="HV41" s="174"/>
      <c r="HW41" s="174"/>
      <c r="HX41" s="174"/>
      <c r="HY41" s="174"/>
      <c r="HZ41" s="174"/>
      <c r="IA41" s="174"/>
      <c r="IB41" s="174"/>
      <c r="IC41" s="174"/>
      <c r="ID41" s="174"/>
      <c r="IE41" s="174"/>
      <c r="IF41" s="174"/>
      <c r="IG41" s="174"/>
      <c r="IH41" s="174"/>
      <c r="II41" s="174"/>
      <c r="IJ41" s="174"/>
      <c r="IK41" s="174"/>
      <c r="IL41" s="174"/>
      <c r="IM41" s="174"/>
      <c r="IN41" s="174"/>
    </row>
    <row r="42" spans="1:248" s="149" customFormat="1" ht="14.25" customHeight="1">
      <c r="A42" s="174"/>
      <c r="B42" s="174"/>
      <c r="C42" s="174"/>
      <c r="D42" s="175">
        <v>18</v>
      </c>
      <c r="E42" s="973" t="s">
        <v>155</v>
      </c>
      <c r="F42" s="973"/>
      <c r="G42" s="170">
        <v>85573</v>
      </c>
      <c r="H42" s="171">
        <f t="shared" si="7"/>
        <v>3.4811413369336873E-2</v>
      </c>
      <c r="I42" s="213">
        <f t="shared" si="8"/>
        <v>95225.634368251995</v>
      </c>
      <c r="J42" s="178" t="s">
        <v>155</v>
      </c>
      <c r="K42" s="215">
        <f>LS_RPRO!B25+MANUAL!B25+OUTSALE!B25</f>
        <v>0</v>
      </c>
      <c r="L42" s="214">
        <f t="shared" si="21"/>
        <v>-95225.634368251995</v>
      </c>
      <c r="M42" s="216">
        <f>K42/G15</f>
        <v>0</v>
      </c>
      <c r="N42" s="217">
        <f t="shared" si="22"/>
        <v>973198.44176100916</v>
      </c>
      <c r="O42" s="207">
        <v>0</v>
      </c>
      <c r="P42" s="170">
        <v>0</v>
      </c>
      <c r="Q42" s="215">
        <f>LS_RPRO!C25+MANUAL!C25+OUTSALE!C25</f>
        <v>0</v>
      </c>
      <c r="R42" s="256" t="e">
        <f t="shared" si="9"/>
        <v>#DIV/0!</v>
      </c>
      <c r="S42" s="257"/>
      <c r="T42" s="251">
        <v>10922.5</v>
      </c>
      <c r="U42" s="663">
        <v>0</v>
      </c>
      <c r="V42" s="258">
        <f t="shared" si="0"/>
        <v>-1</v>
      </c>
      <c r="W42" s="664"/>
      <c r="X42" s="253">
        <v>38637</v>
      </c>
      <c r="Y42" s="666"/>
      <c r="Z42" s="279">
        <f t="shared" si="1"/>
        <v>-1</v>
      </c>
      <c r="AA42" s="664"/>
      <c r="AB42" s="667">
        <f t="shared" si="2"/>
        <v>0</v>
      </c>
      <c r="AC42" s="668">
        <f t="shared" si="10"/>
        <v>0</v>
      </c>
      <c r="AD42" s="280"/>
      <c r="AE42" s="676">
        <v>13461</v>
      </c>
      <c r="AF42" s="677">
        <f>LS_RPRO!O25+MANUAL!M25+OUTSALE!M25</f>
        <v>0</v>
      </c>
      <c r="AG42" s="679">
        <f t="shared" si="11"/>
        <v>-1</v>
      </c>
      <c r="AH42" s="174"/>
      <c r="AI42" s="686">
        <v>146</v>
      </c>
      <c r="AJ42" s="693">
        <f>LS_RPRO!M25</f>
        <v>0</v>
      </c>
      <c r="AK42" s="694">
        <f t="shared" si="3"/>
        <v>-1</v>
      </c>
      <c r="AL42" s="689">
        <v>26</v>
      </c>
      <c r="AM42" s="690">
        <f>MANUAL!H25+LS_RPRO!H25+OUTSALE!H25</f>
        <v>0</v>
      </c>
      <c r="AN42" s="694">
        <f t="shared" si="4"/>
        <v>-1</v>
      </c>
      <c r="AO42" s="694">
        <f t="shared" si="5"/>
        <v>0.17808219178082191</v>
      </c>
      <c r="AP42" s="694" t="e">
        <f t="shared" si="5"/>
        <v>#DIV/0!</v>
      </c>
      <c r="AQ42" s="695" t="e">
        <f t="shared" si="6"/>
        <v>#DIV/0!</v>
      </c>
      <c r="AR42" s="174"/>
      <c r="AS42" s="705">
        <v>0</v>
      </c>
      <c r="AT42" s="693">
        <f>LS_RPRO!K25</f>
        <v>0</v>
      </c>
      <c r="AU42" s="694" t="e">
        <f t="shared" si="12"/>
        <v>#DIV/0!</v>
      </c>
      <c r="AV42" s="689">
        <v>1</v>
      </c>
      <c r="AW42" s="710">
        <f>LS_RPRO!L25</f>
        <v>0</v>
      </c>
      <c r="AX42" s="694">
        <f t="shared" si="13"/>
        <v>-1</v>
      </c>
      <c r="AY42" s="709">
        <f t="shared" si="23"/>
        <v>1</v>
      </c>
      <c r="AZ42" s="710">
        <f t="shared" si="23"/>
        <v>0</v>
      </c>
      <c r="BA42" s="695">
        <f t="shared" si="14"/>
        <v>-1</v>
      </c>
      <c r="BB42" s="154"/>
      <c r="BC42" s="720"/>
      <c r="BD42" s="721">
        <v>0</v>
      </c>
      <c r="BE42" s="695" t="e">
        <f t="shared" si="15"/>
        <v>#DIV/0!</v>
      </c>
      <c r="BF42" s="174"/>
      <c r="BG42" s="727"/>
      <c r="BH42" s="728"/>
      <c r="BI42" s="735" t="e">
        <f t="shared" si="16"/>
        <v>#DIV/0!</v>
      </c>
      <c r="BJ42" s="730"/>
      <c r="BK42" s="731"/>
      <c r="BL42" s="732" t="e">
        <f t="shared" si="17"/>
        <v>#DIV/0!</v>
      </c>
      <c r="BM42" s="729" t="e">
        <f t="shared" si="18"/>
        <v>#DIV/0!</v>
      </c>
      <c r="BN42" s="733" t="e">
        <f t="shared" si="18"/>
        <v>#DIV/0!</v>
      </c>
      <c r="BO42" s="738" t="e">
        <f t="shared" si="19"/>
        <v>#DIV/0!</v>
      </c>
      <c r="BP42" s="174"/>
      <c r="BQ42" s="720">
        <v>4</v>
      </c>
      <c r="BR42" s="721">
        <v>0</v>
      </c>
      <c r="BS42" s="695">
        <f t="shared" si="20"/>
        <v>-1</v>
      </c>
      <c r="BT42" s="174"/>
      <c r="BU42" s="174"/>
      <c r="BV42" s="174"/>
      <c r="BW42" s="174"/>
      <c r="BX42" s="174"/>
      <c r="BY42" s="174"/>
      <c r="BZ42" s="174"/>
      <c r="CA42" s="174"/>
      <c r="CB42" s="174"/>
      <c r="CC42" s="174"/>
      <c r="CD42" s="174"/>
      <c r="CE42" s="174"/>
      <c r="CF42" s="174"/>
      <c r="CG42" s="174"/>
      <c r="CH42" s="174"/>
      <c r="CI42" s="174"/>
      <c r="CJ42" s="174"/>
      <c r="CK42" s="174"/>
      <c r="CL42" s="174"/>
      <c r="CM42" s="174"/>
      <c r="CN42" s="174"/>
      <c r="CO42" s="174"/>
      <c r="CP42" s="174"/>
      <c r="CQ42" s="174"/>
      <c r="CR42" s="174"/>
      <c r="CS42" s="174"/>
      <c r="CT42" s="174"/>
      <c r="CU42" s="174"/>
      <c r="CV42" s="174"/>
      <c r="CW42" s="174"/>
      <c r="CX42" s="174"/>
      <c r="CY42" s="174"/>
      <c r="CZ42" s="174"/>
      <c r="DA42" s="174"/>
      <c r="DB42" s="174"/>
      <c r="DC42" s="174"/>
      <c r="DD42" s="174"/>
      <c r="DE42" s="174"/>
      <c r="DF42" s="174"/>
      <c r="DG42" s="174"/>
      <c r="DH42" s="174"/>
      <c r="DI42" s="174"/>
      <c r="DJ42" s="174"/>
      <c r="DK42" s="174"/>
      <c r="DL42" s="174"/>
      <c r="DM42" s="174"/>
      <c r="DN42" s="174"/>
      <c r="DO42" s="174"/>
      <c r="DP42" s="174"/>
      <c r="DQ42" s="174"/>
      <c r="DR42" s="174"/>
      <c r="DS42" s="174"/>
      <c r="DT42" s="174"/>
      <c r="DU42" s="174"/>
      <c r="DV42" s="174"/>
      <c r="DW42" s="174"/>
      <c r="DX42" s="174"/>
      <c r="DY42" s="174"/>
      <c r="DZ42" s="174"/>
      <c r="EA42" s="174"/>
      <c r="EB42" s="174"/>
      <c r="EC42" s="174"/>
      <c r="ED42" s="174"/>
      <c r="EE42" s="174"/>
      <c r="EF42" s="174"/>
      <c r="EG42" s="174"/>
      <c r="EH42" s="174"/>
      <c r="EI42" s="174"/>
      <c r="EJ42" s="174"/>
      <c r="EK42" s="174"/>
      <c r="EL42" s="174"/>
      <c r="EM42" s="174"/>
      <c r="EN42" s="174"/>
      <c r="EO42" s="174"/>
      <c r="EP42" s="174"/>
      <c r="EQ42" s="174"/>
      <c r="ER42" s="174"/>
      <c r="ES42" s="174"/>
      <c r="ET42" s="174"/>
      <c r="EU42" s="174"/>
      <c r="EV42" s="174"/>
      <c r="EW42" s="174"/>
      <c r="EX42" s="174"/>
      <c r="EY42" s="174"/>
      <c r="EZ42" s="174"/>
      <c r="FA42" s="174"/>
      <c r="FB42" s="174"/>
      <c r="FC42" s="174"/>
      <c r="FD42" s="174"/>
      <c r="FE42" s="174"/>
      <c r="FF42" s="174"/>
      <c r="FG42" s="174"/>
      <c r="FH42" s="174"/>
      <c r="FI42" s="174"/>
      <c r="FJ42" s="174"/>
      <c r="FK42" s="174"/>
      <c r="FL42" s="174"/>
      <c r="FM42" s="174"/>
      <c r="FN42" s="174"/>
      <c r="FO42" s="174"/>
      <c r="FP42" s="174"/>
      <c r="FQ42" s="174"/>
      <c r="FR42" s="174"/>
      <c r="FS42" s="174"/>
      <c r="FT42" s="174"/>
      <c r="FU42" s="174"/>
      <c r="FV42" s="174"/>
      <c r="FW42" s="174"/>
      <c r="FX42" s="174"/>
      <c r="FY42" s="174"/>
      <c r="FZ42" s="174"/>
      <c r="GA42" s="174"/>
      <c r="GB42" s="174"/>
      <c r="GC42" s="174"/>
      <c r="GD42" s="174"/>
      <c r="GE42" s="174"/>
      <c r="GF42" s="174"/>
      <c r="GG42" s="174"/>
      <c r="GH42" s="174"/>
      <c r="GI42" s="174"/>
      <c r="GJ42" s="174"/>
      <c r="GK42" s="174"/>
      <c r="GL42" s="174"/>
      <c r="GM42" s="174"/>
      <c r="GN42" s="174"/>
      <c r="GO42" s="174"/>
      <c r="GP42" s="174"/>
      <c r="GQ42" s="174"/>
      <c r="GR42" s="174"/>
      <c r="GS42" s="174"/>
      <c r="GT42" s="174"/>
      <c r="GU42" s="174"/>
      <c r="GV42" s="174"/>
      <c r="GW42" s="174"/>
      <c r="GX42" s="174"/>
      <c r="GY42" s="174"/>
      <c r="GZ42" s="174"/>
      <c r="HA42" s="174"/>
      <c r="HB42" s="174"/>
      <c r="HC42" s="174"/>
      <c r="HD42" s="174"/>
      <c r="HE42" s="174"/>
      <c r="HF42" s="174"/>
      <c r="HG42" s="174"/>
      <c r="HH42" s="174"/>
      <c r="HI42" s="174"/>
      <c r="HJ42" s="174"/>
      <c r="HK42" s="174"/>
      <c r="HL42" s="174"/>
      <c r="HM42" s="174"/>
      <c r="HN42" s="174"/>
      <c r="HO42" s="174"/>
      <c r="HP42" s="174"/>
      <c r="HQ42" s="174"/>
      <c r="HR42" s="174"/>
      <c r="HS42" s="174"/>
      <c r="HT42" s="174"/>
      <c r="HU42" s="174"/>
      <c r="HV42" s="174"/>
      <c r="HW42" s="174"/>
      <c r="HX42" s="174"/>
      <c r="HY42" s="174"/>
      <c r="HZ42" s="174"/>
      <c r="IA42" s="174"/>
      <c r="IB42" s="174"/>
      <c r="IC42" s="174"/>
      <c r="ID42" s="174"/>
      <c r="IE42" s="174"/>
      <c r="IF42" s="174"/>
      <c r="IG42" s="174"/>
      <c r="IH42" s="174"/>
      <c r="II42" s="174"/>
      <c r="IJ42" s="174"/>
      <c r="IK42" s="174"/>
      <c r="IL42" s="174"/>
      <c r="IM42" s="174"/>
      <c r="IN42" s="174"/>
    </row>
    <row r="43" spans="1:248" s="149" customFormat="1" ht="14.25" customHeight="1">
      <c r="A43" s="174"/>
      <c r="B43" s="174"/>
      <c r="C43" s="174"/>
      <c r="D43" s="175">
        <v>19</v>
      </c>
      <c r="E43" s="973" t="s">
        <v>156</v>
      </c>
      <c r="F43" s="973"/>
      <c r="G43" s="170">
        <v>142936</v>
      </c>
      <c r="H43" s="171">
        <f t="shared" si="7"/>
        <v>5.8146894246544296E-2</v>
      </c>
      <c r="I43" s="213">
        <f t="shared" si="8"/>
        <v>159059.18074697003</v>
      </c>
      <c r="J43" s="178" t="s">
        <v>156</v>
      </c>
      <c r="K43" s="215">
        <f>LS_RPRO!B26+MANUAL!B26+OUTSALE!B26</f>
        <v>0</v>
      </c>
      <c r="L43" s="214">
        <f t="shared" si="21"/>
        <v>-159059.18074697003</v>
      </c>
      <c r="M43" s="216">
        <f>K43/G15</f>
        <v>0</v>
      </c>
      <c r="N43" s="217">
        <f t="shared" si="22"/>
        <v>814139.26101403916</v>
      </c>
      <c r="O43" s="207">
        <v>88</v>
      </c>
      <c r="P43" s="170">
        <v>0</v>
      </c>
      <c r="Q43" s="215">
        <f>LS_RPRO!C26+MANUAL!C26+OUTSALE!C26</f>
        <v>0</v>
      </c>
      <c r="R43" s="256" t="e">
        <f t="shared" si="9"/>
        <v>#DIV/0!</v>
      </c>
      <c r="S43" s="257"/>
      <c r="T43" s="251">
        <v>8359</v>
      </c>
      <c r="U43" s="663">
        <v>11279.5</v>
      </c>
      <c r="V43" s="258">
        <f t="shared" si="0"/>
        <v>0.34938389759540617</v>
      </c>
      <c r="W43" s="664"/>
      <c r="X43" s="253">
        <v>59883.5</v>
      </c>
      <c r="Y43" s="666">
        <v>42113.499999999993</v>
      </c>
      <c r="Z43" s="279">
        <f t="shared" si="1"/>
        <v>-0.29674284235223403</v>
      </c>
      <c r="AA43" s="664">
        <v>9065.8311799999719</v>
      </c>
      <c r="AB43" s="667">
        <f t="shared" si="2"/>
        <v>9065.8311799999719</v>
      </c>
      <c r="AC43" s="668">
        <f t="shared" si="10"/>
        <v>9.8008985729729423E-3</v>
      </c>
      <c r="AD43" s="280"/>
      <c r="AE43" s="676">
        <v>41503</v>
      </c>
      <c r="AF43" s="677">
        <f>LS_RPRO!O26+MANUAL!M26+OUTSALE!M26</f>
        <v>0</v>
      </c>
      <c r="AG43" s="679">
        <f t="shared" si="11"/>
        <v>-1</v>
      </c>
      <c r="AH43" s="174"/>
      <c r="AI43" s="686">
        <v>179</v>
      </c>
      <c r="AJ43" s="693">
        <f>LS_RPRO!M26</f>
        <v>0</v>
      </c>
      <c r="AK43" s="694">
        <f t="shared" si="3"/>
        <v>-1</v>
      </c>
      <c r="AL43" s="689">
        <v>44</v>
      </c>
      <c r="AM43" s="690">
        <f>MANUAL!H26+LS_RPRO!H26+OUTSALE!H26</f>
        <v>0</v>
      </c>
      <c r="AN43" s="694">
        <f t="shared" si="4"/>
        <v>-1</v>
      </c>
      <c r="AO43" s="694">
        <f t="shared" si="5"/>
        <v>0.24581005586592178</v>
      </c>
      <c r="AP43" s="694" t="e">
        <f t="shared" si="5"/>
        <v>#DIV/0!</v>
      </c>
      <c r="AQ43" s="695" t="e">
        <f t="shared" si="6"/>
        <v>#DIV/0!</v>
      </c>
      <c r="AR43" s="174"/>
      <c r="AS43" s="705">
        <v>1</v>
      </c>
      <c r="AT43" s="693">
        <f>LS_RPRO!K26</f>
        <v>0</v>
      </c>
      <c r="AU43" s="694">
        <f t="shared" si="12"/>
        <v>-1</v>
      </c>
      <c r="AV43" s="689">
        <v>2</v>
      </c>
      <c r="AW43" s="710">
        <f>LS_RPRO!L26</f>
        <v>0</v>
      </c>
      <c r="AX43" s="694">
        <f t="shared" si="13"/>
        <v>-1</v>
      </c>
      <c r="AY43" s="709">
        <f t="shared" si="23"/>
        <v>3</v>
      </c>
      <c r="AZ43" s="710">
        <f t="shared" si="23"/>
        <v>0</v>
      </c>
      <c r="BA43" s="695">
        <f t="shared" si="14"/>
        <v>-1</v>
      </c>
      <c r="BB43" s="154"/>
      <c r="BC43" s="720"/>
      <c r="BD43" s="721">
        <v>0</v>
      </c>
      <c r="BE43" s="695" t="e">
        <f t="shared" si="15"/>
        <v>#DIV/0!</v>
      </c>
      <c r="BF43" s="174"/>
      <c r="BG43" s="727"/>
      <c r="BH43" s="728"/>
      <c r="BI43" s="735" t="e">
        <f t="shared" si="16"/>
        <v>#DIV/0!</v>
      </c>
      <c r="BJ43" s="730"/>
      <c r="BK43" s="731"/>
      <c r="BL43" s="732" t="e">
        <f t="shared" si="17"/>
        <v>#DIV/0!</v>
      </c>
      <c r="BM43" s="729" t="e">
        <f t="shared" si="18"/>
        <v>#DIV/0!</v>
      </c>
      <c r="BN43" s="733" t="e">
        <f t="shared" si="18"/>
        <v>#DIV/0!</v>
      </c>
      <c r="BO43" s="738" t="e">
        <f t="shared" si="19"/>
        <v>#DIV/0!</v>
      </c>
      <c r="BP43" s="174"/>
      <c r="BQ43" s="720">
        <v>6</v>
      </c>
      <c r="BR43" s="721">
        <v>3</v>
      </c>
      <c r="BS43" s="695">
        <f t="shared" si="20"/>
        <v>-0.5</v>
      </c>
      <c r="BT43" s="174"/>
      <c r="BU43" s="174"/>
      <c r="BV43" s="174"/>
      <c r="BW43" s="174"/>
      <c r="BX43" s="174"/>
      <c r="BY43" s="174"/>
      <c r="BZ43" s="174"/>
      <c r="CA43" s="174"/>
      <c r="CB43" s="174"/>
      <c r="CC43" s="174"/>
      <c r="CD43" s="174"/>
      <c r="CE43" s="174"/>
      <c r="CF43" s="174"/>
      <c r="CG43" s="174"/>
      <c r="CH43" s="174"/>
      <c r="CI43" s="174"/>
      <c r="CJ43" s="174"/>
      <c r="CK43" s="174"/>
      <c r="CL43" s="174"/>
      <c r="CM43" s="174"/>
      <c r="CN43" s="174"/>
      <c r="CO43" s="174"/>
      <c r="CP43" s="174"/>
      <c r="CQ43" s="174"/>
      <c r="CR43" s="174"/>
      <c r="CS43" s="174"/>
      <c r="CT43" s="174"/>
      <c r="CU43" s="174"/>
      <c r="CV43" s="174"/>
      <c r="CW43" s="174"/>
      <c r="CX43" s="174"/>
      <c r="CY43" s="174"/>
      <c r="CZ43" s="174"/>
      <c r="DA43" s="174"/>
      <c r="DB43" s="174"/>
      <c r="DC43" s="174"/>
      <c r="DD43" s="174"/>
      <c r="DE43" s="174"/>
      <c r="DF43" s="174"/>
      <c r="DG43" s="174"/>
      <c r="DH43" s="174"/>
      <c r="DI43" s="174"/>
      <c r="DJ43" s="174"/>
      <c r="DK43" s="174"/>
      <c r="DL43" s="174"/>
      <c r="DM43" s="174"/>
      <c r="DN43" s="174"/>
      <c r="DO43" s="174"/>
      <c r="DP43" s="174"/>
      <c r="DQ43" s="174"/>
      <c r="DR43" s="174"/>
      <c r="DS43" s="174"/>
      <c r="DT43" s="174"/>
      <c r="DU43" s="174"/>
      <c r="DV43" s="174"/>
      <c r="DW43" s="174"/>
      <c r="DX43" s="174"/>
      <c r="DY43" s="174"/>
      <c r="DZ43" s="174"/>
      <c r="EA43" s="174"/>
      <c r="EB43" s="174"/>
      <c r="EC43" s="174"/>
      <c r="ED43" s="174"/>
      <c r="EE43" s="174"/>
      <c r="EF43" s="174"/>
      <c r="EG43" s="174"/>
      <c r="EH43" s="174"/>
      <c r="EI43" s="174"/>
      <c r="EJ43" s="174"/>
      <c r="EK43" s="174"/>
      <c r="EL43" s="174"/>
      <c r="EM43" s="174"/>
      <c r="EN43" s="174"/>
      <c r="EO43" s="174"/>
      <c r="EP43" s="174"/>
      <c r="EQ43" s="174"/>
      <c r="ER43" s="174"/>
      <c r="ES43" s="174"/>
      <c r="ET43" s="174"/>
      <c r="EU43" s="174"/>
      <c r="EV43" s="174"/>
      <c r="EW43" s="174"/>
      <c r="EX43" s="174"/>
      <c r="EY43" s="174"/>
      <c r="EZ43" s="174"/>
      <c r="FA43" s="174"/>
      <c r="FB43" s="174"/>
      <c r="FC43" s="174"/>
      <c r="FD43" s="174"/>
      <c r="FE43" s="174"/>
      <c r="FF43" s="174"/>
      <c r="FG43" s="174"/>
      <c r="FH43" s="174"/>
      <c r="FI43" s="174"/>
      <c r="FJ43" s="174"/>
      <c r="FK43" s="174"/>
      <c r="FL43" s="174"/>
      <c r="FM43" s="174"/>
      <c r="FN43" s="174"/>
      <c r="FO43" s="174"/>
      <c r="FP43" s="174"/>
      <c r="FQ43" s="174"/>
      <c r="FR43" s="174"/>
      <c r="FS43" s="174"/>
      <c r="FT43" s="174"/>
      <c r="FU43" s="174"/>
      <c r="FV43" s="174"/>
      <c r="FW43" s="174"/>
      <c r="FX43" s="174"/>
      <c r="FY43" s="174"/>
      <c r="FZ43" s="174"/>
      <c r="GA43" s="174"/>
      <c r="GB43" s="174"/>
      <c r="GC43" s="174"/>
      <c r="GD43" s="174"/>
      <c r="GE43" s="174"/>
      <c r="GF43" s="174"/>
      <c r="GG43" s="174"/>
      <c r="GH43" s="174"/>
      <c r="GI43" s="174"/>
      <c r="GJ43" s="174"/>
      <c r="GK43" s="174"/>
      <c r="GL43" s="174"/>
      <c r="GM43" s="174"/>
      <c r="GN43" s="174"/>
      <c r="GO43" s="174"/>
      <c r="GP43" s="174"/>
      <c r="GQ43" s="174"/>
      <c r="GR43" s="174"/>
      <c r="GS43" s="174"/>
      <c r="GT43" s="174"/>
      <c r="GU43" s="174"/>
      <c r="GV43" s="174"/>
      <c r="GW43" s="174"/>
      <c r="GX43" s="174"/>
      <c r="GY43" s="174"/>
      <c r="GZ43" s="174"/>
      <c r="HA43" s="174"/>
      <c r="HB43" s="174"/>
      <c r="HC43" s="174"/>
      <c r="HD43" s="174"/>
      <c r="HE43" s="174"/>
      <c r="HF43" s="174"/>
      <c r="HG43" s="174"/>
      <c r="HH43" s="174"/>
      <c r="HI43" s="174"/>
      <c r="HJ43" s="174"/>
      <c r="HK43" s="174"/>
      <c r="HL43" s="174"/>
      <c r="HM43" s="174"/>
      <c r="HN43" s="174"/>
      <c r="HO43" s="174"/>
      <c r="HP43" s="174"/>
      <c r="HQ43" s="174"/>
      <c r="HR43" s="174"/>
      <c r="HS43" s="174"/>
      <c r="HT43" s="174"/>
      <c r="HU43" s="174"/>
      <c r="HV43" s="174"/>
      <c r="HW43" s="174"/>
      <c r="HX43" s="174"/>
      <c r="HY43" s="174"/>
      <c r="HZ43" s="174"/>
      <c r="IA43" s="174"/>
      <c r="IB43" s="174"/>
      <c r="IC43" s="174"/>
      <c r="ID43" s="174"/>
      <c r="IE43" s="174"/>
      <c r="IF43" s="174"/>
      <c r="IG43" s="174"/>
      <c r="IH43" s="174"/>
      <c r="II43" s="174"/>
      <c r="IJ43" s="174"/>
      <c r="IK43" s="174"/>
      <c r="IL43" s="174"/>
      <c r="IM43" s="174"/>
      <c r="IN43" s="174"/>
    </row>
    <row r="44" spans="1:248" s="149" customFormat="1" ht="14.25" customHeight="1">
      <c r="A44" s="174"/>
      <c r="B44" s="174"/>
      <c r="C44" s="174"/>
      <c r="D44" s="175">
        <v>20</v>
      </c>
      <c r="E44" s="973" t="s">
        <v>157</v>
      </c>
      <c r="F44" s="973"/>
      <c r="G44" s="170">
        <v>78386.5</v>
      </c>
      <c r="H44" s="171">
        <f t="shared" si="7"/>
        <v>3.1887918549957636E-2</v>
      </c>
      <c r="I44" s="213">
        <f t="shared" si="8"/>
        <v>87228.497170918214</v>
      </c>
      <c r="J44" s="178" t="s">
        <v>157</v>
      </c>
      <c r="K44" s="215">
        <f>LS_RPRO!B27+MANUAL!B27+OUTSALE!B27</f>
        <v>0</v>
      </c>
      <c r="L44" s="214">
        <f t="shared" si="21"/>
        <v>-87228.497170918214</v>
      </c>
      <c r="M44" s="216">
        <f>K44/G15</f>
        <v>0</v>
      </c>
      <c r="N44" s="217">
        <f t="shared" si="22"/>
        <v>726910.76384312101</v>
      </c>
      <c r="O44" s="207">
        <v>157</v>
      </c>
      <c r="P44" s="170">
        <v>0</v>
      </c>
      <c r="Q44" s="215">
        <f>LS_RPRO!C27+MANUAL!C27+OUTSALE!C27</f>
        <v>0</v>
      </c>
      <c r="R44" s="256" t="e">
        <f t="shared" si="9"/>
        <v>#DIV/0!</v>
      </c>
      <c r="S44" s="257"/>
      <c r="T44" s="251">
        <v>5690.5</v>
      </c>
      <c r="U44" s="663">
        <v>36931</v>
      </c>
      <c r="V44" s="258">
        <f t="shared" si="0"/>
        <v>5.4899393726386085</v>
      </c>
      <c r="W44" s="664"/>
      <c r="X44" s="253">
        <v>79882.5</v>
      </c>
      <c r="Y44" s="666">
        <v>57902.499999999993</v>
      </c>
      <c r="Z44" s="279">
        <f t="shared" si="1"/>
        <v>-0.27515413263230376</v>
      </c>
      <c r="AA44" s="664">
        <v>15403.601249999971</v>
      </c>
      <c r="AB44" s="667">
        <f t="shared" si="2"/>
        <v>15403.601249999971</v>
      </c>
      <c r="AC44" s="668">
        <f t="shared" si="10"/>
        <v>1.6652541891891859E-2</v>
      </c>
      <c r="AD44" s="280"/>
      <c r="AE44" s="676">
        <v>53839</v>
      </c>
      <c r="AF44" s="677">
        <f>LS_RPRO!O27+MANUAL!M27+OUTSALE!M27</f>
        <v>0</v>
      </c>
      <c r="AG44" s="679">
        <f t="shared" si="11"/>
        <v>-1</v>
      </c>
      <c r="AH44" s="174"/>
      <c r="AI44" s="686">
        <v>167</v>
      </c>
      <c r="AJ44" s="693">
        <f>LS_RPRO!M27</f>
        <v>0</v>
      </c>
      <c r="AK44" s="694">
        <f t="shared" si="3"/>
        <v>-1</v>
      </c>
      <c r="AL44" s="689">
        <v>54</v>
      </c>
      <c r="AM44" s="690">
        <f>MANUAL!H27+LS_RPRO!H27+OUTSALE!H27</f>
        <v>0</v>
      </c>
      <c r="AN44" s="694">
        <f t="shared" si="4"/>
        <v>-1</v>
      </c>
      <c r="AO44" s="694">
        <f t="shared" si="5"/>
        <v>0.32335329341317365</v>
      </c>
      <c r="AP44" s="694" t="e">
        <f t="shared" si="5"/>
        <v>#DIV/0!</v>
      </c>
      <c r="AQ44" s="695" t="e">
        <f t="shared" si="6"/>
        <v>#DIV/0!</v>
      </c>
      <c r="AR44" s="174"/>
      <c r="AS44" s="705">
        <v>0</v>
      </c>
      <c r="AT44" s="693">
        <f>LS_RPRO!K27</f>
        <v>0</v>
      </c>
      <c r="AU44" s="694" t="e">
        <f t="shared" si="12"/>
        <v>#DIV/0!</v>
      </c>
      <c r="AV44" s="689">
        <v>0</v>
      </c>
      <c r="AW44" s="710">
        <f>LS_RPRO!L27</f>
        <v>0</v>
      </c>
      <c r="AX44" s="694" t="e">
        <f t="shared" si="13"/>
        <v>#DIV/0!</v>
      </c>
      <c r="AY44" s="709">
        <f t="shared" si="23"/>
        <v>0</v>
      </c>
      <c r="AZ44" s="710">
        <f t="shared" si="23"/>
        <v>0</v>
      </c>
      <c r="BA44" s="695" t="e">
        <f t="shared" si="14"/>
        <v>#DIV/0!</v>
      </c>
      <c r="BB44" s="154"/>
      <c r="BC44" s="720"/>
      <c r="BD44" s="721">
        <v>0</v>
      </c>
      <c r="BE44" s="695" t="e">
        <f t="shared" si="15"/>
        <v>#DIV/0!</v>
      </c>
      <c r="BF44" s="174"/>
      <c r="BG44" s="727"/>
      <c r="BH44" s="728"/>
      <c r="BI44" s="735" t="e">
        <f t="shared" si="16"/>
        <v>#DIV/0!</v>
      </c>
      <c r="BJ44" s="730"/>
      <c r="BK44" s="731"/>
      <c r="BL44" s="732" t="e">
        <f t="shared" si="17"/>
        <v>#DIV/0!</v>
      </c>
      <c r="BM44" s="729" t="e">
        <f t="shared" si="18"/>
        <v>#DIV/0!</v>
      </c>
      <c r="BN44" s="733" t="e">
        <f t="shared" si="18"/>
        <v>#DIV/0!</v>
      </c>
      <c r="BO44" s="738" t="e">
        <f t="shared" si="19"/>
        <v>#DIV/0!</v>
      </c>
      <c r="BP44" s="174"/>
      <c r="BQ44" s="720">
        <v>12</v>
      </c>
      <c r="BR44" s="721">
        <v>14</v>
      </c>
      <c r="BS44" s="695">
        <f t="shared" si="20"/>
        <v>0.16666666666666666</v>
      </c>
      <c r="BT44" s="174"/>
      <c r="BU44" s="174"/>
      <c r="BV44" s="174"/>
      <c r="BW44" s="174"/>
      <c r="BX44" s="174"/>
      <c r="BY44" s="174"/>
      <c r="BZ44" s="174"/>
      <c r="CA44" s="174"/>
      <c r="CB44" s="174"/>
      <c r="CC44" s="174"/>
      <c r="CD44" s="174"/>
      <c r="CE44" s="174"/>
      <c r="CF44" s="174"/>
      <c r="CG44" s="174"/>
      <c r="CH44" s="174"/>
      <c r="CI44" s="174"/>
      <c r="CJ44" s="174"/>
      <c r="CK44" s="174"/>
      <c r="CL44" s="174"/>
      <c r="CM44" s="174"/>
      <c r="CN44" s="174"/>
      <c r="CO44" s="174"/>
      <c r="CP44" s="174"/>
      <c r="CQ44" s="174"/>
      <c r="CR44" s="174"/>
      <c r="CS44" s="174"/>
      <c r="CT44" s="174"/>
      <c r="CU44" s="174"/>
      <c r="CV44" s="174"/>
      <c r="CW44" s="174"/>
      <c r="CX44" s="174"/>
      <c r="CY44" s="174"/>
      <c r="CZ44" s="174"/>
      <c r="DA44" s="174"/>
      <c r="DB44" s="174"/>
      <c r="DC44" s="174"/>
      <c r="DD44" s="174"/>
      <c r="DE44" s="174"/>
      <c r="DF44" s="174"/>
      <c r="DG44" s="174"/>
      <c r="DH44" s="174"/>
      <c r="DI44" s="174"/>
      <c r="DJ44" s="174"/>
      <c r="DK44" s="174"/>
      <c r="DL44" s="174"/>
      <c r="DM44" s="174"/>
      <c r="DN44" s="174"/>
      <c r="DO44" s="174"/>
      <c r="DP44" s="174"/>
      <c r="DQ44" s="174"/>
      <c r="DR44" s="174"/>
      <c r="DS44" s="174"/>
      <c r="DT44" s="174"/>
      <c r="DU44" s="174"/>
      <c r="DV44" s="174"/>
      <c r="DW44" s="174"/>
      <c r="DX44" s="174"/>
      <c r="DY44" s="174"/>
      <c r="DZ44" s="174"/>
      <c r="EA44" s="174"/>
      <c r="EB44" s="174"/>
      <c r="EC44" s="174"/>
      <c r="ED44" s="174"/>
      <c r="EE44" s="174"/>
      <c r="EF44" s="174"/>
      <c r="EG44" s="174"/>
      <c r="EH44" s="174"/>
      <c r="EI44" s="174"/>
      <c r="EJ44" s="174"/>
      <c r="EK44" s="174"/>
      <c r="EL44" s="174"/>
      <c r="EM44" s="174"/>
      <c r="EN44" s="174"/>
      <c r="EO44" s="174"/>
      <c r="EP44" s="174"/>
      <c r="EQ44" s="174"/>
      <c r="ER44" s="174"/>
      <c r="ES44" s="174"/>
      <c r="ET44" s="174"/>
      <c r="EU44" s="174"/>
      <c r="EV44" s="174"/>
      <c r="EW44" s="174"/>
      <c r="EX44" s="174"/>
      <c r="EY44" s="174"/>
      <c r="EZ44" s="174"/>
      <c r="FA44" s="174"/>
      <c r="FB44" s="174"/>
      <c r="FC44" s="174"/>
      <c r="FD44" s="174"/>
      <c r="FE44" s="174"/>
      <c r="FF44" s="174"/>
      <c r="FG44" s="174"/>
      <c r="FH44" s="174"/>
      <c r="FI44" s="174"/>
      <c r="FJ44" s="174"/>
      <c r="FK44" s="174"/>
      <c r="FL44" s="174"/>
      <c r="FM44" s="174"/>
      <c r="FN44" s="174"/>
      <c r="FO44" s="174"/>
      <c r="FP44" s="174"/>
      <c r="FQ44" s="174"/>
      <c r="FR44" s="174"/>
      <c r="FS44" s="174"/>
      <c r="FT44" s="174"/>
      <c r="FU44" s="174"/>
      <c r="FV44" s="174"/>
      <c r="FW44" s="174"/>
      <c r="FX44" s="174"/>
      <c r="FY44" s="174"/>
      <c r="FZ44" s="174"/>
      <c r="GA44" s="174"/>
      <c r="GB44" s="174"/>
      <c r="GC44" s="174"/>
      <c r="GD44" s="174"/>
      <c r="GE44" s="174"/>
      <c r="GF44" s="174"/>
      <c r="GG44" s="174"/>
      <c r="GH44" s="174"/>
      <c r="GI44" s="174"/>
      <c r="GJ44" s="174"/>
      <c r="GK44" s="174"/>
      <c r="GL44" s="174"/>
      <c r="GM44" s="174"/>
      <c r="GN44" s="174"/>
      <c r="GO44" s="174"/>
      <c r="GP44" s="174"/>
      <c r="GQ44" s="174"/>
      <c r="GR44" s="174"/>
      <c r="GS44" s="174"/>
      <c r="GT44" s="174"/>
      <c r="GU44" s="174"/>
      <c r="GV44" s="174"/>
      <c r="GW44" s="174"/>
      <c r="GX44" s="174"/>
      <c r="GY44" s="174"/>
      <c r="GZ44" s="174"/>
      <c r="HA44" s="174"/>
      <c r="HB44" s="174"/>
      <c r="HC44" s="174"/>
      <c r="HD44" s="174"/>
      <c r="HE44" s="174"/>
      <c r="HF44" s="174"/>
      <c r="HG44" s="174"/>
      <c r="HH44" s="174"/>
      <c r="HI44" s="174"/>
      <c r="HJ44" s="174"/>
      <c r="HK44" s="174"/>
      <c r="HL44" s="174"/>
      <c r="HM44" s="174"/>
      <c r="HN44" s="174"/>
      <c r="HO44" s="174"/>
      <c r="HP44" s="174"/>
      <c r="HQ44" s="174"/>
      <c r="HR44" s="174"/>
      <c r="HS44" s="174"/>
      <c r="HT44" s="174"/>
      <c r="HU44" s="174"/>
      <c r="HV44" s="174"/>
      <c r="HW44" s="174"/>
      <c r="HX44" s="174"/>
      <c r="HY44" s="174"/>
      <c r="HZ44" s="174"/>
      <c r="IA44" s="174"/>
      <c r="IB44" s="174"/>
      <c r="IC44" s="174"/>
      <c r="ID44" s="174"/>
      <c r="IE44" s="174"/>
      <c r="IF44" s="174"/>
      <c r="IG44" s="174"/>
      <c r="IH44" s="174"/>
      <c r="II44" s="174"/>
      <c r="IJ44" s="174"/>
      <c r="IK44" s="174"/>
      <c r="IL44" s="174"/>
      <c r="IM44" s="174"/>
      <c r="IN44" s="174"/>
    </row>
    <row r="45" spans="1:248" s="150" customFormat="1" ht="14.25" customHeight="1">
      <c r="A45" s="174"/>
      <c r="B45" s="174"/>
      <c r="C45" s="174"/>
      <c r="D45" s="175">
        <v>21</v>
      </c>
      <c r="E45" s="973" t="s">
        <v>158</v>
      </c>
      <c r="F45" s="973"/>
      <c r="G45" s="170">
        <v>64442</v>
      </c>
      <c r="H45" s="171">
        <f t="shared" si="7"/>
        <v>2.6215244298397937E-2</v>
      </c>
      <c r="I45" s="213">
        <f t="shared" si="8"/>
        <v>71711.057576091698</v>
      </c>
      <c r="J45" s="178" t="s">
        <v>158</v>
      </c>
      <c r="K45" s="215">
        <f>LS_RPRO!B28+MANUAL!B28+OUTSALE!B28</f>
        <v>0</v>
      </c>
      <c r="L45" s="214">
        <f t="shared" si="21"/>
        <v>-71711.057576091698</v>
      </c>
      <c r="M45" s="216">
        <f>K45/G15</f>
        <v>0</v>
      </c>
      <c r="N45" s="217">
        <f t="shared" si="22"/>
        <v>655199.70626702928</v>
      </c>
      <c r="O45" s="207">
        <v>73</v>
      </c>
      <c r="P45" s="170">
        <v>0</v>
      </c>
      <c r="Q45" s="215">
        <f>LS_RPRO!C28+MANUAL!C28+OUTSALE!C28</f>
        <v>0</v>
      </c>
      <c r="R45" s="256" t="e">
        <f t="shared" si="9"/>
        <v>#DIV/0!</v>
      </c>
      <c r="S45" s="257"/>
      <c r="T45" s="251">
        <v>23890</v>
      </c>
      <c r="U45" s="663">
        <v>1583</v>
      </c>
      <c r="V45" s="258">
        <f t="shared" si="0"/>
        <v>-0.93373796567601508</v>
      </c>
      <c r="W45" s="664"/>
      <c r="X45" s="253">
        <v>119046</v>
      </c>
      <c r="Y45" s="666">
        <v>52384.499999999993</v>
      </c>
      <c r="Z45" s="279">
        <f t="shared" si="1"/>
        <v>-0.55996421551333098</v>
      </c>
      <c r="AA45" s="664">
        <v>16336.610789999977</v>
      </c>
      <c r="AB45" s="667">
        <f t="shared" si="2"/>
        <v>16336.610789999977</v>
      </c>
      <c r="AC45" s="668">
        <f t="shared" si="10"/>
        <v>1.7661200854054031E-2</v>
      </c>
      <c r="AD45" s="280"/>
      <c r="AE45" s="676">
        <v>105225</v>
      </c>
      <c r="AF45" s="677">
        <f>LS_RPRO!O28+MANUAL!M28+OUTSALE!M28</f>
        <v>0</v>
      </c>
      <c r="AG45" s="679">
        <f t="shared" si="11"/>
        <v>-1</v>
      </c>
      <c r="AH45" s="174"/>
      <c r="AI45" s="686">
        <v>389</v>
      </c>
      <c r="AJ45" s="693">
        <f>LS_RPRO!M28</f>
        <v>0</v>
      </c>
      <c r="AK45" s="694">
        <f t="shared" si="3"/>
        <v>-1</v>
      </c>
      <c r="AL45" s="689">
        <v>73</v>
      </c>
      <c r="AM45" s="690">
        <f>MANUAL!H28+LS_RPRO!H28+OUTSALE!H28</f>
        <v>0</v>
      </c>
      <c r="AN45" s="694">
        <f t="shared" si="4"/>
        <v>-1</v>
      </c>
      <c r="AO45" s="694">
        <f t="shared" si="5"/>
        <v>0.18766066838046272</v>
      </c>
      <c r="AP45" s="694" t="e">
        <f t="shared" si="5"/>
        <v>#DIV/0!</v>
      </c>
      <c r="AQ45" s="695" t="e">
        <f t="shared" si="6"/>
        <v>#DIV/0!</v>
      </c>
      <c r="AR45" s="174"/>
      <c r="AS45" s="705">
        <v>4</v>
      </c>
      <c r="AT45" s="693">
        <f>LS_RPRO!K28</f>
        <v>0</v>
      </c>
      <c r="AU45" s="694">
        <f t="shared" si="12"/>
        <v>-1</v>
      </c>
      <c r="AV45" s="689">
        <v>1</v>
      </c>
      <c r="AW45" s="710">
        <f>LS_RPRO!L28</f>
        <v>0</v>
      </c>
      <c r="AX45" s="694">
        <f t="shared" si="13"/>
        <v>-1</v>
      </c>
      <c r="AY45" s="709">
        <f t="shared" si="23"/>
        <v>5</v>
      </c>
      <c r="AZ45" s="710">
        <f t="shared" si="23"/>
        <v>0</v>
      </c>
      <c r="BA45" s="695">
        <f t="shared" si="14"/>
        <v>-1</v>
      </c>
      <c r="BB45" s="154"/>
      <c r="BC45" s="720"/>
      <c r="BD45" s="721">
        <v>0</v>
      </c>
      <c r="BE45" s="695" t="e">
        <f t="shared" si="15"/>
        <v>#DIV/0!</v>
      </c>
      <c r="BF45" s="174"/>
      <c r="BG45" s="727"/>
      <c r="BH45" s="728"/>
      <c r="BI45" s="735" t="e">
        <f t="shared" si="16"/>
        <v>#DIV/0!</v>
      </c>
      <c r="BJ45" s="730"/>
      <c r="BK45" s="731"/>
      <c r="BL45" s="732" t="e">
        <f t="shared" si="17"/>
        <v>#DIV/0!</v>
      </c>
      <c r="BM45" s="729" t="e">
        <f t="shared" si="18"/>
        <v>#DIV/0!</v>
      </c>
      <c r="BN45" s="733" t="e">
        <f t="shared" si="18"/>
        <v>#DIV/0!</v>
      </c>
      <c r="BO45" s="738" t="e">
        <f t="shared" si="19"/>
        <v>#DIV/0!</v>
      </c>
      <c r="BP45" s="174"/>
      <c r="BQ45" s="720">
        <v>16</v>
      </c>
      <c r="BR45" s="721">
        <v>10</v>
      </c>
      <c r="BS45" s="695">
        <f t="shared" si="20"/>
        <v>-0.375</v>
      </c>
      <c r="BT45" s="174"/>
      <c r="BU45" s="174"/>
      <c r="BV45" s="174"/>
      <c r="BW45" s="174"/>
      <c r="BX45" s="174"/>
      <c r="BY45" s="174"/>
      <c r="BZ45" s="174"/>
      <c r="CA45" s="174"/>
      <c r="CB45" s="174"/>
      <c r="CC45" s="174"/>
      <c r="CD45" s="174"/>
      <c r="CE45" s="174"/>
      <c r="CF45" s="174"/>
      <c r="CG45" s="174"/>
      <c r="CH45" s="174"/>
      <c r="CI45" s="174"/>
      <c r="CJ45" s="174"/>
      <c r="CK45" s="174"/>
      <c r="CL45" s="174"/>
      <c r="CM45" s="174"/>
      <c r="CN45" s="174"/>
      <c r="CO45" s="174"/>
      <c r="CP45" s="174"/>
      <c r="CQ45" s="174"/>
      <c r="CR45" s="174"/>
      <c r="CS45" s="174"/>
      <c r="CT45" s="174"/>
      <c r="CU45" s="174"/>
      <c r="CV45" s="174"/>
      <c r="CW45" s="174"/>
      <c r="CX45" s="174"/>
      <c r="CY45" s="174"/>
      <c r="CZ45" s="174"/>
      <c r="DA45" s="174"/>
      <c r="DB45" s="174"/>
      <c r="DC45" s="174"/>
      <c r="DD45" s="174"/>
      <c r="DE45" s="174"/>
      <c r="DF45" s="174"/>
      <c r="DG45" s="174"/>
      <c r="DH45" s="174"/>
      <c r="DI45" s="174"/>
      <c r="DJ45" s="174"/>
      <c r="DK45" s="174"/>
      <c r="DL45" s="174"/>
      <c r="DM45" s="174"/>
      <c r="DN45" s="174"/>
      <c r="DO45" s="174"/>
      <c r="DP45" s="174"/>
      <c r="DQ45" s="174"/>
      <c r="DR45" s="174"/>
      <c r="DS45" s="174"/>
      <c r="DT45" s="174"/>
      <c r="DU45" s="174"/>
      <c r="DV45" s="174"/>
      <c r="DW45" s="174"/>
      <c r="DX45" s="174"/>
      <c r="DY45" s="174"/>
      <c r="DZ45" s="174"/>
      <c r="EA45" s="174"/>
      <c r="EB45" s="174"/>
      <c r="EC45" s="174"/>
      <c r="ED45" s="174"/>
      <c r="EE45" s="174"/>
      <c r="EF45" s="174"/>
      <c r="EG45" s="174"/>
      <c r="EH45" s="174"/>
      <c r="EI45" s="174"/>
      <c r="EJ45" s="174"/>
      <c r="EK45" s="174"/>
      <c r="EL45" s="174"/>
      <c r="EM45" s="174"/>
      <c r="EN45" s="174"/>
      <c r="EO45" s="174"/>
      <c r="EP45" s="174"/>
      <c r="EQ45" s="174"/>
      <c r="ER45" s="174"/>
      <c r="ES45" s="174"/>
      <c r="ET45" s="174"/>
      <c r="EU45" s="174"/>
      <c r="EV45" s="174"/>
      <c r="EW45" s="174"/>
      <c r="EX45" s="174"/>
      <c r="EY45" s="174"/>
      <c r="EZ45" s="174"/>
      <c r="FA45" s="174"/>
      <c r="FB45" s="174"/>
      <c r="FC45" s="174"/>
      <c r="FD45" s="174"/>
      <c r="FE45" s="174"/>
      <c r="FF45" s="174"/>
      <c r="FG45" s="174"/>
      <c r="FH45" s="174"/>
      <c r="FI45" s="174"/>
      <c r="FJ45" s="174"/>
      <c r="FK45" s="174"/>
      <c r="FL45" s="174"/>
      <c r="FM45" s="174"/>
      <c r="FN45" s="174"/>
      <c r="FO45" s="174"/>
      <c r="FP45" s="174"/>
      <c r="FQ45" s="174"/>
      <c r="FR45" s="174"/>
      <c r="FS45" s="174"/>
      <c r="FT45" s="174"/>
      <c r="FU45" s="174"/>
      <c r="FV45" s="174"/>
      <c r="FW45" s="174"/>
      <c r="FX45" s="174"/>
      <c r="FY45" s="174"/>
      <c r="FZ45" s="174"/>
      <c r="GA45" s="174"/>
      <c r="GB45" s="174"/>
      <c r="GC45" s="174"/>
      <c r="GD45" s="174"/>
      <c r="GE45" s="174"/>
      <c r="GF45" s="174"/>
      <c r="GG45" s="174"/>
      <c r="GH45" s="174"/>
      <c r="GI45" s="174"/>
      <c r="GJ45" s="174"/>
      <c r="GK45" s="174"/>
      <c r="GL45" s="174"/>
      <c r="GM45" s="174"/>
      <c r="GN45" s="174"/>
      <c r="GO45" s="174"/>
      <c r="GP45" s="174"/>
      <c r="GQ45" s="174"/>
      <c r="GR45" s="174"/>
      <c r="GS45" s="174"/>
      <c r="GT45" s="174"/>
      <c r="GU45" s="174"/>
      <c r="GV45" s="174"/>
      <c r="GW45" s="174"/>
      <c r="GX45" s="174"/>
      <c r="GY45" s="174"/>
      <c r="GZ45" s="174"/>
      <c r="HA45" s="174"/>
      <c r="HB45" s="174"/>
      <c r="HC45" s="174"/>
      <c r="HD45" s="174"/>
      <c r="HE45" s="174"/>
      <c r="HF45" s="174"/>
      <c r="HG45" s="174"/>
      <c r="HH45" s="174"/>
      <c r="HI45" s="174"/>
      <c r="HJ45" s="174"/>
      <c r="HK45" s="174"/>
      <c r="HL45" s="174"/>
      <c r="HM45" s="174"/>
      <c r="HN45" s="174"/>
      <c r="HO45" s="174"/>
      <c r="HP45" s="174"/>
      <c r="HQ45" s="174"/>
      <c r="HR45" s="174"/>
      <c r="HS45" s="174"/>
      <c r="HT45" s="174"/>
      <c r="HU45" s="174"/>
      <c r="HV45" s="174"/>
      <c r="HW45" s="174"/>
      <c r="HX45" s="174"/>
      <c r="HY45" s="174"/>
      <c r="HZ45" s="174"/>
      <c r="IA45" s="174"/>
      <c r="IB45" s="174"/>
      <c r="IC45" s="174"/>
      <c r="ID45" s="174"/>
      <c r="IE45" s="174"/>
      <c r="IF45" s="174"/>
      <c r="IG45" s="174"/>
      <c r="IH45" s="174"/>
      <c r="II45" s="174"/>
      <c r="IJ45" s="174"/>
      <c r="IK45" s="174"/>
      <c r="IL45" s="174"/>
      <c r="IM45" s="174"/>
      <c r="IN45" s="174"/>
    </row>
    <row r="46" spans="1:248" s="151" customFormat="1" ht="14.25" customHeight="1">
      <c r="A46" s="174"/>
      <c r="B46" s="174"/>
      <c r="C46" s="174"/>
      <c r="D46" s="175">
        <v>22</v>
      </c>
      <c r="E46" s="973" t="s">
        <v>159</v>
      </c>
      <c r="F46" s="973"/>
      <c r="G46" s="170">
        <v>65346</v>
      </c>
      <c r="H46" s="171">
        <f t="shared" si="7"/>
        <v>2.6582994846887302E-2</v>
      </c>
      <c r="I46" s="213">
        <f t="shared" si="8"/>
        <v>72717.028775756306</v>
      </c>
      <c r="J46" s="178" t="s">
        <v>159</v>
      </c>
      <c r="K46" s="215">
        <f>LS_RPRO!B29+MANUAL!B29+OUTSALE!B29</f>
        <v>0</v>
      </c>
      <c r="L46" s="214">
        <f t="shared" si="21"/>
        <v>-72717.028775756306</v>
      </c>
      <c r="M46" s="216">
        <f>K46/G15</f>
        <v>0</v>
      </c>
      <c r="N46" s="217">
        <f t="shared" si="22"/>
        <v>582482.67749127303</v>
      </c>
      <c r="O46" s="207">
        <v>65</v>
      </c>
      <c r="P46" s="170">
        <v>0</v>
      </c>
      <c r="Q46" s="215">
        <f>LS_RPRO!C29+MANUAL!C29+OUTSALE!C29</f>
        <v>0</v>
      </c>
      <c r="R46" s="256" t="e">
        <f t="shared" si="9"/>
        <v>#DIV/0!</v>
      </c>
      <c r="S46" s="257"/>
      <c r="T46" s="251">
        <v>17952</v>
      </c>
      <c r="U46" s="663">
        <v>18120</v>
      </c>
      <c r="V46" s="258">
        <f t="shared" si="0"/>
        <v>9.3582887700534752E-3</v>
      </c>
      <c r="W46" s="664">
        <v>22727.75</v>
      </c>
      <c r="X46" s="253">
        <v>60434.5</v>
      </c>
      <c r="Y46" s="666">
        <v>47079</v>
      </c>
      <c r="Z46" s="279">
        <f t="shared" si="1"/>
        <v>-0.22099132118243719</v>
      </c>
      <c r="AA46" s="664">
        <v>14001.304120000015</v>
      </c>
      <c r="AB46" s="667">
        <f t="shared" si="2"/>
        <v>36729.054120000015</v>
      </c>
      <c r="AC46" s="668">
        <f t="shared" si="10"/>
        <v>3.9707085535135155E-2</v>
      </c>
      <c r="AD46" s="280"/>
      <c r="AE46" s="676">
        <v>43206</v>
      </c>
      <c r="AF46" s="677">
        <f>LS_RPRO!O29+MANUAL!M29+OUTSALE!M29</f>
        <v>0</v>
      </c>
      <c r="AG46" s="679">
        <f t="shared" si="11"/>
        <v>-1</v>
      </c>
      <c r="AH46" s="174"/>
      <c r="AI46" s="686">
        <v>261</v>
      </c>
      <c r="AJ46" s="693">
        <f>LS_RPRO!M29</f>
        <v>0</v>
      </c>
      <c r="AK46" s="694">
        <f t="shared" si="3"/>
        <v>-1</v>
      </c>
      <c r="AL46" s="689">
        <v>41</v>
      </c>
      <c r="AM46" s="690">
        <f>MANUAL!H29+LS_RPRO!H29+OUTSALE!H29</f>
        <v>0</v>
      </c>
      <c r="AN46" s="694">
        <f t="shared" si="4"/>
        <v>-1</v>
      </c>
      <c r="AO46" s="694">
        <f t="shared" si="5"/>
        <v>0.15708812260536398</v>
      </c>
      <c r="AP46" s="694" t="e">
        <f t="shared" si="5"/>
        <v>#DIV/0!</v>
      </c>
      <c r="AQ46" s="695" t="e">
        <f t="shared" si="6"/>
        <v>#DIV/0!</v>
      </c>
      <c r="AR46" s="174"/>
      <c r="AS46" s="705">
        <v>0</v>
      </c>
      <c r="AT46" s="693">
        <f>LS_RPRO!K29</f>
        <v>0</v>
      </c>
      <c r="AU46" s="694" t="e">
        <f t="shared" si="12"/>
        <v>#DIV/0!</v>
      </c>
      <c r="AV46" s="689">
        <v>1</v>
      </c>
      <c r="AW46" s="710">
        <f>LS_RPRO!L29</f>
        <v>0</v>
      </c>
      <c r="AX46" s="694">
        <f t="shared" si="13"/>
        <v>-1</v>
      </c>
      <c r="AY46" s="709">
        <f t="shared" si="23"/>
        <v>1</v>
      </c>
      <c r="AZ46" s="710">
        <f t="shared" si="23"/>
        <v>0</v>
      </c>
      <c r="BA46" s="695">
        <f t="shared" si="14"/>
        <v>-1</v>
      </c>
      <c r="BB46" s="154"/>
      <c r="BC46" s="720"/>
      <c r="BD46" s="721">
        <v>0</v>
      </c>
      <c r="BE46" s="695" t="e">
        <f t="shared" si="15"/>
        <v>#DIV/0!</v>
      </c>
      <c r="BF46" s="174"/>
      <c r="BG46" s="727"/>
      <c r="BH46" s="728"/>
      <c r="BI46" s="735" t="e">
        <f t="shared" si="16"/>
        <v>#DIV/0!</v>
      </c>
      <c r="BJ46" s="730"/>
      <c r="BK46" s="731"/>
      <c r="BL46" s="732" t="e">
        <f t="shared" si="17"/>
        <v>#DIV/0!</v>
      </c>
      <c r="BM46" s="729" t="e">
        <f t="shared" si="18"/>
        <v>#DIV/0!</v>
      </c>
      <c r="BN46" s="733" t="e">
        <f t="shared" si="18"/>
        <v>#DIV/0!</v>
      </c>
      <c r="BO46" s="738" t="e">
        <f t="shared" si="19"/>
        <v>#DIV/0!</v>
      </c>
      <c r="BP46" s="174"/>
      <c r="BQ46" s="720">
        <v>12</v>
      </c>
      <c r="BR46" s="721">
        <v>7</v>
      </c>
      <c r="BS46" s="695">
        <f t="shared" si="20"/>
        <v>-0.41666666666666669</v>
      </c>
      <c r="BT46" s="174"/>
      <c r="BU46" s="174"/>
      <c r="BV46" s="174"/>
      <c r="BW46" s="174"/>
      <c r="BX46" s="174"/>
      <c r="BY46" s="174"/>
      <c r="BZ46" s="174"/>
      <c r="CA46" s="174"/>
      <c r="CB46" s="174"/>
      <c r="CC46" s="174"/>
      <c r="CD46" s="174"/>
      <c r="CE46" s="174"/>
      <c r="CF46" s="174"/>
      <c r="CG46" s="174"/>
      <c r="CH46" s="174"/>
      <c r="CI46" s="174"/>
      <c r="CJ46" s="174"/>
      <c r="CK46" s="174"/>
      <c r="CL46" s="174"/>
      <c r="CM46" s="174"/>
      <c r="CN46" s="174"/>
      <c r="CO46" s="174"/>
      <c r="CP46" s="174"/>
      <c r="CQ46" s="174"/>
      <c r="CR46" s="174"/>
      <c r="CS46" s="174"/>
      <c r="CT46" s="174"/>
      <c r="CU46" s="174"/>
      <c r="CV46" s="174"/>
      <c r="CW46" s="174"/>
      <c r="CX46" s="174"/>
      <c r="CY46" s="174"/>
      <c r="CZ46" s="174"/>
      <c r="DA46" s="174"/>
      <c r="DB46" s="174"/>
      <c r="DC46" s="174"/>
      <c r="DD46" s="174"/>
      <c r="DE46" s="174"/>
      <c r="DF46" s="174"/>
      <c r="DG46" s="174"/>
      <c r="DH46" s="174"/>
      <c r="DI46" s="174"/>
      <c r="DJ46" s="174"/>
      <c r="DK46" s="174"/>
      <c r="DL46" s="174"/>
      <c r="DM46" s="174"/>
      <c r="DN46" s="174"/>
      <c r="DO46" s="174"/>
      <c r="DP46" s="174"/>
      <c r="DQ46" s="174"/>
      <c r="DR46" s="174"/>
      <c r="DS46" s="174"/>
      <c r="DT46" s="174"/>
      <c r="DU46" s="174"/>
      <c r="DV46" s="174"/>
      <c r="DW46" s="174"/>
      <c r="DX46" s="174"/>
      <c r="DY46" s="174"/>
      <c r="DZ46" s="174"/>
      <c r="EA46" s="174"/>
      <c r="EB46" s="174"/>
      <c r="EC46" s="174"/>
      <c r="ED46" s="174"/>
      <c r="EE46" s="174"/>
      <c r="EF46" s="174"/>
      <c r="EG46" s="174"/>
      <c r="EH46" s="174"/>
      <c r="EI46" s="174"/>
      <c r="EJ46" s="174"/>
      <c r="EK46" s="174"/>
      <c r="EL46" s="174"/>
      <c r="EM46" s="174"/>
      <c r="EN46" s="174"/>
      <c r="EO46" s="174"/>
      <c r="EP46" s="174"/>
      <c r="EQ46" s="174"/>
      <c r="ER46" s="174"/>
      <c r="ES46" s="174"/>
      <c r="ET46" s="174"/>
      <c r="EU46" s="174"/>
      <c r="EV46" s="174"/>
      <c r="EW46" s="174"/>
      <c r="EX46" s="174"/>
      <c r="EY46" s="174"/>
      <c r="EZ46" s="174"/>
      <c r="FA46" s="174"/>
      <c r="FB46" s="174"/>
      <c r="FC46" s="174"/>
      <c r="FD46" s="174"/>
      <c r="FE46" s="174"/>
      <c r="FF46" s="174"/>
      <c r="FG46" s="174"/>
      <c r="FH46" s="174"/>
      <c r="FI46" s="174"/>
      <c r="FJ46" s="174"/>
      <c r="FK46" s="174"/>
      <c r="FL46" s="174"/>
      <c r="FM46" s="174"/>
      <c r="FN46" s="174"/>
      <c r="FO46" s="174"/>
      <c r="FP46" s="174"/>
      <c r="FQ46" s="174"/>
      <c r="FR46" s="174"/>
      <c r="FS46" s="174"/>
      <c r="FT46" s="174"/>
      <c r="FU46" s="174"/>
      <c r="FV46" s="174"/>
      <c r="FW46" s="174"/>
      <c r="FX46" s="174"/>
      <c r="FY46" s="174"/>
      <c r="FZ46" s="174"/>
      <c r="GA46" s="174"/>
      <c r="GB46" s="174"/>
      <c r="GC46" s="174"/>
      <c r="GD46" s="174"/>
      <c r="GE46" s="174"/>
      <c r="GF46" s="174"/>
      <c r="GG46" s="174"/>
      <c r="GH46" s="174"/>
      <c r="GI46" s="174"/>
      <c r="GJ46" s="174"/>
      <c r="GK46" s="174"/>
      <c r="GL46" s="174"/>
      <c r="GM46" s="174"/>
      <c r="GN46" s="174"/>
      <c r="GO46" s="174"/>
      <c r="GP46" s="174"/>
      <c r="GQ46" s="174"/>
      <c r="GR46" s="174"/>
      <c r="GS46" s="174"/>
      <c r="GT46" s="174"/>
      <c r="GU46" s="174"/>
      <c r="GV46" s="174"/>
      <c r="GW46" s="174"/>
      <c r="GX46" s="174"/>
      <c r="GY46" s="174"/>
      <c r="GZ46" s="174"/>
      <c r="HA46" s="174"/>
      <c r="HB46" s="174"/>
      <c r="HC46" s="174"/>
      <c r="HD46" s="174"/>
      <c r="HE46" s="174"/>
      <c r="HF46" s="174"/>
      <c r="HG46" s="174"/>
      <c r="HH46" s="174"/>
      <c r="HI46" s="174"/>
      <c r="HJ46" s="174"/>
      <c r="HK46" s="174"/>
      <c r="HL46" s="174"/>
      <c r="HM46" s="174"/>
      <c r="HN46" s="174"/>
      <c r="HO46" s="174"/>
      <c r="HP46" s="174"/>
      <c r="HQ46" s="174"/>
      <c r="HR46" s="174"/>
      <c r="HS46" s="174"/>
      <c r="HT46" s="174"/>
      <c r="HU46" s="174"/>
      <c r="HV46" s="174"/>
      <c r="HW46" s="174"/>
      <c r="HX46" s="174"/>
      <c r="HY46" s="174"/>
      <c r="HZ46" s="174"/>
      <c r="IA46" s="174"/>
      <c r="IB46" s="174"/>
      <c r="IC46" s="174"/>
      <c r="ID46" s="174"/>
      <c r="IE46" s="174"/>
      <c r="IF46" s="174"/>
      <c r="IG46" s="174"/>
      <c r="IH46" s="174"/>
      <c r="II46" s="174"/>
      <c r="IJ46" s="174"/>
      <c r="IK46" s="174"/>
      <c r="IL46" s="174"/>
      <c r="IM46" s="174"/>
      <c r="IN46" s="174"/>
    </row>
    <row r="47" spans="1:248">
      <c r="A47" s="174"/>
      <c r="B47" s="174"/>
      <c r="C47" s="174"/>
      <c r="D47" s="175">
        <v>23</v>
      </c>
      <c r="E47" s="973" t="s">
        <v>160</v>
      </c>
      <c r="F47" s="973"/>
      <c r="G47" s="170">
        <v>48576.84</v>
      </c>
      <c r="H47" s="171">
        <f t="shared" si="7"/>
        <v>1.9761238444557721E-2</v>
      </c>
      <c r="I47" s="213">
        <f t="shared" si="8"/>
        <v>54056.307533977742</v>
      </c>
      <c r="J47" s="178" t="s">
        <v>160</v>
      </c>
      <c r="K47" s="215">
        <f>LS_RPRO!B30+MANUAL!B30+OUTSALE!B30</f>
        <v>0</v>
      </c>
      <c r="L47" s="214">
        <f t="shared" si="21"/>
        <v>-54056.307533977742</v>
      </c>
      <c r="M47" s="216">
        <f>K47/G15</f>
        <v>0</v>
      </c>
      <c r="N47" s="217">
        <f t="shared" si="22"/>
        <v>528426.36995729525</v>
      </c>
      <c r="O47" s="207">
        <v>85</v>
      </c>
      <c r="P47" s="170">
        <v>0</v>
      </c>
      <c r="Q47" s="215">
        <f>LS_RPRO!C30+MANUAL!C30+OUTSALE!C30</f>
        <v>0</v>
      </c>
      <c r="R47" s="256" t="e">
        <f t="shared" si="9"/>
        <v>#DIV/0!</v>
      </c>
      <c r="S47" s="257"/>
      <c r="T47" s="251">
        <v>3340</v>
      </c>
      <c r="U47" s="663">
        <v>13277.5</v>
      </c>
      <c r="V47" s="258">
        <f t="shared" si="0"/>
        <v>2.9752994011976046</v>
      </c>
      <c r="W47" s="664"/>
      <c r="X47" s="253">
        <v>61102</v>
      </c>
      <c r="Y47" s="666">
        <v>68956</v>
      </c>
      <c r="Z47" s="279">
        <f t="shared" si="1"/>
        <v>0.12853916402081764</v>
      </c>
      <c r="AA47" s="664">
        <v>25238.011619999968</v>
      </c>
      <c r="AB47" s="667">
        <f t="shared" si="2"/>
        <v>25238.011619999968</v>
      </c>
      <c r="AC47" s="668">
        <f t="shared" si="10"/>
        <v>2.7284336886486453E-2</v>
      </c>
      <c r="AD47" s="280"/>
      <c r="AE47" s="676">
        <v>21961</v>
      </c>
      <c r="AF47" s="677">
        <f>LS_RPRO!O30+MANUAL!M30+OUTSALE!M30</f>
        <v>0</v>
      </c>
      <c r="AG47" s="679">
        <f t="shared" si="11"/>
        <v>-1</v>
      </c>
      <c r="AH47" s="174"/>
      <c r="AI47" s="686">
        <v>209</v>
      </c>
      <c r="AJ47" s="693">
        <f>LS_RPRO!M30</f>
        <v>0</v>
      </c>
      <c r="AK47" s="694">
        <f t="shared" si="3"/>
        <v>-1</v>
      </c>
      <c r="AL47" s="689">
        <v>45</v>
      </c>
      <c r="AM47" s="690">
        <f>MANUAL!H30+LS_RPRO!H30+OUTSALE!H30</f>
        <v>0</v>
      </c>
      <c r="AN47" s="694">
        <f t="shared" si="4"/>
        <v>-1</v>
      </c>
      <c r="AO47" s="694">
        <f t="shared" si="5"/>
        <v>0.21531100478468901</v>
      </c>
      <c r="AP47" s="694" t="e">
        <f t="shared" si="5"/>
        <v>#DIV/0!</v>
      </c>
      <c r="AQ47" s="695" t="e">
        <f t="shared" si="6"/>
        <v>#DIV/0!</v>
      </c>
      <c r="AR47" s="174"/>
      <c r="AS47" s="705">
        <v>0</v>
      </c>
      <c r="AT47" s="693">
        <f>LS_RPRO!K30</f>
        <v>0</v>
      </c>
      <c r="AU47" s="694" t="e">
        <f t="shared" si="12"/>
        <v>#DIV/0!</v>
      </c>
      <c r="AV47" s="689">
        <v>2</v>
      </c>
      <c r="AW47" s="710">
        <f>LS_RPRO!L30</f>
        <v>0</v>
      </c>
      <c r="AX47" s="694">
        <f t="shared" si="13"/>
        <v>-1</v>
      </c>
      <c r="AY47" s="709">
        <f t="shared" si="23"/>
        <v>2</v>
      </c>
      <c r="AZ47" s="710">
        <f t="shared" si="23"/>
        <v>0</v>
      </c>
      <c r="BA47" s="695">
        <f t="shared" si="14"/>
        <v>-1</v>
      </c>
      <c r="BC47" s="720"/>
      <c r="BD47" s="721">
        <v>0</v>
      </c>
      <c r="BE47" s="695" t="e">
        <f t="shared" si="15"/>
        <v>#DIV/0!</v>
      </c>
      <c r="BF47" s="174"/>
      <c r="BG47" s="727"/>
      <c r="BH47" s="728"/>
      <c r="BI47" s="735" t="e">
        <f t="shared" si="16"/>
        <v>#DIV/0!</v>
      </c>
      <c r="BJ47" s="730"/>
      <c r="BK47" s="731"/>
      <c r="BL47" s="732" t="e">
        <f t="shared" si="17"/>
        <v>#DIV/0!</v>
      </c>
      <c r="BM47" s="729" t="e">
        <f t="shared" si="18"/>
        <v>#DIV/0!</v>
      </c>
      <c r="BN47" s="733" t="e">
        <f t="shared" si="18"/>
        <v>#DIV/0!</v>
      </c>
      <c r="BO47" s="738" t="e">
        <f t="shared" si="19"/>
        <v>#DIV/0!</v>
      </c>
      <c r="BP47" s="174"/>
      <c r="BQ47" s="720">
        <v>4</v>
      </c>
      <c r="BR47" s="721">
        <v>9</v>
      </c>
      <c r="BS47" s="695">
        <f t="shared" si="20"/>
        <v>1.25</v>
      </c>
      <c r="BT47" s="174"/>
      <c r="BU47" s="174"/>
      <c r="BV47" s="174"/>
      <c r="BW47" s="174"/>
      <c r="BX47" s="174"/>
      <c r="BY47" s="174"/>
      <c r="BZ47" s="174"/>
      <c r="CA47" s="174"/>
      <c r="CB47" s="174"/>
      <c r="CC47" s="174"/>
      <c r="CD47" s="174"/>
      <c r="CE47" s="174"/>
      <c r="CF47" s="174"/>
      <c r="CG47" s="174"/>
      <c r="CH47" s="174"/>
      <c r="CI47" s="174"/>
      <c r="CJ47" s="174"/>
      <c r="CK47" s="174"/>
      <c r="CL47" s="174"/>
      <c r="CM47" s="174"/>
      <c r="CN47" s="174"/>
      <c r="CO47" s="174"/>
      <c r="CP47" s="174"/>
      <c r="CQ47" s="174"/>
      <c r="CR47" s="174"/>
      <c r="CS47" s="174"/>
      <c r="CT47" s="174"/>
      <c r="CU47" s="174"/>
      <c r="CV47" s="174"/>
      <c r="CW47" s="174"/>
      <c r="CX47" s="174"/>
      <c r="CY47" s="174"/>
      <c r="CZ47" s="174"/>
      <c r="DA47" s="174"/>
      <c r="DB47" s="174"/>
      <c r="DC47" s="174"/>
      <c r="DD47" s="174"/>
      <c r="DE47" s="174"/>
      <c r="DF47" s="174"/>
      <c r="DG47" s="174"/>
      <c r="DH47" s="174"/>
      <c r="DI47" s="174"/>
      <c r="DJ47" s="174"/>
      <c r="DK47" s="174"/>
      <c r="DL47" s="174"/>
      <c r="DM47" s="174"/>
      <c r="DN47" s="174"/>
      <c r="DO47" s="174"/>
      <c r="DP47" s="174"/>
      <c r="DQ47" s="174"/>
      <c r="DR47" s="174"/>
      <c r="DS47" s="174"/>
      <c r="DT47" s="174"/>
      <c r="DU47" s="174"/>
      <c r="DV47" s="174"/>
      <c r="DW47" s="174"/>
      <c r="DX47" s="174"/>
      <c r="DY47" s="174"/>
      <c r="DZ47" s="174"/>
      <c r="EA47" s="174"/>
      <c r="EB47" s="174"/>
      <c r="EC47" s="174"/>
      <c r="ED47" s="174"/>
      <c r="EE47" s="174"/>
      <c r="EF47" s="174"/>
      <c r="EG47" s="174"/>
      <c r="EH47" s="174"/>
      <c r="EI47" s="174"/>
      <c r="EJ47" s="174"/>
      <c r="EK47" s="174"/>
      <c r="EL47" s="174"/>
      <c r="EM47" s="174"/>
      <c r="EN47" s="174"/>
      <c r="EO47" s="174"/>
      <c r="EP47" s="174"/>
      <c r="EQ47" s="174"/>
      <c r="ER47" s="174"/>
      <c r="ES47" s="174"/>
      <c r="ET47" s="174"/>
      <c r="EU47" s="174"/>
      <c r="EV47" s="174"/>
      <c r="EW47" s="174"/>
      <c r="EX47" s="174"/>
      <c r="EY47" s="174"/>
      <c r="EZ47" s="174"/>
      <c r="FA47" s="174"/>
      <c r="FB47" s="174"/>
      <c r="FC47" s="174"/>
      <c r="FD47" s="174"/>
      <c r="FE47" s="174"/>
      <c r="FF47" s="174"/>
      <c r="FG47" s="174"/>
      <c r="FH47" s="174"/>
      <c r="FI47" s="174"/>
      <c r="FJ47" s="174"/>
      <c r="FK47" s="174"/>
      <c r="FL47" s="174"/>
      <c r="FM47" s="174"/>
      <c r="FN47" s="174"/>
      <c r="FO47" s="174"/>
      <c r="FP47" s="174"/>
      <c r="FQ47" s="174"/>
      <c r="FR47" s="174"/>
      <c r="FS47" s="174"/>
      <c r="FT47" s="174"/>
      <c r="FU47" s="174"/>
      <c r="FV47" s="174"/>
      <c r="FW47" s="174"/>
      <c r="FX47" s="174"/>
      <c r="FY47" s="174"/>
      <c r="FZ47" s="174"/>
      <c r="GA47" s="174"/>
      <c r="GB47" s="174"/>
      <c r="GC47" s="174"/>
      <c r="GD47" s="174"/>
      <c r="GE47" s="174"/>
      <c r="GF47" s="174"/>
      <c r="GG47" s="174"/>
      <c r="GH47" s="174"/>
      <c r="GI47" s="174"/>
      <c r="GJ47" s="174"/>
      <c r="GK47" s="174"/>
      <c r="GL47" s="174"/>
      <c r="GM47" s="174"/>
      <c r="GN47" s="174"/>
      <c r="GO47" s="174"/>
      <c r="GP47" s="174"/>
      <c r="GQ47" s="174"/>
      <c r="GR47" s="174"/>
      <c r="GS47" s="174"/>
      <c r="GT47" s="174"/>
      <c r="GU47" s="174"/>
      <c r="GV47" s="174"/>
      <c r="GW47" s="174"/>
      <c r="GX47" s="174"/>
      <c r="GY47" s="174"/>
      <c r="GZ47" s="174"/>
      <c r="HA47" s="174"/>
      <c r="HB47" s="174"/>
      <c r="HC47" s="174"/>
      <c r="HD47" s="174"/>
      <c r="HE47" s="174"/>
      <c r="HF47" s="174"/>
      <c r="HG47" s="174"/>
      <c r="HH47" s="174"/>
      <c r="HI47" s="174"/>
      <c r="HJ47" s="174"/>
      <c r="HK47" s="174"/>
      <c r="HL47" s="174"/>
      <c r="HM47" s="174"/>
      <c r="HN47" s="174"/>
      <c r="HO47" s="174"/>
      <c r="HP47" s="174"/>
      <c r="HQ47" s="174"/>
      <c r="HR47" s="174"/>
      <c r="HS47" s="174"/>
      <c r="HT47" s="174"/>
      <c r="HU47" s="174"/>
      <c r="HV47" s="174"/>
      <c r="HW47" s="174"/>
      <c r="HX47" s="174"/>
      <c r="HY47" s="174"/>
      <c r="HZ47" s="174"/>
      <c r="IA47" s="174"/>
      <c r="IB47" s="174"/>
      <c r="IC47" s="174"/>
      <c r="ID47" s="174"/>
      <c r="IE47" s="174"/>
      <c r="IF47" s="174"/>
      <c r="IG47" s="174"/>
      <c r="IH47" s="174"/>
      <c r="II47" s="174"/>
      <c r="IJ47" s="174"/>
      <c r="IK47" s="174"/>
      <c r="IL47" s="174"/>
      <c r="IM47" s="174"/>
      <c r="IN47" s="174"/>
    </row>
    <row r="48" spans="1:248">
      <c r="A48" s="174"/>
      <c r="B48" s="174"/>
      <c r="C48" s="174"/>
      <c r="D48" s="175">
        <v>24</v>
      </c>
      <c r="E48" s="973" t="s">
        <v>161</v>
      </c>
      <c r="F48" s="973"/>
      <c r="G48" s="170">
        <v>96326.5</v>
      </c>
      <c r="H48" s="171">
        <f t="shared" si="7"/>
        <v>3.9185977001173593E-2</v>
      </c>
      <c r="I48" s="213">
        <f t="shared" si="8"/>
        <v>107192.12916426237</v>
      </c>
      <c r="J48" s="178" t="s">
        <v>161</v>
      </c>
      <c r="K48" s="215">
        <f>LS_RPRO!B31+MANUAL!B31+OUTSALE!B31</f>
        <v>0</v>
      </c>
      <c r="L48" s="214">
        <f t="shared" si="21"/>
        <v>-107192.12916426237</v>
      </c>
      <c r="M48" s="216">
        <f>K48/G15</f>
        <v>0</v>
      </c>
      <c r="N48" s="217">
        <f t="shared" si="22"/>
        <v>421234.24079303286</v>
      </c>
      <c r="O48" s="207">
        <v>140</v>
      </c>
      <c r="P48" s="170">
        <v>0</v>
      </c>
      <c r="Q48" s="215">
        <f>LS_RPRO!C31+MANUAL!C31+OUTSALE!C31</f>
        <v>0</v>
      </c>
      <c r="R48" s="256" t="e">
        <f t="shared" si="9"/>
        <v>#DIV/0!</v>
      </c>
      <c r="S48" s="257"/>
      <c r="T48" s="251">
        <v>19728</v>
      </c>
      <c r="U48" s="663">
        <v>41473</v>
      </c>
      <c r="V48" s="258">
        <f t="shared" si="0"/>
        <v>1.1022404703974047</v>
      </c>
      <c r="W48" s="664"/>
      <c r="X48" s="253">
        <v>45618</v>
      </c>
      <c r="Y48" s="666">
        <v>59676.5</v>
      </c>
      <c r="Z48" s="279">
        <f t="shared" si="1"/>
        <v>0.30817878907448815</v>
      </c>
      <c r="AA48" s="664">
        <v>20205.329759999986</v>
      </c>
      <c r="AB48" s="667">
        <f t="shared" si="2"/>
        <v>20205.329759999986</v>
      </c>
      <c r="AC48" s="668">
        <f t="shared" si="10"/>
        <v>2.1843599740540526E-2</v>
      </c>
      <c r="AD48" s="280"/>
      <c r="AE48" s="676">
        <v>29180</v>
      </c>
      <c r="AF48" s="677">
        <f>LS_RPRO!O31+MANUAL!M31+OUTSALE!M31</f>
        <v>0</v>
      </c>
      <c r="AG48" s="679">
        <f t="shared" si="11"/>
        <v>-1</v>
      </c>
      <c r="AH48" s="174"/>
      <c r="AI48" s="686">
        <v>187</v>
      </c>
      <c r="AJ48" s="693">
        <f>LS_RPRO!M31</f>
        <v>0</v>
      </c>
      <c r="AK48" s="694">
        <f t="shared" si="3"/>
        <v>-1</v>
      </c>
      <c r="AL48" s="689">
        <v>28</v>
      </c>
      <c r="AM48" s="690">
        <f>MANUAL!H31+LS_RPRO!H31+OUTSALE!H31</f>
        <v>0</v>
      </c>
      <c r="AN48" s="694">
        <f t="shared" si="4"/>
        <v>-1</v>
      </c>
      <c r="AO48" s="694">
        <f t="shared" si="5"/>
        <v>0.1497326203208556</v>
      </c>
      <c r="AP48" s="694" t="e">
        <f t="shared" si="5"/>
        <v>#DIV/0!</v>
      </c>
      <c r="AQ48" s="695" t="e">
        <f t="shared" si="6"/>
        <v>#DIV/0!</v>
      </c>
      <c r="AR48" s="174"/>
      <c r="AS48" s="705">
        <v>0</v>
      </c>
      <c r="AT48" s="693">
        <f>LS_RPRO!K31</f>
        <v>0</v>
      </c>
      <c r="AU48" s="694" t="e">
        <f t="shared" si="12"/>
        <v>#DIV/0!</v>
      </c>
      <c r="AV48" s="689">
        <v>0</v>
      </c>
      <c r="AW48" s="710">
        <f>LS_RPRO!L31</f>
        <v>0</v>
      </c>
      <c r="AX48" s="694" t="e">
        <f t="shared" si="13"/>
        <v>#DIV/0!</v>
      </c>
      <c r="AY48" s="709">
        <f t="shared" si="23"/>
        <v>0</v>
      </c>
      <c r="AZ48" s="710">
        <f t="shared" si="23"/>
        <v>0</v>
      </c>
      <c r="BA48" s="695" t="e">
        <f t="shared" si="14"/>
        <v>#DIV/0!</v>
      </c>
      <c r="BC48" s="720"/>
      <c r="BD48" s="721">
        <v>0</v>
      </c>
      <c r="BE48" s="695" t="e">
        <f t="shared" si="15"/>
        <v>#DIV/0!</v>
      </c>
      <c r="BF48" s="174"/>
      <c r="BG48" s="727"/>
      <c r="BH48" s="728"/>
      <c r="BI48" s="735" t="e">
        <f t="shared" si="16"/>
        <v>#DIV/0!</v>
      </c>
      <c r="BJ48" s="730"/>
      <c r="BK48" s="731"/>
      <c r="BL48" s="732" t="e">
        <f t="shared" si="17"/>
        <v>#DIV/0!</v>
      </c>
      <c r="BM48" s="729" t="e">
        <f t="shared" si="18"/>
        <v>#DIV/0!</v>
      </c>
      <c r="BN48" s="733" t="e">
        <f t="shared" si="18"/>
        <v>#DIV/0!</v>
      </c>
      <c r="BO48" s="738" t="e">
        <f t="shared" si="19"/>
        <v>#DIV/0!</v>
      </c>
      <c r="BP48" s="174"/>
      <c r="BQ48" s="720">
        <v>4</v>
      </c>
      <c r="BR48" s="721">
        <v>12</v>
      </c>
      <c r="BS48" s="695">
        <f t="shared" si="20"/>
        <v>2</v>
      </c>
      <c r="BT48" s="174"/>
      <c r="BU48" s="174"/>
      <c r="BV48" s="174"/>
      <c r="BW48" s="174"/>
      <c r="BX48" s="174"/>
      <c r="BY48" s="174"/>
      <c r="BZ48" s="174"/>
      <c r="CA48" s="174"/>
      <c r="CB48" s="174"/>
      <c r="CC48" s="174"/>
      <c r="CD48" s="174"/>
      <c r="CE48" s="174"/>
      <c r="CF48" s="174"/>
      <c r="CG48" s="174"/>
      <c r="CH48" s="174"/>
      <c r="CI48" s="174"/>
      <c r="CJ48" s="174"/>
      <c r="CK48" s="174"/>
      <c r="CL48" s="174"/>
      <c r="CM48" s="174"/>
      <c r="CN48" s="174"/>
      <c r="CO48" s="174"/>
      <c r="CP48" s="174"/>
      <c r="CQ48" s="174"/>
      <c r="CR48" s="174"/>
      <c r="CS48" s="174"/>
      <c r="CT48" s="174"/>
      <c r="CU48" s="174"/>
      <c r="CV48" s="174"/>
      <c r="CW48" s="174"/>
      <c r="CX48" s="174"/>
      <c r="CY48" s="174"/>
      <c r="CZ48" s="174"/>
      <c r="DA48" s="174"/>
      <c r="DB48" s="174"/>
      <c r="DC48" s="174"/>
      <c r="DD48" s="174"/>
      <c r="DE48" s="174"/>
      <c r="DF48" s="174"/>
      <c r="DG48" s="174"/>
      <c r="DH48" s="174"/>
      <c r="DI48" s="174"/>
      <c r="DJ48" s="174"/>
      <c r="DK48" s="174"/>
      <c r="DL48" s="174"/>
      <c r="DM48" s="174"/>
      <c r="DN48" s="174"/>
      <c r="DO48" s="174"/>
      <c r="DP48" s="174"/>
      <c r="DQ48" s="174"/>
      <c r="DR48" s="174"/>
      <c r="DS48" s="174"/>
      <c r="DT48" s="174"/>
      <c r="DU48" s="174"/>
      <c r="DV48" s="174"/>
      <c r="DW48" s="174"/>
      <c r="DX48" s="174"/>
      <c r="DY48" s="174"/>
      <c r="DZ48" s="174"/>
      <c r="EA48" s="174"/>
      <c r="EB48" s="174"/>
      <c r="EC48" s="174"/>
      <c r="ED48" s="174"/>
      <c r="EE48" s="174"/>
      <c r="EF48" s="174"/>
      <c r="EG48" s="174"/>
      <c r="EH48" s="174"/>
      <c r="EI48" s="174"/>
      <c r="EJ48" s="174"/>
      <c r="EK48" s="174"/>
      <c r="EL48" s="174"/>
      <c r="EM48" s="174"/>
      <c r="EN48" s="174"/>
      <c r="EO48" s="174"/>
      <c r="EP48" s="174"/>
      <c r="EQ48" s="174"/>
      <c r="ER48" s="174"/>
      <c r="ES48" s="174"/>
      <c r="ET48" s="174"/>
      <c r="EU48" s="174"/>
      <c r="EV48" s="174"/>
      <c r="EW48" s="174"/>
      <c r="EX48" s="174"/>
      <c r="EY48" s="174"/>
      <c r="EZ48" s="174"/>
      <c r="FA48" s="174"/>
      <c r="FB48" s="174"/>
      <c r="FC48" s="174"/>
      <c r="FD48" s="174"/>
      <c r="FE48" s="174"/>
      <c r="FF48" s="174"/>
      <c r="FG48" s="174"/>
      <c r="FH48" s="174"/>
      <c r="FI48" s="174"/>
      <c r="FJ48" s="174"/>
      <c r="FK48" s="174"/>
      <c r="FL48" s="174"/>
      <c r="FM48" s="174"/>
      <c r="FN48" s="174"/>
      <c r="FO48" s="174"/>
      <c r="FP48" s="174"/>
      <c r="FQ48" s="174"/>
      <c r="FR48" s="174"/>
      <c r="FS48" s="174"/>
      <c r="FT48" s="174"/>
      <c r="FU48" s="174"/>
      <c r="FV48" s="174"/>
      <c r="FW48" s="174"/>
      <c r="FX48" s="174"/>
      <c r="FY48" s="174"/>
      <c r="FZ48" s="174"/>
      <c r="GA48" s="174"/>
      <c r="GB48" s="174"/>
      <c r="GC48" s="174"/>
      <c r="GD48" s="174"/>
      <c r="GE48" s="174"/>
      <c r="GF48" s="174"/>
      <c r="GG48" s="174"/>
      <c r="GH48" s="174"/>
      <c r="GI48" s="174"/>
      <c r="GJ48" s="174"/>
      <c r="GK48" s="174"/>
      <c r="GL48" s="174"/>
      <c r="GM48" s="174"/>
      <c r="GN48" s="174"/>
      <c r="GO48" s="174"/>
      <c r="GP48" s="174"/>
      <c r="GQ48" s="174"/>
      <c r="GR48" s="174"/>
      <c r="GS48" s="174"/>
      <c r="GT48" s="174"/>
      <c r="GU48" s="174"/>
      <c r="GV48" s="174"/>
      <c r="GW48" s="174"/>
      <c r="GX48" s="174"/>
      <c r="GY48" s="174"/>
      <c r="GZ48" s="174"/>
      <c r="HA48" s="174"/>
      <c r="HB48" s="174"/>
      <c r="HC48" s="174"/>
      <c r="HD48" s="174"/>
      <c r="HE48" s="174"/>
      <c r="HF48" s="174"/>
      <c r="HG48" s="174"/>
      <c r="HH48" s="174"/>
      <c r="HI48" s="174"/>
      <c r="HJ48" s="174"/>
      <c r="HK48" s="174"/>
      <c r="HL48" s="174"/>
      <c r="HM48" s="174"/>
      <c r="HN48" s="174"/>
      <c r="HO48" s="174"/>
      <c r="HP48" s="174"/>
      <c r="HQ48" s="174"/>
      <c r="HR48" s="174"/>
      <c r="HS48" s="174"/>
      <c r="HT48" s="174"/>
      <c r="HU48" s="174"/>
      <c r="HV48" s="174"/>
      <c r="HW48" s="174"/>
      <c r="HX48" s="174"/>
      <c r="HY48" s="174"/>
      <c r="HZ48" s="174"/>
      <c r="IA48" s="174"/>
      <c r="IB48" s="174"/>
      <c r="IC48" s="174"/>
      <c r="ID48" s="174"/>
      <c r="IE48" s="174"/>
      <c r="IF48" s="174"/>
      <c r="IG48" s="174"/>
      <c r="IH48" s="174"/>
      <c r="II48" s="174"/>
      <c r="IJ48" s="174"/>
      <c r="IK48" s="174"/>
      <c r="IL48" s="174"/>
      <c r="IM48" s="174"/>
      <c r="IN48" s="174"/>
    </row>
    <row r="49" spans="1:248" ht="14.25" customHeight="1">
      <c r="A49" s="174"/>
      <c r="B49" s="174"/>
      <c r="C49" s="174"/>
      <c r="D49" s="175">
        <v>25</v>
      </c>
      <c r="E49" s="973" t="s">
        <v>155</v>
      </c>
      <c r="F49" s="973"/>
      <c r="G49" s="170">
        <v>94895</v>
      </c>
      <c r="H49" s="171">
        <f t="shared" si="7"/>
        <v>3.8603637498781422E-2</v>
      </c>
      <c r="I49" s="213">
        <f t="shared" si="8"/>
        <v>105599.15596479349</v>
      </c>
      <c r="J49" s="178" t="s">
        <v>155</v>
      </c>
      <c r="K49" s="215">
        <f>LS_RPRO!B32+MANUAL!B32+OUTSALE!B32</f>
        <v>0</v>
      </c>
      <c r="L49" s="214">
        <f t="shared" si="21"/>
        <v>-105599.15596479349</v>
      </c>
      <c r="M49" s="216">
        <f>K49/G15</f>
        <v>0</v>
      </c>
      <c r="N49" s="217">
        <f t="shared" si="22"/>
        <v>315635.0848282394</v>
      </c>
      <c r="O49" s="207">
        <v>76</v>
      </c>
      <c r="P49" s="170">
        <v>552.77</v>
      </c>
      <c r="Q49" s="215">
        <f>LS_RPRO!C32+MANUAL!C32+OUTSALE!C32</f>
        <v>0</v>
      </c>
      <c r="R49" s="256">
        <f t="shared" si="9"/>
        <v>-1</v>
      </c>
      <c r="S49" s="257"/>
      <c r="T49" s="251">
        <v>13044.14</v>
      </c>
      <c r="U49" s="663">
        <v>12970.5</v>
      </c>
      <c r="V49" s="258">
        <f t="shared" si="0"/>
        <v>-5.6454469209928308E-3</v>
      </c>
      <c r="W49" s="664"/>
      <c r="X49" s="253">
        <v>35532.699999999997</v>
      </c>
      <c r="Y49" s="666">
        <v>44197.5</v>
      </c>
      <c r="Z49" s="279">
        <f t="shared" si="1"/>
        <v>0.24385425256172494</v>
      </c>
      <c r="AA49" s="664">
        <v>9353.0746700000018</v>
      </c>
      <c r="AB49" s="667">
        <f t="shared" si="2"/>
        <v>9353.0746700000018</v>
      </c>
      <c r="AC49" s="668">
        <f t="shared" si="10"/>
        <v>1.0111432075675678E-2</v>
      </c>
      <c r="AD49" s="280"/>
      <c r="AE49" s="676">
        <v>26863.5</v>
      </c>
      <c r="AF49" s="677">
        <f>LS_RPRO!O32+MANUAL!M32+OUTSALE!M32</f>
        <v>0</v>
      </c>
      <c r="AG49" s="679">
        <f t="shared" si="11"/>
        <v>-1</v>
      </c>
      <c r="AH49" s="174"/>
      <c r="AI49" s="686">
        <v>167</v>
      </c>
      <c r="AJ49" s="693">
        <f>LS_RPRO!M32</f>
        <v>0</v>
      </c>
      <c r="AK49" s="694">
        <f t="shared" si="3"/>
        <v>-1</v>
      </c>
      <c r="AL49" s="689">
        <v>33</v>
      </c>
      <c r="AM49" s="690">
        <f>MANUAL!H32+LS_RPRO!H32+OUTSALE!H32</f>
        <v>0</v>
      </c>
      <c r="AN49" s="694">
        <f t="shared" si="4"/>
        <v>-1</v>
      </c>
      <c r="AO49" s="694">
        <f t="shared" si="5"/>
        <v>0.19760479041916168</v>
      </c>
      <c r="AP49" s="694" t="e">
        <f t="shared" si="5"/>
        <v>#DIV/0!</v>
      </c>
      <c r="AQ49" s="695" t="e">
        <f t="shared" si="6"/>
        <v>#DIV/0!</v>
      </c>
      <c r="AR49" s="174"/>
      <c r="AS49" s="705">
        <v>0</v>
      </c>
      <c r="AT49" s="693">
        <f>LS_RPRO!K32</f>
        <v>0</v>
      </c>
      <c r="AU49" s="694" t="e">
        <f t="shared" si="12"/>
        <v>#DIV/0!</v>
      </c>
      <c r="AV49" s="689">
        <v>1</v>
      </c>
      <c r="AW49" s="710">
        <f>LS_RPRO!L32</f>
        <v>0</v>
      </c>
      <c r="AX49" s="694">
        <f t="shared" si="13"/>
        <v>-1</v>
      </c>
      <c r="AY49" s="709">
        <f t="shared" si="23"/>
        <v>1</v>
      </c>
      <c r="AZ49" s="710">
        <f t="shared" si="23"/>
        <v>0</v>
      </c>
      <c r="BA49" s="695">
        <f t="shared" si="14"/>
        <v>-1</v>
      </c>
      <c r="BC49" s="720"/>
      <c r="BD49" s="721">
        <v>0</v>
      </c>
      <c r="BE49" s="695" t="e">
        <f t="shared" si="15"/>
        <v>#DIV/0!</v>
      </c>
      <c r="BF49" s="174"/>
      <c r="BG49" s="727"/>
      <c r="BH49" s="728"/>
      <c r="BI49" s="735" t="e">
        <f t="shared" si="16"/>
        <v>#DIV/0!</v>
      </c>
      <c r="BJ49" s="730"/>
      <c r="BK49" s="731"/>
      <c r="BL49" s="732" t="e">
        <f t="shared" si="17"/>
        <v>#DIV/0!</v>
      </c>
      <c r="BM49" s="729" t="e">
        <f t="shared" si="18"/>
        <v>#DIV/0!</v>
      </c>
      <c r="BN49" s="733" t="e">
        <f t="shared" si="18"/>
        <v>#DIV/0!</v>
      </c>
      <c r="BO49" s="738" t="e">
        <f t="shared" si="19"/>
        <v>#DIV/0!</v>
      </c>
      <c r="BP49" s="174"/>
      <c r="BQ49" s="720">
        <v>6</v>
      </c>
      <c r="BR49" s="721">
        <v>6</v>
      </c>
      <c r="BS49" s="695">
        <f t="shared" si="20"/>
        <v>0</v>
      </c>
      <c r="BT49" s="174"/>
      <c r="BU49" s="174"/>
      <c r="BV49" s="174"/>
      <c r="BW49" s="174"/>
      <c r="BX49" s="174"/>
      <c r="BY49" s="174"/>
      <c r="BZ49" s="174"/>
      <c r="CA49" s="174"/>
      <c r="CB49" s="174"/>
      <c r="CC49" s="174"/>
      <c r="CD49" s="174"/>
      <c r="CE49" s="174"/>
      <c r="CF49" s="174"/>
      <c r="CG49" s="174"/>
      <c r="CH49" s="174"/>
      <c r="CI49" s="174"/>
      <c r="CJ49" s="174"/>
      <c r="CK49" s="174"/>
      <c r="CL49" s="174"/>
      <c r="CM49" s="174"/>
      <c r="CN49" s="174"/>
      <c r="CO49" s="174"/>
      <c r="CP49" s="174"/>
      <c r="CQ49" s="174"/>
      <c r="CR49" s="174"/>
      <c r="CS49" s="174"/>
      <c r="CT49" s="174"/>
      <c r="CU49" s="174"/>
      <c r="CV49" s="174"/>
      <c r="CW49" s="174"/>
      <c r="CX49" s="174"/>
      <c r="CY49" s="174"/>
      <c r="CZ49" s="174"/>
      <c r="DA49" s="174"/>
      <c r="DB49" s="174"/>
      <c r="DC49" s="174"/>
      <c r="DD49" s="174"/>
      <c r="DE49" s="174"/>
      <c r="DF49" s="174"/>
      <c r="DG49" s="174"/>
      <c r="DH49" s="174"/>
      <c r="DI49" s="174"/>
      <c r="DJ49" s="174"/>
      <c r="DK49" s="174"/>
      <c r="DL49" s="174"/>
      <c r="DM49" s="174"/>
      <c r="DN49" s="174"/>
      <c r="DO49" s="174"/>
      <c r="DP49" s="174"/>
      <c r="DQ49" s="174"/>
      <c r="DR49" s="174"/>
      <c r="DS49" s="174"/>
      <c r="DT49" s="174"/>
      <c r="DU49" s="174"/>
      <c r="DV49" s="174"/>
      <c r="DW49" s="174"/>
      <c r="DX49" s="174"/>
      <c r="DY49" s="174"/>
      <c r="DZ49" s="174"/>
      <c r="EA49" s="174"/>
      <c r="EB49" s="174"/>
      <c r="EC49" s="174"/>
      <c r="ED49" s="174"/>
      <c r="EE49" s="174"/>
      <c r="EF49" s="174"/>
      <c r="EG49" s="174"/>
      <c r="EH49" s="174"/>
      <c r="EI49" s="174"/>
      <c r="EJ49" s="174"/>
      <c r="EK49" s="174"/>
      <c r="EL49" s="174"/>
      <c r="EM49" s="174"/>
      <c r="EN49" s="174"/>
      <c r="EO49" s="174"/>
      <c r="EP49" s="174"/>
      <c r="EQ49" s="174"/>
      <c r="ER49" s="174"/>
      <c r="ES49" s="174"/>
      <c r="ET49" s="174"/>
      <c r="EU49" s="174"/>
      <c r="EV49" s="174"/>
      <c r="EW49" s="174"/>
      <c r="EX49" s="174"/>
      <c r="EY49" s="174"/>
      <c r="EZ49" s="174"/>
      <c r="FA49" s="174"/>
      <c r="FB49" s="174"/>
      <c r="FC49" s="174"/>
      <c r="FD49" s="174"/>
      <c r="FE49" s="174"/>
      <c r="FF49" s="174"/>
      <c r="FG49" s="174"/>
      <c r="FH49" s="174"/>
      <c r="FI49" s="174"/>
      <c r="FJ49" s="174"/>
      <c r="FK49" s="174"/>
      <c r="FL49" s="174"/>
      <c r="FM49" s="174"/>
      <c r="FN49" s="174"/>
      <c r="FO49" s="174"/>
      <c r="FP49" s="174"/>
      <c r="FQ49" s="174"/>
      <c r="FR49" s="174"/>
      <c r="FS49" s="174"/>
      <c r="FT49" s="174"/>
      <c r="FU49" s="174"/>
      <c r="FV49" s="174"/>
      <c r="FW49" s="174"/>
      <c r="FX49" s="174"/>
      <c r="FY49" s="174"/>
      <c r="FZ49" s="174"/>
      <c r="GA49" s="174"/>
      <c r="GB49" s="174"/>
      <c r="GC49" s="174"/>
      <c r="GD49" s="174"/>
      <c r="GE49" s="174"/>
      <c r="GF49" s="174"/>
      <c r="GG49" s="174"/>
      <c r="GH49" s="174"/>
      <c r="GI49" s="174"/>
      <c r="GJ49" s="174"/>
      <c r="GK49" s="174"/>
      <c r="GL49" s="174"/>
      <c r="GM49" s="174"/>
      <c r="GN49" s="174"/>
      <c r="GO49" s="174"/>
      <c r="GP49" s="174"/>
      <c r="GQ49" s="174"/>
      <c r="GR49" s="174"/>
      <c r="GS49" s="174"/>
      <c r="GT49" s="174"/>
      <c r="GU49" s="174"/>
      <c r="GV49" s="174"/>
      <c r="GW49" s="174"/>
      <c r="GX49" s="174"/>
      <c r="GY49" s="174"/>
      <c r="GZ49" s="174"/>
      <c r="HA49" s="174"/>
      <c r="HB49" s="174"/>
      <c r="HC49" s="174"/>
      <c r="HD49" s="174"/>
      <c r="HE49" s="174"/>
      <c r="HF49" s="174"/>
      <c r="HG49" s="174"/>
      <c r="HH49" s="174"/>
      <c r="HI49" s="174"/>
      <c r="HJ49" s="174"/>
      <c r="HK49" s="174"/>
      <c r="HL49" s="174"/>
      <c r="HM49" s="174"/>
      <c r="HN49" s="174"/>
      <c r="HO49" s="174"/>
      <c r="HP49" s="174"/>
      <c r="HQ49" s="174"/>
      <c r="HR49" s="174"/>
      <c r="HS49" s="174"/>
      <c r="HT49" s="174"/>
      <c r="HU49" s="174"/>
      <c r="HV49" s="174"/>
      <c r="HW49" s="174"/>
      <c r="HX49" s="174"/>
      <c r="HY49" s="174"/>
      <c r="HZ49" s="174"/>
      <c r="IA49" s="174"/>
      <c r="IB49" s="174"/>
      <c r="IC49" s="174"/>
      <c r="ID49" s="174"/>
      <c r="IE49" s="174"/>
      <c r="IF49" s="174"/>
      <c r="IG49" s="174"/>
      <c r="IH49" s="174"/>
      <c r="II49" s="174"/>
      <c r="IJ49" s="174"/>
      <c r="IK49" s="174"/>
      <c r="IL49" s="174"/>
      <c r="IM49" s="174"/>
      <c r="IN49" s="174"/>
    </row>
    <row r="50" spans="1:248">
      <c r="A50" s="174"/>
      <c r="B50" s="174"/>
      <c r="C50" s="174"/>
      <c r="D50" s="175">
        <v>26</v>
      </c>
      <c r="E50" s="973" t="s">
        <v>156</v>
      </c>
      <c r="F50" s="973"/>
      <c r="G50" s="170">
        <v>134169.75</v>
      </c>
      <c r="H50" s="171">
        <f t="shared" si="7"/>
        <v>5.4580751275642853E-2</v>
      </c>
      <c r="I50" s="213">
        <f t="shared" si="8"/>
        <v>149304.09775022234</v>
      </c>
      <c r="J50" s="178" t="s">
        <v>156</v>
      </c>
      <c r="K50" s="215">
        <f>LS_RPRO!B33+MANUAL!B33+OUTSALE!B33</f>
        <v>0</v>
      </c>
      <c r="L50" s="214">
        <f t="shared" si="21"/>
        <v>-149304.09775022234</v>
      </c>
      <c r="M50" s="216">
        <f>K50/G15</f>
        <v>0</v>
      </c>
      <c r="N50" s="217">
        <f t="shared" si="22"/>
        <v>166330.98707801706</v>
      </c>
      <c r="O50" s="207">
        <v>95</v>
      </c>
      <c r="P50" s="170">
        <v>0</v>
      </c>
      <c r="Q50" s="215">
        <f>LS_RPRO!C33+MANUAL!C33+OUTSALE!C33</f>
        <v>0</v>
      </c>
      <c r="R50" s="256" t="e">
        <f t="shared" si="9"/>
        <v>#DIV/0!</v>
      </c>
      <c r="S50" s="257"/>
      <c r="T50" s="251">
        <v>35757</v>
      </c>
      <c r="U50" s="663">
        <v>11763</v>
      </c>
      <c r="V50" s="258">
        <f t="shared" si="0"/>
        <v>-0.67102944877925996</v>
      </c>
      <c r="W50" s="664"/>
      <c r="X50" s="253">
        <v>60569.5</v>
      </c>
      <c r="Y50" s="666">
        <v>53194.999999999993</v>
      </c>
      <c r="Z50" s="279">
        <f t="shared" si="1"/>
        <v>-0.12175269731465518</v>
      </c>
      <c r="AA50" s="664">
        <v>12842.062699999973</v>
      </c>
      <c r="AB50" s="667">
        <f t="shared" si="2"/>
        <v>12842.062699999973</v>
      </c>
      <c r="AC50" s="668">
        <f t="shared" si="10"/>
        <v>1.3883311027026998E-2</v>
      </c>
      <c r="AD50" s="280"/>
      <c r="AE50" s="676">
        <v>34967.5</v>
      </c>
      <c r="AF50" s="677">
        <f>LS_RPRO!O33+MANUAL!M33+OUTSALE!M33</f>
        <v>0</v>
      </c>
      <c r="AG50" s="679">
        <f t="shared" si="11"/>
        <v>-1</v>
      </c>
      <c r="AH50" s="174"/>
      <c r="AI50" s="686">
        <v>204</v>
      </c>
      <c r="AJ50" s="693">
        <f>LS_RPRO!M33</f>
        <v>0</v>
      </c>
      <c r="AK50" s="694">
        <f t="shared" si="3"/>
        <v>-1</v>
      </c>
      <c r="AL50" s="689">
        <v>42</v>
      </c>
      <c r="AM50" s="690">
        <f>MANUAL!H33+LS_RPRO!H33+OUTSALE!H33</f>
        <v>0</v>
      </c>
      <c r="AN50" s="694">
        <f t="shared" si="4"/>
        <v>-1</v>
      </c>
      <c r="AO50" s="694">
        <f t="shared" si="5"/>
        <v>0.20588235294117646</v>
      </c>
      <c r="AP50" s="694" t="e">
        <f t="shared" si="5"/>
        <v>#DIV/0!</v>
      </c>
      <c r="AQ50" s="695" t="e">
        <f t="shared" si="6"/>
        <v>#DIV/0!</v>
      </c>
      <c r="AR50" s="174"/>
      <c r="AS50" s="705">
        <v>0</v>
      </c>
      <c r="AT50" s="693">
        <f>LS_RPRO!K33</f>
        <v>0</v>
      </c>
      <c r="AU50" s="694" t="e">
        <f t="shared" si="12"/>
        <v>#DIV/0!</v>
      </c>
      <c r="AV50" s="689">
        <v>1</v>
      </c>
      <c r="AW50" s="710">
        <f>LS_RPRO!L33</f>
        <v>0</v>
      </c>
      <c r="AX50" s="694">
        <f t="shared" si="13"/>
        <v>-1</v>
      </c>
      <c r="AY50" s="709">
        <f t="shared" si="23"/>
        <v>1</v>
      </c>
      <c r="AZ50" s="710">
        <f t="shared" si="23"/>
        <v>0</v>
      </c>
      <c r="BA50" s="695">
        <f t="shared" si="14"/>
        <v>-1</v>
      </c>
      <c r="BC50" s="720"/>
      <c r="BD50" s="721">
        <v>0</v>
      </c>
      <c r="BE50" s="695" t="e">
        <f t="shared" si="15"/>
        <v>#DIV/0!</v>
      </c>
      <c r="BF50" s="174"/>
      <c r="BG50" s="727"/>
      <c r="BH50" s="728"/>
      <c r="BI50" s="735" t="e">
        <f t="shared" si="16"/>
        <v>#DIV/0!</v>
      </c>
      <c r="BJ50" s="730"/>
      <c r="BK50" s="731"/>
      <c r="BL50" s="735" t="e">
        <f t="shared" si="17"/>
        <v>#DIV/0!</v>
      </c>
      <c r="BM50" s="729" t="e">
        <f t="shared" si="18"/>
        <v>#DIV/0!</v>
      </c>
      <c r="BN50" s="733" t="e">
        <f t="shared" si="18"/>
        <v>#DIV/0!</v>
      </c>
      <c r="BO50" s="738" t="e">
        <f t="shared" si="19"/>
        <v>#DIV/0!</v>
      </c>
      <c r="BP50" s="174"/>
      <c r="BQ50" s="720">
        <v>10</v>
      </c>
      <c r="BR50" s="721">
        <v>9</v>
      </c>
      <c r="BS50" s="695">
        <f t="shared" si="20"/>
        <v>-0.1</v>
      </c>
      <c r="BT50" s="174"/>
      <c r="BU50" s="174"/>
      <c r="BV50" s="174"/>
      <c r="BW50" s="174"/>
      <c r="BX50" s="174"/>
      <c r="BY50" s="174"/>
      <c r="BZ50" s="174"/>
      <c r="CA50" s="174"/>
      <c r="CB50" s="174"/>
      <c r="CC50" s="174"/>
      <c r="CD50" s="174"/>
      <c r="CE50" s="174"/>
      <c r="CF50" s="174"/>
      <c r="CG50" s="174"/>
      <c r="CH50" s="174"/>
      <c r="CI50" s="174"/>
      <c r="CJ50" s="174"/>
      <c r="CK50" s="174"/>
      <c r="CL50" s="174"/>
      <c r="CM50" s="174"/>
      <c r="CN50" s="174"/>
      <c r="CO50" s="174"/>
      <c r="CP50" s="174"/>
      <c r="CQ50" s="174"/>
      <c r="CR50" s="174"/>
      <c r="CS50" s="174"/>
      <c r="CT50" s="174"/>
      <c r="CU50" s="174"/>
      <c r="CV50" s="174"/>
      <c r="CW50" s="174"/>
      <c r="CX50" s="174"/>
      <c r="CY50" s="174"/>
      <c r="CZ50" s="174"/>
      <c r="DA50" s="174"/>
      <c r="DB50" s="174"/>
      <c r="DC50" s="174"/>
      <c r="DD50" s="174"/>
      <c r="DE50" s="174"/>
      <c r="DF50" s="174"/>
      <c r="DG50" s="174"/>
      <c r="DH50" s="174"/>
      <c r="DI50" s="174"/>
      <c r="DJ50" s="174"/>
      <c r="DK50" s="174"/>
      <c r="DL50" s="174"/>
      <c r="DM50" s="174"/>
      <c r="DN50" s="174"/>
      <c r="DO50" s="174"/>
      <c r="DP50" s="174"/>
      <c r="DQ50" s="174"/>
      <c r="DR50" s="174"/>
      <c r="DS50" s="174"/>
      <c r="DT50" s="174"/>
      <c r="DU50" s="174"/>
      <c r="DV50" s="174"/>
      <c r="DW50" s="174"/>
      <c r="DX50" s="174"/>
      <c r="DY50" s="174"/>
      <c r="DZ50" s="174"/>
      <c r="EA50" s="174"/>
      <c r="EB50" s="174"/>
      <c r="EC50" s="174"/>
      <c r="ED50" s="174"/>
      <c r="EE50" s="174"/>
      <c r="EF50" s="174"/>
      <c r="EG50" s="174"/>
      <c r="EH50" s="174"/>
      <c r="EI50" s="174"/>
      <c r="EJ50" s="174"/>
      <c r="EK50" s="174"/>
      <c r="EL50" s="174"/>
      <c r="EM50" s="174"/>
      <c r="EN50" s="174"/>
      <c r="EO50" s="174"/>
      <c r="EP50" s="174"/>
      <c r="EQ50" s="174"/>
      <c r="ER50" s="174"/>
      <c r="ES50" s="174"/>
      <c r="ET50" s="174"/>
      <c r="EU50" s="174"/>
      <c r="EV50" s="174"/>
      <c r="EW50" s="174"/>
      <c r="EX50" s="174"/>
      <c r="EY50" s="174"/>
      <c r="EZ50" s="174"/>
      <c r="FA50" s="174"/>
      <c r="FB50" s="174"/>
      <c r="FC50" s="174"/>
      <c r="FD50" s="174"/>
      <c r="FE50" s="174"/>
      <c r="FF50" s="174"/>
      <c r="FG50" s="174"/>
      <c r="FH50" s="174"/>
      <c r="FI50" s="174"/>
      <c r="FJ50" s="174"/>
      <c r="FK50" s="174"/>
      <c r="FL50" s="174"/>
      <c r="FM50" s="174"/>
      <c r="FN50" s="174"/>
      <c r="FO50" s="174"/>
      <c r="FP50" s="174"/>
      <c r="FQ50" s="174"/>
      <c r="FR50" s="174"/>
      <c r="FS50" s="174"/>
      <c r="FT50" s="174"/>
      <c r="FU50" s="174"/>
      <c r="FV50" s="174"/>
      <c r="FW50" s="174"/>
      <c r="FX50" s="174"/>
      <c r="FY50" s="174"/>
      <c r="FZ50" s="174"/>
      <c r="GA50" s="174"/>
      <c r="GB50" s="174"/>
      <c r="GC50" s="174"/>
      <c r="GD50" s="174"/>
      <c r="GE50" s="174"/>
      <c r="GF50" s="174"/>
      <c r="GG50" s="174"/>
      <c r="GH50" s="174"/>
      <c r="GI50" s="174"/>
      <c r="GJ50" s="174"/>
      <c r="GK50" s="174"/>
      <c r="GL50" s="174"/>
      <c r="GM50" s="174"/>
      <c r="GN50" s="174"/>
      <c r="GO50" s="174"/>
      <c r="GP50" s="174"/>
      <c r="GQ50" s="174"/>
      <c r="GR50" s="174"/>
      <c r="GS50" s="174"/>
      <c r="GT50" s="174"/>
      <c r="GU50" s="174"/>
      <c r="GV50" s="174"/>
      <c r="GW50" s="174"/>
      <c r="GX50" s="174"/>
      <c r="GY50" s="174"/>
      <c r="GZ50" s="174"/>
      <c r="HA50" s="174"/>
      <c r="HB50" s="174"/>
      <c r="HC50" s="174"/>
      <c r="HD50" s="174"/>
      <c r="HE50" s="174"/>
      <c r="HF50" s="174"/>
      <c r="HG50" s="174"/>
      <c r="HH50" s="174"/>
      <c r="HI50" s="174"/>
      <c r="HJ50" s="174"/>
      <c r="HK50" s="174"/>
      <c r="HL50" s="174"/>
      <c r="HM50" s="174"/>
      <c r="HN50" s="174"/>
      <c r="HO50" s="174"/>
      <c r="HP50" s="174"/>
      <c r="HQ50" s="174"/>
      <c r="HR50" s="174"/>
      <c r="HS50" s="174"/>
      <c r="HT50" s="174"/>
      <c r="HU50" s="174"/>
      <c r="HV50" s="174"/>
      <c r="HW50" s="174"/>
      <c r="HX50" s="174"/>
      <c r="HY50" s="174"/>
      <c r="HZ50" s="174"/>
      <c r="IA50" s="174"/>
      <c r="IB50" s="174"/>
      <c r="IC50" s="174"/>
      <c r="ID50" s="174"/>
      <c r="IE50" s="174"/>
      <c r="IF50" s="174"/>
      <c r="IG50" s="174"/>
      <c r="IH50" s="174"/>
      <c r="II50" s="174"/>
      <c r="IJ50" s="174"/>
      <c r="IK50" s="174"/>
      <c r="IL50" s="174"/>
      <c r="IM50" s="174"/>
      <c r="IN50" s="174"/>
    </row>
    <row r="51" spans="1:248">
      <c r="A51" s="174"/>
      <c r="B51" s="174"/>
      <c r="C51" s="174"/>
      <c r="D51" s="175">
        <v>27</v>
      </c>
      <c r="E51" s="973" t="s">
        <v>157</v>
      </c>
      <c r="F51" s="973"/>
      <c r="G51" s="170">
        <v>55264.45</v>
      </c>
      <c r="H51" s="171">
        <f t="shared" si="7"/>
        <v>2.248178296400791E-2</v>
      </c>
      <c r="I51" s="213">
        <f t="shared" si="8"/>
        <v>61498.279939496606</v>
      </c>
      <c r="J51" s="178" t="s">
        <v>157</v>
      </c>
      <c r="K51" s="215">
        <f>LS_RPRO!B34+MANUAL!B34+OUTSALE!B34</f>
        <v>0</v>
      </c>
      <c r="L51" s="214">
        <f t="shared" si="21"/>
        <v>-61498.279939496606</v>
      </c>
      <c r="M51" s="216">
        <f>K51/G15</f>
        <v>0</v>
      </c>
      <c r="N51" s="217">
        <f t="shared" si="22"/>
        <v>104832.70713852046</v>
      </c>
      <c r="O51" s="207">
        <v>174</v>
      </c>
      <c r="P51" s="170">
        <v>0</v>
      </c>
      <c r="Q51" s="215">
        <f>LS_RPRO!C34+MANUAL!C34+OUTSALE!C34</f>
        <v>0</v>
      </c>
      <c r="R51" s="256" t="e">
        <f t="shared" si="9"/>
        <v>#DIV/0!</v>
      </c>
      <c r="S51" s="257"/>
      <c r="T51" s="251">
        <v>17699.5</v>
      </c>
      <c r="U51" s="663">
        <v>17531.5</v>
      </c>
      <c r="V51" s="258">
        <f t="shared" si="0"/>
        <v>-9.4917935534902121E-3</v>
      </c>
      <c r="W51" s="664"/>
      <c r="X51" s="253">
        <v>77195.5</v>
      </c>
      <c r="Y51" s="666">
        <v>94572.500000000029</v>
      </c>
      <c r="Z51" s="279">
        <f t="shared" si="1"/>
        <v>0.22510379491032545</v>
      </c>
      <c r="AA51" s="664">
        <v>34345.489619999986</v>
      </c>
      <c r="AB51" s="667">
        <f t="shared" si="2"/>
        <v>34345.489619999986</v>
      </c>
      <c r="AC51" s="668">
        <f t="shared" si="10"/>
        <v>3.7130259048648633E-2</v>
      </c>
      <c r="AD51" s="280"/>
      <c r="AE51" s="676">
        <v>42016</v>
      </c>
      <c r="AF51" s="677">
        <f>LS_RPRO!O34+MANUAL!M34+OUTSALE!M34</f>
        <v>0</v>
      </c>
      <c r="AG51" s="679">
        <f t="shared" si="11"/>
        <v>-1</v>
      </c>
      <c r="AH51" s="174"/>
      <c r="AI51" s="686">
        <v>211</v>
      </c>
      <c r="AJ51" s="693">
        <f>LS_RPRO!M34</f>
        <v>0</v>
      </c>
      <c r="AK51" s="694">
        <f t="shared" si="3"/>
        <v>-1</v>
      </c>
      <c r="AL51" s="689">
        <v>54</v>
      </c>
      <c r="AM51" s="690">
        <f>MANUAL!H34+LS_RPRO!H34+OUTSALE!H34</f>
        <v>0</v>
      </c>
      <c r="AN51" s="694">
        <f t="shared" si="4"/>
        <v>-1</v>
      </c>
      <c r="AO51" s="694">
        <f t="shared" si="5"/>
        <v>0.25592417061611372</v>
      </c>
      <c r="AP51" s="694" t="e">
        <f t="shared" si="5"/>
        <v>#DIV/0!</v>
      </c>
      <c r="AQ51" s="695" t="e">
        <f t="shared" si="6"/>
        <v>#DIV/0!</v>
      </c>
      <c r="AR51" s="174"/>
      <c r="AS51" s="705">
        <v>0</v>
      </c>
      <c r="AT51" s="693">
        <f>LS_RPRO!K34</f>
        <v>0</v>
      </c>
      <c r="AU51" s="694" t="e">
        <f t="shared" si="12"/>
        <v>#DIV/0!</v>
      </c>
      <c r="AV51" s="689">
        <v>0</v>
      </c>
      <c r="AW51" s="710">
        <f>LS_RPRO!L34</f>
        <v>0</v>
      </c>
      <c r="AX51" s="694" t="e">
        <f t="shared" si="13"/>
        <v>#DIV/0!</v>
      </c>
      <c r="AY51" s="709">
        <f t="shared" si="23"/>
        <v>0</v>
      </c>
      <c r="AZ51" s="710">
        <f t="shared" si="23"/>
        <v>0</v>
      </c>
      <c r="BA51" s="695" t="e">
        <f t="shared" si="14"/>
        <v>#DIV/0!</v>
      </c>
      <c r="BC51" s="720"/>
      <c r="BD51" s="721">
        <v>0</v>
      </c>
      <c r="BE51" s="695" t="e">
        <f t="shared" si="15"/>
        <v>#DIV/0!</v>
      </c>
      <c r="BF51" s="174"/>
      <c r="BG51" s="727"/>
      <c r="BH51" s="728"/>
      <c r="BI51" s="739" t="e">
        <f t="shared" si="16"/>
        <v>#DIV/0!</v>
      </c>
      <c r="BJ51" s="730"/>
      <c r="BK51" s="731"/>
      <c r="BL51" s="739" t="e">
        <f t="shared" si="17"/>
        <v>#DIV/0!</v>
      </c>
      <c r="BM51" s="740" t="e">
        <f t="shared" si="18"/>
        <v>#DIV/0!</v>
      </c>
      <c r="BN51" s="733" t="e">
        <f t="shared" si="18"/>
        <v>#DIV/0!</v>
      </c>
      <c r="BO51" s="741" t="e">
        <f t="shared" si="19"/>
        <v>#DIV/0!</v>
      </c>
      <c r="BP51" s="174"/>
      <c r="BQ51" s="720">
        <v>13</v>
      </c>
      <c r="BR51" s="721">
        <v>16</v>
      </c>
      <c r="BS51" s="695">
        <f t="shared" si="20"/>
        <v>0.23076923076923078</v>
      </c>
      <c r="BT51" s="174"/>
      <c r="BU51" s="174" t="s">
        <v>38</v>
      </c>
      <c r="BV51" s="174"/>
      <c r="BW51" s="174"/>
      <c r="BX51" s="174"/>
      <c r="BY51" s="174"/>
      <c r="BZ51" s="174"/>
      <c r="CA51" s="174"/>
      <c r="CB51" s="174"/>
      <c r="CC51" s="174"/>
      <c r="CD51" s="174"/>
      <c r="CE51" s="174"/>
      <c r="CF51" s="174"/>
      <c r="CG51" s="174"/>
      <c r="CH51" s="174"/>
      <c r="CI51" s="174"/>
      <c r="CJ51" s="174"/>
      <c r="CK51" s="174"/>
      <c r="CL51" s="174"/>
      <c r="CM51" s="174"/>
      <c r="CN51" s="174"/>
      <c r="CO51" s="174"/>
      <c r="CP51" s="174"/>
      <c r="CQ51" s="174"/>
      <c r="CR51" s="174"/>
      <c r="CS51" s="174"/>
      <c r="CT51" s="174"/>
      <c r="CU51" s="174"/>
      <c r="CV51" s="174"/>
      <c r="CW51" s="174"/>
      <c r="CX51" s="174"/>
      <c r="CY51" s="174"/>
      <c r="CZ51" s="174"/>
      <c r="DA51" s="174"/>
      <c r="DB51" s="174"/>
      <c r="DC51" s="174"/>
      <c r="DD51" s="174"/>
      <c r="DE51" s="174"/>
      <c r="DF51" s="174"/>
      <c r="DG51" s="174"/>
      <c r="DH51" s="174"/>
      <c r="DI51" s="174"/>
      <c r="DJ51" s="174"/>
      <c r="DK51" s="174"/>
      <c r="DL51" s="174"/>
      <c r="DM51" s="174"/>
      <c r="DN51" s="174"/>
      <c r="DO51" s="174"/>
      <c r="DP51" s="174"/>
      <c r="DQ51" s="174"/>
      <c r="DR51" s="174"/>
      <c r="DS51" s="174"/>
      <c r="DT51" s="174"/>
      <c r="DU51" s="174"/>
      <c r="DV51" s="174"/>
      <c r="DW51" s="174"/>
      <c r="DX51" s="174"/>
      <c r="DY51" s="174"/>
      <c r="DZ51" s="174"/>
      <c r="EA51" s="174"/>
      <c r="EB51" s="174"/>
      <c r="EC51" s="174"/>
      <c r="ED51" s="174"/>
      <c r="EE51" s="174"/>
      <c r="EF51" s="174"/>
      <c r="EG51" s="174"/>
      <c r="EH51" s="174"/>
      <c r="EI51" s="174"/>
      <c r="EJ51" s="174"/>
      <c r="EK51" s="174"/>
      <c r="EL51" s="174"/>
      <c r="EM51" s="174"/>
      <c r="EN51" s="174"/>
      <c r="EO51" s="174"/>
      <c r="EP51" s="174"/>
      <c r="EQ51" s="174"/>
      <c r="ER51" s="174"/>
      <c r="ES51" s="174"/>
      <c r="ET51" s="174"/>
      <c r="EU51" s="174"/>
      <c r="EV51" s="174"/>
      <c r="EW51" s="174"/>
      <c r="EX51" s="174"/>
      <c r="EY51" s="174"/>
      <c r="EZ51" s="174"/>
      <c r="FA51" s="174"/>
      <c r="FB51" s="174"/>
      <c r="FC51" s="174"/>
      <c r="FD51" s="174"/>
      <c r="FE51" s="174"/>
      <c r="FF51" s="174"/>
      <c r="FG51" s="174"/>
      <c r="FH51" s="174"/>
      <c r="FI51" s="174"/>
      <c r="FJ51" s="174"/>
      <c r="FK51" s="174"/>
      <c r="FL51" s="174"/>
      <c r="FM51" s="174"/>
      <c r="FN51" s="174"/>
      <c r="FO51" s="174"/>
      <c r="FP51" s="174"/>
      <c r="FQ51" s="174"/>
      <c r="FR51" s="174"/>
      <c r="FS51" s="174"/>
      <c r="FT51" s="174"/>
      <c r="FU51" s="174"/>
      <c r="FV51" s="174"/>
      <c r="FW51" s="174"/>
      <c r="FX51" s="174"/>
      <c r="FY51" s="174"/>
      <c r="FZ51" s="174"/>
      <c r="GA51" s="174"/>
      <c r="GB51" s="174"/>
      <c r="GC51" s="174"/>
      <c r="GD51" s="174"/>
      <c r="GE51" s="174"/>
      <c r="GF51" s="174"/>
      <c r="GG51" s="174"/>
      <c r="GH51" s="174"/>
      <c r="GI51" s="174"/>
      <c r="GJ51" s="174"/>
      <c r="GK51" s="174"/>
      <c r="GL51" s="174"/>
      <c r="GM51" s="174"/>
      <c r="GN51" s="174"/>
      <c r="GO51" s="174"/>
      <c r="GP51" s="174"/>
      <c r="GQ51" s="174"/>
      <c r="GR51" s="174"/>
      <c r="GS51" s="174"/>
      <c r="GT51" s="174"/>
      <c r="GU51" s="174"/>
      <c r="GV51" s="174"/>
      <c r="GW51" s="174"/>
      <c r="GX51" s="174"/>
      <c r="GY51" s="174"/>
      <c r="GZ51" s="174"/>
      <c r="HA51" s="174"/>
      <c r="HB51" s="174"/>
      <c r="HC51" s="174"/>
      <c r="HD51" s="174"/>
      <c r="HE51" s="174"/>
      <c r="HF51" s="174"/>
      <c r="HG51" s="174"/>
      <c r="HH51" s="174"/>
      <c r="HI51" s="174"/>
      <c r="HJ51" s="174"/>
      <c r="HK51" s="174"/>
      <c r="HL51" s="174"/>
      <c r="HM51" s="174"/>
      <c r="HN51" s="174"/>
      <c r="HO51" s="174"/>
      <c r="HP51" s="174"/>
      <c r="HQ51" s="174"/>
      <c r="HR51" s="174"/>
      <c r="HS51" s="174"/>
      <c r="HT51" s="174"/>
      <c r="HU51" s="174"/>
      <c r="HV51" s="174"/>
      <c r="HW51" s="174"/>
      <c r="HX51" s="174"/>
      <c r="HY51" s="174"/>
      <c r="HZ51" s="174"/>
      <c r="IA51" s="174"/>
      <c r="IB51" s="174"/>
      <c r="IC51" s="174"/>
      <c r="ID51" s="174"/>
      <c r="IE51" s="174"/>
      <c r="IF51" s="174"/>
      <c r="IG51" s="174"/>
      <c r="IH51" s="174"/>
      <c r="II51" s="174"/>
      <c r="IJ51" s="174"/>
      <c r="IK51" s="174"/>
      <c r="IL51" s="174"/>
      <c r="IM51" s="174"/>
      <c r="IN51" s="174"/>
    </row>
    <row r="52" spans="1:248" s="152" customFormat="1">
      <c r="A52" s="174"/>
      <c r="B52" s="174"/>
      <c r="C52" s="174"/>
      <c r="D52" s="175">
        <v>28</v>
      </c>
      <c r="E52" s="973" t="s">
        <v>158</v>
      </c>
      <c r="F52" s="973"/>
      <c r="G52" s="170">
        <v>69767</v>
      </c>
      <c r="H52" s="171">
        <f t="shared" si="7"/>
        <v>2.8381474022630099E-2</v>
      </c>
      <c r="I52" s="213">
        <f t="shared" si="8"/>
        <v>77636.71757411609</v>
      </c>
      <c r="J52" s="178" t="s">
        <v>158</v>
      </c>
      <c r="K52" s="215">
        <f>LS_RPRO!B35+MANUAL!B35+OUTSALE!B35</f>
        <v>0</v>
      </c>
      <c r="L52" s="214">
        <f t="shared" si="21"/>
        <v>-77636.71757411609</v>
      </c>
      <c r="M52" s="216">
        <f>K52/G15</f>
        <v>0</v>
      </c>
      <c r="N52" s="217">
        <f t="shared" si="22"/>
        <v>27195.989564404372</v>
      </c>
      <c r="O52" s="207"/>
      <c r="P52" s="170">
        <v>0</v>
      </c>
      <c r="Q52" s="215">
        <f>LS_RPRO!C35+MANUAL!C35+OUTSALE!C35</f>
        <v>0</v>
      </c>
      <c r="R52" s="256" t="e">
        <f t="shared" si="9"/>
        <v>#DIV/0!</v>
      </c>
      <c r="S52" s="257"/>
      <c r="T52" s="251">
        <v>13448.5</v>
      </c>
      <c r="U52" s="663">
        <v>5890.5</v>
      </c>
      <c r="V52" s="258">
        <f t="shared" si="0"/>
        <v>-0.56199576160910136</v>
      </c>
      <c r="W52" s="664"/>
      <c r="X52" s="253">
        <v>120721.25</v>
      </c>
      <c r="Y52" s="666">
        <v>20656.000000000004</v>
      </c>
      <c r="Z52" s="279">
        <f t="shared" si="1"/>
        <v>-0.8288950785383683</v>
      </c>
      <c r="AA52" s="664">
        <v>6297.0551200000027</v>
      </c>
      <c r="AB52" s="667">
        <f t="shared" si="2"/>
        <v>6297.0551200000027</v>
      </c>
      <c r="AC52" s="668">
        <f t="shared" si="10"/>
        <v>6.8076271567567596E-3</v>
      </c>
      <c r="AD52" s="280"/>
      <c r="AE52" s="676">
        <v>91103.75</v>
      </c>
      <c r="AF52" s="677">
        <f>LS_RPRO!O35+MANUAL!M35+OUTSALE!M35</f>
        <v>0</v>
      </c>
      <c r="AG52" s="679">
        <f t="shared" si="11"/>
        <v>-1</v>
      </c>
      <c r="AH52" s="174"/>
      <c r="AI52" s="686">
        <v>355</v>
      </c>
      <c r="AJ52" s="693">
        <f>LS_RPRO!M35</f>
        <v>0</v>
      </c>
      <c r="AK52" s="694">
        <f t="shared" si="3"/>
        <v>-1</v>
      </c>
      <c r="AL52" s="689">
        <v>68</v>
      </c>
      <c r="AM52" s="690">
        <f>MANUAL!H35+LS_RPRO!H35+OUTSALE!H35</f>
        <v>0</v>
      </c>
      <c r="AN52" s="694">
        <f t="shared" si="4"/>
        <v>-1</v>
      </c>
      <c r="AO52" s="694">
        <f t="shared" si="5"/>
        <v>0.19154929577464788</v>
      </c>
      <c r="AP52" s="694" t="e">
        <f t="shared" si="5"/>
        <v>#DIV/0!</v>
      </c>
      <c r="AQ52" s="695" t="e">
        <f t="shared" si="6"/>
        <v>#DIV/0!</v>
      </c>
      <c r="AR52" s="174"/>
      <c r="AS52" s="705">
        <v>0</v>
      </c>
      <c r="AT52" s="693">
        <f>LS_RPRO!K35</f>
        <v>0</v>
      </c>
      <c r="AU52" s="694" t="e">
        <f t="shared" si="12"/>
        <v>#DIV/0!</v>
      </c>
      <c r="AV52" s="689">
        <v>1</v>
      </c>
      <c r="AW52" s="710">
        <f>LS_RPRO!L35</f>
        <v>0</v>
      </c>
      <c r="AX52" s="694">
        <f t="shared" si="13"/>
        <v>-1</v>
      </c>
      <c r="AY52" s="709">
        <f t="shared" si="23"/>
        <v>1</v>
      </c>
      <c r="AZ52" s="710">
        <f t="shared" si="23"/>
        <v>0</v>
      </c>
      <c r="BA52" s="695">
        <f t="shared" si="14"/>
        <v>-1</v>
      </c>
      <c r="BB52" s="154"/>
      <c r="BC52" s="720"/>
      <c r="BD52" s="721">
        <v>0</v>
      </c>
      <c r="BE52" s="695" t="e">
        <f t="shared" si="15"/>
        <v>#DIV/0!</v>
      </c>
      <c r="BF52" s="174"/>
      <c r="BG52" s="727"/>
      <c r="BH52" s="728"/>
      <c r="BI52" s="735" t="e">
        <f t="shared" si="16"/>
        <v>#DIV/0!</v>
      </c>
      <c r="BJ52" s="730"/>
      <c r="BK52" s="731"/>
      <c r="BL52" s="735" t="e">
        <f t="shared" si="17"/>
        <v>#DIV/0!</v>
      </c>
      <c r="BM52" s="729" t="e">
        <f t="shared" si="18"/>
        <v>#DIV/0!</v>
      </c>
      <c r="BN52" s="733" t="e">
        <f t="shared" si="18"/>
        <v>#DIV/0!</v>
      </c>
      <c r="BO52" s="738" t="e">
        <f t="shared" si="19"/>
        <v>#DIV/0!</v>
      </c>
      <c r="BP52" s="174"/>
      <c r="BQ52" s="720">
        <v>14</v>
      </c>
      <c r="BR52" s="721"/>
      <c r="BS52" s="695">
        <f t="shared" si="20"/>
        <v>-1</v>
      </c>
      <c r="BT52" s="174"/>
      <c r="BU52" s="174"/>
      <c r="BV52" s="174"/>
      <c r="BW52" s="174"/>
      <c r="BX52" s="174"/>
      <c r="BY52" s="174"/>
      <c r="BZ52" s="174"/>
      <c r="CA52" s="174"/>
      <c r="CB52" s="174"/>
      <c r="CC52" s="174"/>
      <c r="CD52" s="174"/>
      <c r="CE52" s="174"/>
      <c r="CF52" s="174"/>
      <c r="CG52" s="174"/>
      <c r="CH52" s="174"/>
      <c r="CI52" s="174"/>
      <c r="CJ52" s="174"/>
      <c r="CK52" s="174"/>
      <c r="CL52" s="174"/>
      <c r="CM52" s="174"/>
      <c r="CN52" s="174"/>
      <c r="CO52" s="174"/>
      <c r="CP52" s="174"/>
      <c r="CQ52" s="174"/>
      <c r="CR52" s="174"/>
      <c r="CS52" s="174"/>
      <c r="CT52" s="174"/>
      <c r="CU52" s="174"/>
      <c r="CV52" s="174"/>
      <c r="CW52" s="174"/>
      <c r="CX52" s="174"/>
      <c r="CY52" s="174"/>
      <c r="CZ52" s="174"/>
      <c r="DA52" s="174"/>
      <c r="DB52" s="174"/>
      <c r="DC52" s="174"/>
      <c r="DD52" s="174"/>
      <c r="DE52" s="174"/>
      <c r="DF52" s="174"/>
      <c r="DG52" s="174"/>
      <c r="DH52" s="174"/>
      <c r="DI52" s="174"/>
      <c r="DJ52" s="174"/>
      <c r="DK52" s="174"/>
      <c r="DL52" s="174"/>
      <c r="DM52" s="174"/>
      <c r="DN52" s="174"/>
      <c r="DO52" s="174"/>
      <c r="DP52" s="174"/>
      <c r="DQ52" s="174"/>
      <c r="DR52" s="174"/>
      <c r="DS52" s="174"/>
      <c r="DT52" s="174"/>
      <c r="DU52" s="174"/>
      <c r="DV52" s="174"/>
      <c r="DW52" s="174"/>
      <c r="DX52" s="174"/>
      <c r="DY52" s="174"/>
      <c r="DZ52" s="174"/>
      <c r="EA52" s="174"/>
      <c r="EB52" s="174"/>
      <c r="EC52" s="174"/>
      <c r="ED52" s="174"/>
      <c r="EE52" s="174"/>
      <c r="EF52" s="174"/>
      <c r="EG52" s="174"/>
      <c r="EH52" s="174"/>
      <c r="EI52" s="174"/>
      <c r="EJ52" s="174"/>
      <c r="EK52" s="174"/>
      <c r="EL52" s="174"/>
      <c r="EM52" s="174"/>
      <c r="EN52" s="174"/>
      <c r="EO52" s="174"/>
      <c r="EP52" s="174"/>
      <c r="EQ52" s="174"/>
      <c r="ER52" s="174"/>
      <c r="ES52" s="174"/>
      <c r="ET52" s="174"/>
      <c r="EU52" s="174"/>
      <c r="EV52" s="174"/>
      <c r="EW52" s="174"/>
      <c r="EX52" s="174"/>
      <c r="EY52" s="174"/>
      <c r="EZ52" s="174"/>
      <c r="FA52" s="174"/>
      <c r="FB52" s="174"/>
      <c r="FC52" s="174"/>
      <c r="FD52" s="174"/>
      <c r="FE52" s="174"/>
      <c r="FF52" s="174"/>
      <c r="FG52" s="174"/>
      <c r="FH52" s="174"/>
      <c r="FI52" s="174"/>
      <c r="FJ52" s="174"/>
      <c r="FK52" s="174"/>
      <c r="FL52" s="174"/>
      <c r="FM52" s="174"/>
      <c r="FN52" s="174"/>
      <c r="FO52" s="174"/>
      <c r="FP52" s="174"/>
      <c r="FQ52" s="174"/>
      <c r="FR52" s="174"/>
      <c r="FS52" s="174"/>
      <c r="FT52" s="174"/>
      <c r="FU52" s="174"/>
      <c r="FV52" s="174"/>
      <c r="FW52" s="174"/>
      <c r="FX52" s="174"/>
      <c r="FY52" s="174"/>
      <c r="FZ52" s="174"/>
      <c r="GA52" s="174"/>
      <c r="GB52" s="174"/>
      <c r="GC52" s="174"/>
      <c r="GD52" s="174"/>
      <c r="GE52" s="174"/>
      <c r="GF52" s="174"/>
      <c r="GG52" s="174"/>
      <c r="GH52" s="174"/>
      <c r="GI52" s="174"/>
      <c r="GJ52" s="174"/>
      <c r="GK52" s="174"/>
      <c r="GL52" s="174"/>
      <c r="GM52" s="174"/>
      <c r="GN52" s="174"/>
      <c r="GO52" s="174"/>
      <c r="GP52" s="174"/>
      <c r="GQ52" s="174"/>
      <c r="GR52" s="174"/>
      <c r="GS52" s="174"/>
      <c r="GT52" s="174"/>
      <c r="GU52" s="174"/>
      <c r="GV52" s="174"/>
      <c r="GW52" s="174"/>
      <c r="GX52" s="174"/>
      <c r="GY52" s="174"/>
      <c r="GZ52" s="174"/>
      <c r="HA52" s="174"/>
      <c r="HB52" s="174"/>
      <c r="HC52" s="174"/>
      <c r="HD52" s="174"/>
      <c r="HE52" s="174"/>
      <c r="HF52" s="174"/>
      <c r="HG52" s="174"/>
      <c r="HH52" s="174"/>
      <c r="HI52" s="174"/>
      <c r="HJ52" s="174"/>
      <c r="HK52" s="174"/>
      <c r="HL52" s="174"/>
      <c r="HM52" s="174"/>
      <c r="HN52" s="174"/>
      <c r="HO52" s="174"/>
      <c r="HP52" s="174"/>
      <c r="HQ52" s="174"/>
      <c r="HR52" s="174"/>
      <c r="HS52" s="174"/>
      <c r="HT52" s="174"/>
      <c r="HU52" s="174"/>
      <c r="HV52" s="174"/>
      <c r="HW52" s="174"/>
      <c r="HX52" s="174"/>
      <c r="HY52" s="174"/>
      <c r="HZ52" s="174"/>
      <c r="IA52" s="174"/>
      <c r="IB52" s="174"/>
      <c r="IC52" s="174"/>
      <c r="ID52" s="174"/>
      <c r="IE52" s="174"/>
      <c r="IF52" s="174"/>
      <c r="IG52" s="174"/>
      <c r="IH52" s="174"/>
      <c r="II52" s="174"/>
      <c r="IJ52" s="174"/>
      <c r="IK52" s="174"/>
      <c r="IL52" s="174"/>
      <c r="IM52" s="174"/>
      <c r="IN52" s="174"/>
    </row>
    <row r="53" spans="1:248" s="152" customFormat="1">
      <c r="A53" s="174"/>
      <c r="B53" s="174"/>
      <c r="C53" s="174"/>
      <c r="D53" s="175">
        <v>29</v>
      </c>
      <c r="E53" s="973" t="s">
        <v>159</v>
      </c>
      <c r="F53" s="973"/>
      <c r="G53" s="170">
        <v>54155.5</v>
      </c>
      <c r="H53" s="171">
        <f t="shared" si="7"/>
        <v>2.2030657996367112E-2</v>
      </c>
      <c r="I53" s="213">
        <f t="shared" si="8"/>
        <v>60264.240379908035</v>
      </c>
      <c r="J53" s="178" t="s">
        <v>159</v>
      </c>
      <c r="K53" s="215">
        <f>LS_RPRO!B36+MANUAL!B36+OUTSALE!B36</f>
        <v>0</v>
      </c>
      <c r="L53" s="214">
        <f t="shared" si="21"/>
        <v>-60264.240379908035</v>
      </c>
      <c r="M53" s="216">
        <f>K53/G15</f>
        <v>0</v>
      </c>
      <c r="N53" s="217">
        <f t="shared" si="22"/>
        <v>-33068.250815503663</v>
      </c>
      <c r="O53" s="207"/>
      <c r="P53" s="170">
        <v>142.59</v>
      </c>
      <c r="Q53" s="215">
        <f>LS_RPRO!C36+MANUAL!C36+OUTSALE!C36</f>
        <v>0</v>
      </c>
      <c r="R53" s="256">
        <f t="shared" si="9"/>
        <v>-1</v>
      </c>
      <c r="S53" s="257"/>
      <c r="T53" s="251">
        <v>19523.439999999999</v>
      </c>
      <c r="U53" s="663">
        <v>11083.699999999999</v>
      </c>
      <c r="V53" s="258">
        <f t="shared" si="0"/>
        <v>-0.43228754768626843</v>
      </c>
      <c r="W53" s="664">
        <v>28497.25</v>
      </c>
      <c r="X53" s="253">
        <v>35741.01</v>
      </c>
      <c r="Y53" s="666">
        <v>37973.499999999993</v>
      </c>
      <c r="Z53" s="279">
        <f t="shared" si="1"/>
        <v>6.24629802011748E-2</v>
      </c>
      <c r="AA53" s="664">
        <v>13760.407370000012</v>
      </c>
      <c r="AB53" s="667">
        <f t="shared" si="2"/>
        <v>42257.657370000015</v>
      </c>
      <c r="AC53" s="668">
        <f t="shared" si="10"/>
        <v>4.5683953913513528E-2</v>
      </c>
      <c r="AD53" s="280"/>
      <c r="AE53" s="676">
        <v>33423.360000000001</v>
      </c>
      <c r="AF53" s="677">
        <f>LS_RPRO!O36+MANUAL!M36+OUTSALE!M36</f>
        <v>0</v>
      </c>
      <c r="AG53" s="679">
        <f t="shared" si="11"/>
        <v>-1</v>
      </c>
      <c r="AH53" s="174"/>
      <c r="AI53" s="686">
        <v>210</v>
      </c>
      <c r="AJ53" s="693">
        <f>LS_RPRO!M36</f>
        <v>0</v>
      </c>
      <c r="AK53" s="694">
        <f t="shared" si="3"/>
        <v>-1</v>
      </c>
      <c r="AL53" s="689">
        <v>38</v>
      </c>
      <c r="AM53" s="690">
        <f>MANUAL!H36+LS_RPRO!H36+OUTSALE!H36</f>
        <v>0</v>
      </c>
      <c r="AN53" s="694">
        <f t="shared" si="4"/>
        <v>-1</v>
      </c>
      <c r="AO53" s="694">
        <f t="shared" si="5"/>
        <v>0.18095238095238095</v>
      </c>
      <c r="AP53" s="694" t="e">
        <f t="shared" si="5"/>
        <v>#DIV/0!</v>
      </c>
      <c r="AQ53" s="695" t="e">
        <f t="shared" si="6"/>
        <v>#DIV/0!</v>
      </c>
      <c r="AR53" s="174"/>
      <c r="AS53" s="705">
        <v>1</v>
      </c>
      <c r="AT53" s="693">
        <f>LS_RPRO!K36</f>
        <v>0</v>
      </c>
      <c r="AU53" s="694">
        <f t="shared" si="12"/>
        <v>-1</v>
      </c>
      <c r="AV53" s="689">
        <v>2</v>
      </c>
      <c r="AW53" s="710">
        <f>LS_RPRO!L36</f>
        <v>0</v>
      </c>
      <c r="AX53" s="694">
        <f t="shared" si="13"/>
        <v>-1</v>
      </c>
      <c r="AY53" s="709">
        <f t="shared" si="23"/>
        <v>3</v>
      </c>
      <c r="AZ53" s="710">
        <f t="shared" si="23"/>
        <v>0</v>
      </c>
      <c r="BA53" s="695">
        <f t="shared" si="14"/>
        <v>-1</v>
      </c>
      <c r="BB53" s="154"/>
      <c r="BC53" s="720"/>
      <c r="BD53" s="721">
        <v>0</v>
      </c>
      <c r="BE53" s="695" t="e">
        <f t="shared" si="15"/>
        <v>#DIV/0!</v>
      </c>
      <c r="BF53" s="174"/>
      <c r="BG53" s="727"/>
      <c r="BH53" s="728"/>
      <c r="BI53" s="735" t="e">
        <f t="shared" si="16"/>
        <v>#DIV/0!</v>
      </c>
      <c r="BJ53" s="730"/>
      <c r="BK53" s="731"/>
      <c r="BL53" s="735" t="e">
        <f t="shared" si="17"/>
        <v>#DIV/0!</v>
      </c>
      <c r="BM53" s="742" t="e">
        <f t="shared" si="18"/>
        <v>#DIV/0!</v>
      </c>
      <c r="BN53" s="743" t="e">
        <f t="shared" si="18"/>
        <v>#DIV/0!</v>
      </c>
      <c r="BO53" s="738" t="e">
        <f t="shared" si="19"/>
        <v>#DIV/0!</v>
      </c>
      <c r="BP53" s="174"/>
      <c r="BQ53" s="720">
        <v>2</v>
      </c>
      <c r="BR53" s="721"/>
      <c r="BS53" s="695">
        <f t="shared" si="20"/>
        <v>-1</v>
      </c>
      <c r="BT53" s="174"/>
      <c r="BU53" s="174"/>
      <c r="BV53" s="174"/>
      <c r="BW53" s="174"/>
      <c r="BX53" s="174"/>
      <c r="BY53" s="174"/>
      <c r="BZ53" s="174"/>
      <c r="CA53" s="174"/>
      <c r="CB53" s="174"/>
      <c r="CC53" s="174"/>
      <c r="CD53" s="174"/>
      <c r="CE53" s="174"/>
      <c r="CF53" s="174"/>
      <c r="CG53" s="174"/>
      <c r="CH53" s="174"/>
      <c r="CI53" s="174"/>
      <c r="CJ53" s="174"/>
      <c r="CK53" s="174"/>
      <c r="CL53" s="174"/>
      <c r="CM53" s="174"/>
      <c r="CN53" s="174"/>
      <c r="CO53" s="174"/>
      <c r="CP53" s="174"/>
      <c r="CQ53" s="174"/>
      <c r="CR53" s="174"/>
      <c r="CS53" s="174"/>
      <c r="CT53" s="174"/>
      <c r="CU53" s="174"/>
      <c r="CV53" s="174"/>
      <c r="CW53" s="174"/>
      <c r="CX53" s="174"/>
      <c r="CY53" s="174"/>
      <c r="CZ53" s="174"/>
      <c r="DA53" s="174"/>
      <c r="DB53" s="174"/>
      <c r="DC53" s="174"/>
      <c r="DD53" s="174"/>
      <c r="DE53" s="174"/>
      <c r="DF53" s="174"/>
      <c r="DG53" s="174"/>
      <c r="DH53" s="174"/>
      <c r="DI53" s="174"/>
      <c r="DJ53" s="174"/>
      <c r="DK53" s="174"/>
      <c r="DL53" s="174"/>
      <c r="DM53" s="174"/>
      <c r="DN53" s="174"/>
      <c r="DO53" s="174"/>
      <c r="DP53" s="174"/>
      <c r="DQ53" s="174"/>
      <c r="DR53" s="174"/>
      <c r="DS53" s="174"/>
      <c r="DT53" s="174"/>
      <c r="DU53" s="174"/>
      <c r="DV53" s="174"/>
      <c r="DW53" s="174"/>
      <c r="DX53" s="174"/>
      <c r="DY53" s="174"/>
      <c r="DZ53" s="174"/>
      <c r="EA53" s="174"/>
      <c r="EB53" s="174"/>
      <c r="EC53" s="174"/>
      <c r="ED53" s="174"/>
      <c r="EE53" s="174"/>
      <c r="EF53" s="174"/>
      <c r="EG53" s="174"/>
      <c r="EH53" s="174"/>
      <c r="EI53" s="174"/>
      <c r="EJ53" s="174"/>
      <c r="EK53" s="174"/>
      <c r="EL53" s="174"/>
      <c r="EM53" s="174"/>
      <c r="EN53" s="174"/>
      <c r="EO53" s="174"/>
      <c r="EP53" s="174"/>
      <c r="EQ53" s="174"/>
      <c r="ER53" s="174"/>
      <c r="ES53" s="174"/>
      <c r="ET53" s="174"/>
      <c r="EU53" s="174"/>
      <c r="EV53" s="174"/>
      <c r="EW53" s="174"/>
      <c r="EX53" s="174"/>
      <c r="EY53" s="174"/>
      <c r="EZ53" s="174"/>
      <c r="FA53" s="174"/>
      <c r="FB53" s="174"/>
      <c r="FC53" s="174"/>
      <c r="FD53" s="174"/>
      <c r="FE53" s="174"/>
      <c r="FF53" s="174"/>
      <c r="FG53" s="174"/>
      <c r="FH53" s="174"/>
      <c r="FI53" s="174"/>
      <c r="FJ53" s="174"/>
      <c r="FK53" s="174"/>
      <c r="FL53" s="174"/>
      <c r="FM53" s="174"/>
      <c r="FN53" s="174"/>
      <c r="FO53" s="174"/>
      <c r="FP53" s="174"/>
      <c r="FQ53" s="174"/>
      <c r="FR53" s="174"/>
      <c r="FS53" s="174"/>
      <c r="FT53" s="174"/>
      <c r="FU53" s="174"/>
      <c r="FV53" s="174"/>
      <c r="FW53" s="174"/>
      <c r="FX53" s="174"/>
      <c r="FY53" s="174"/>
      <c r="FZ53" s="174"/>
      <c r="GA53" s="174"/>
      <c r="GB53" s="174"/>
      <c r="GC53" s="174"/>
      <c r="GD53" s="174"/>
      <c r="GE53" s="174"/>
      <c r="GF53" s="174"/>
      <c r="GG53" s="174"/>
      <c r="GH53" s="174"/>
      <c r="GI53" s="174"/>
      <c r="GJ53" s="174"/>
      <c r="GK53" s="174"/>
      <c r="GL53" s="174"/>
      <c r="GM53" s="174"/>
      <c r="GN53" s="174"/>
      <c r="GO53" s="174"/>
      <c r="GP53" s="174"/>
      <c r="GQ53" s="174"/>
      <c r="GR53" s="174"/>
      <c r="GS53" s="174"/>
      <c r="GT53" s="174"/>
      <c r="GU53" s="174"/>
      <c r="GV53" s="174"/>
      <c r="GW53" s="174"/>
      <c r="GX53" s="174"/>
      <c r="GY53" s="174"/>
      <c r="GZ53" s="174"/>
      <c r="HA53" s="174"/>
      <c r="HB53" s="174"/>
      <c r="HC53" s="174"/>
      <c r="HD53" s="174"/>
      <c r="HE53" s="174"/>
      <c r="HF53" s="174"/>
      <c r="HG53" s="174"/>
      <c r="HH53" s="174"/>
      <c r="HI53" s="174"/>
      <c r="HJ53" s="174"/>
      <c r="HK53" s="174"/>
      <c r="HL53" s="174"/>
      <c r="HM53" s="174"/>
      <c r="HN53" s="174"/>
      <c r="HO53" s="174"/>
      <c r="HP53" s="174"/>
      <c r="HQ53" s="174"/>
      <c r="HR53" s="174"/>
      <c r="HS53" s="174"/>
      <c r="HT53" s="174"/>
      <c r="HU53" s="174"/>
      <c r="HV53" s="174"/>
      <c r="HW53" s="174"/>
      <c r="HX53" s="174"/>
      <c r="HY53" s="174"/>
      <c r="HZ53" s="174"/>
      <c r="IA53" s="174"/>
      <c r="IB53" s="174"/>
      <c r="IC53" s="174"/>
      <c r="ID53" s="174"/>
      <c r="IE53" s="174"/>
      <c r="IF53" s="174"/>
      <c r="IG53" s="174"/>
      <c r="IH53" s="174"/>
      <c r="II53" s="174"/>
      <c r="IJ53" s="174"/>
      <c r="IK53" s="174"/>
      <c r="IL53" s="174"/>
      <c r="IM53" s="174"/>
      <c r="IN53" s="174"/>
    </row>
    <row r="54" spans="1:248">
      <c r="A54" s="174"/>
      <c r="B54" s="174"/>
      <c r="C54" s="174"/>
      <c r="D54" s="175">
        <v>30</v>
      </c>
      <c r="E54" s="973" t="s">
        <v>160</v>
      </c>
      <c r="F54" s="973"/>
      <c r="G54" s="170">
        <v>41789</v>
      </c>
      <c r="H54" s="171">
        <f t="shared" si="7"/>
        <v>1.6999919989847481E-2</v>
      </c>
      <c r="I54" s="213">
        <f t="shared" si="8"/>
        <v>46502.799184496071</v>
      </c>
      <c r="J54" s="178" t="s">
        <v>160</v>
      </c>
      <c r="K54" s="215">
        <f>LS_RPRO!B37+MANUAL!B37+OUTSALE!B37</f>
        <v>0</v>
      </c>
      <c r="L54" s="214">
        <f t="shared" si="21"/>
        <v>-46502.799184496071</v>
      </c>
      <c r="M54" s="216">
        <f>K54/G15</f>
        <v>0</v>
      </c>
      <c r="N54" s="217">
        <f t="shared" si="22"/>
        <v>-79571.049999999726</v>
      </c>
      <c r="O54" s="207"/>
      <c r="P54" s="170">
        <v>0</v>
      </c>
      <c r="Q54" s="215">
        <f>LS_RPRO!C37+MANUAL!C37+OUTSALE!C37</f>
        <v>0</v>
      </c>
      <c r="R54" s="256" t="e">
        <f t="shared" si="9"/>
        <v>#DIV/0!</v>
      </c>
      <c r="S54" s="257"/>
      <c r="T54" s="251">
        <v>17345.25</v>
      </c>
      <c r="U54" s="663"/>
      <c r="V54" s="258">
        <f t="shared" si="0"/>
        <v>-1</v>
      </c>
      <c r="W54" s="664"/>
      <c r="X54" s="253">
        <v>52421.75</v>
      </c>
      <c r="Y54" s="666"/>
      <c r="Z54" s="279">
        <f t="shared" si="1"/>
        <v>-1</v>
      </c>
      <c r="AA54" s="664"/>
      <c r="AB54" s="667">
        <f t="shared" si="2"/>
        <v>0</v>
      </c>
      <c r="AC54" s="668">
        <f t="shared" si="10"/>
        <v>0</v>
      </c>
      <c r="AD54" s="280"/>
      <c r="AE54" s="676">
        <v>28704.5</v>
      </c>
      <c r="AF54" s="677">
        <f>LS_RPRO!O37+MANUAL!M37+OUTSALE!M37</f>
        <v>0</v>
      </c>
      <c r="AG54" s="679">
        <f t="shared" si="11"/>
        <v>-1</v>
      </c>
      <c r="AH54" s="174"/>
      <c r="AI54" s="686">
        <v>219</v>
      </c>
      <c r="AJ54" s="693">
        <f>LS_RPRO!M37</f>
        <v>0</v>
      </c>
      <c r="AK54" s="694">
        <f t="shared" si="3"/>
        <v>-1</v>
      </c>
      <c r="AL54" s="689">
        <v>44</v>
      </c>
      <c r="AM54" s="690">
        <f>MANUAL!H37+LS_RPRO!H37+OUTSALE!H37</f>
        <v>0</v>
      </c>
      <c r="AN54" s="694">
        <f t="shared" si="4"/>
        <v>-1</v>
      </c>
      <c r="AO54" s="694">
        <f t="shared" si="5"/>
        <v>0.20091324200913241</v>
      </c>
      <c r="AP54" s="694" t="e">
        <f t="shared" si="5"/>
        <v>#DIV/0!</v>
      </c>
      <c r="AQ54" s="695" t="e">
        <f t="shared" si="6"/>
        <v>#DIV/0!</v>
      </c>
      <c r="AR54" s="174"/>
      <c r="AS54" s="705">
        <v>1</v>
      </c>
      <c r="AT54" s="693">
        <f>LS_RPRO!K37</f>
        <v>0</v>
      </c>
      <c r="AU54" s="694">
        <f t="shared" si="12"/>
        <v>-1</v>
      </c>
      <c r="AV54" s="689">
        <v>1</v>
      </c>
      <c r="AW54" s="710">
        <f>LS_RPRO!L37</f>
        <v>0</v>
      </c>
      <c r="AX54" s="694">
        <f t="shared" si="13"/>
        <v>-1</v>
      </c>
      <c r="AY54" s="709">
        <f t="shared" si="23"/>
        <v>2</v>
      </c>
      <c r="AZ54" s="710">
        <f t="shared" si="23"/>
        <v>0</v>
      </c>
      <c r="BA54" s="695">
        <f t="shared" si="14"/>
        <v>-1</v>
      </c>
      <c r="BC54" s="720"/>
      <c r="BD54" s="721">
        <v>0</v>
      </c>
      <c r="BE54" s="695" t="e">
        <f t="shared" si="15"/>
        <v>#DIV/0!</v>
      </c>
      <c r="BF54" s="174"/>
      <c r="BG54" s="727"/>
      <c r="BH54" s="728"/>
      <c r="BI54" s="735" t="e">
        <f t="shared" si="16"/>
        <v>#DIV/0!</v>
      </c>
      <c r="BJ54" s="730"/>
      <c r="BK54" s="731"/>
      <c r="BL54" s="735" t="e">
        <f t="shared" si="17"/>
        <v>#DIV/0!</v>
      </c>
      <c r="BM54" s="742" t="e">
        <f t="shared" si="18"/>
        <v>#DIV/0!</v>
      </c>
      <c r="BN54" s="743" t="e">
        <f t="shared" si="18"/>
        <v>#DIV/0!</v>
      </c>
      <c r="BO54" s="738" t="e">
        <f t="shared" si="19"/>
        <v>#DIV/0!</v>
      </c>
      <c r="BP54" s="174"/>
      <c r="BQ54" s="720">
        <v>4</v>
      </c>
      <c r="BR54" s="721"/>
      <c r="BS54" s="695">
        <f t="shared" si="20"/>
        <v>-1</v>
      </c>
      <c r="BT54" s="174"/>
      <c r="BU54" s="174"/>
      <c r="BV54" s="174"/>
      <c r="BW54" s="174"/>
      <c r="BX54" s="174"/>
      <c r="BY54" s="174"/>
      <c r="BZ54" s="174"/>
      <c r="CA54" s="174"/>
      <c r="CB54" s="174"/>
      <c r="CC54" s="174"/>
      <c r="CD54" s="174"/>
      <c r="CE54" s="174"/>
      <c r="CF54" s="174"/>
      <c r="CG54" s="174"/>
      <c r="CH54" s="174"/>
      <c r="CI54" s="174"/>
      <c r="CJ54" s="174"/>
      <c r="CK54" s="174"/>
      <c r="CL54" s="174"/>
      <c r="CM54" s="174"/>
      <c r="CN54" s="174"/>
      <c r="CO54" s="174"/>
      <c r="CP54" s="174"/>
      <c r="CQ54" s="174"/>
      <c r="CR54" s="174"/>
      <c r="CS54" s="174"/>
      <c r="CT54" s="174"/>
      <c r="CU54" s="174"/>
      <c r="CV54" s="174"/>
      <c r="CW54" s="174"/>
      <c r="CX54" s="174"/>
      <c r="CY54" s="174"/>
      <c r="CZ54" s="174"/>
      <c r="DA54" s="174"/>
      <c r="DB54" s="174"/>
      <c r="DC54" s="174"/>
      <c r="DD54" s="174"/>
      <c r="DE54" s="174"/>
      <c r="DF54" s="174"/>
      <c r="DG54" s="174"/>
      <c r="DH54" s="174"/>
      <c r="DI54" s="174"/>
      <c r="DJ54" s="174"/>
      <c r="DK54" s="174"/>
      <c r="DL54" s="174"/>
      <c r="DM54" s="174"/>
      <c r="DN54" s="174"/>
      <c r="DO54" s="174"/>
      <c r="DP54" s="174"/>
      <c r="DQ54" s="174"/>
      <c r="DR54" s="174"/>
      <c r="DS54" s="174"/>
      <c r="DT54" s="174"/>
      <c r="DU54" s="174"/>
      <c r="DV54" s="174"/>
      <c r="DW54" s="174"/>
      <c r="DX54" s="174"/>
      <c r="DY54" s="174"/>
      <c r="DZ54" s="174"/>
      <c r="EA54" s="174"/>
      <c r="EB54" s="174"/>
      <c r="EC54" s="174"/>
      <c r="ED54" s="174"/>
      <c r="EE54" s="174"/>
      <c r="EF54" s="174"/>
      <c r="EG54" s="174"/>
      <c r="EH54" s="174"/>
      <c r="EI54" s="174"/>
      <c r="EJ54" s="174"/>
      <c r="EK54" s="174"/>
      <c r="EL54" s="174"/>
      <c r="EM54" s="174"/>
      <c r="EN54" s="174"/>
      <c r="EO54" s="174"/>
      <c r="EP54" s="174"/>
      <c r="EQ54" s="174"/>
      <c r="ER54" s="174"/>
      <c r="ES54" s="174"/>
      <c r="ET54" s="174"/>
      <c r="EU54" s="174"/>
      <c r="EV54" s="174"/>
      <c r="EW54" s="174"/>
      <c r="EX54" s="174"/>
      <c r="EY54" s="174"/>
      <c r="EZ54" s="174"/>
      <c r="FA54" s="174"/>
      <c r="FB54" s="174"/>
      <c r="FC54" s="174"/>
      <c r="FD54" s="174"/>
      <c r="FE54" s="174"/>
      <c r="FF54" s="174"/>
      <c r="FG54" s="174"/>
      <c r="FH54" s="174"/>
      <c r="FI54" s="174"/>
      <c r="FJ54" s="174"/>
      <c r="FK54" s="174"/>
      <c r="FL54" s="174"/>
      <c r="FM54" s="174"/>
      <c r="FN54" s="174"/>
      <c r="FO54" s="174"/>
      <c r="FP54" s="174"/>
      <c r="FQ54" s="174"/>
      <c r="FR54" s="174"/>
      <c r="FS54" s="174"/>
      <c r="FT54" s="174"/>
      <c r="FU54" s="174"/>
      <c r="FV54" s="174"/>
      <c r="FW54" s="174"/>
      <c r="FX54" s="174"/>
      <c r="FY54" s="174"/>
      <c r="FZ54" s="174"/>
      <c r="GA54" s="174"/>
      <c r="GB54" s="174"/>
      <c r="GC54" s="174"/>
      <c r="GD54" s="174"/>
      <c r="GE54" s="174"/>
      <c r="GF54" s="174"/>
      <c r="GG54" s="174"/>
      <c r="GH54" s="174"/>
      <c r="GI54" s="174"/>
      <c r="GJ54" s="174"/>
      <c r="GK54" s="174"/>
      <c r="GL54" s="174"/>
      <c r="GM54" s="174"/>
      <c r="GN54" s="174"/>
      <c r="GO54" s="174"/>
      <c r="GP54" s="174"/>
      <c r="GQ54" s="174"/>
      <c r="GR54" s="174"/>
      <c r="GS54" s="174"/>
      <c r="GT54" s="174"/>
      <c r="GU54" s="174"/>
      <c r="GV54" s="174"/>
      <c r="GW54" s="174"/>
      <c r="GX54" s="174"/>
      <c r="GY54" s="174"/>
      <c r="GZ54" s="174"/>
      <c r="HA54" s="174"/>
      <c r="HB54" s="174"/>
      <c r="HC54" s="174"/>
      <c r="HD54" s="174"/>
      <c r="HE54" s="174"/>
      <c r="HF54" s="174"/>
      <c r="HG54" s="174"/>
      <c r="HH54" s="174"/>
      <c r="HI54" s="174"/>
      <c r="HJ54" s="174"/>
      <c r="HK54" s="174"/>
      <c r="HL54" s="174"/>
      <c r="HM54" s="174"/>
      <c r="HN54" s="174"/>
      <c r="HO54" s="174"/>
      <c r="HP54" s="174"/>
      <c r="HQ54" s="174"/>
      <c r="HR54" s="174"/>
      <c r="HS54" s="174"/>
      <c r="HT54" s="174"/>
      <c r="HU54" s="174"/>
      <c r="HV54" s="174"/>
      <c r="HW54" s="174"/>
      <c r="HX54" s="174"/>
      <c r="HY54" s="174"/>
      <c r="HZ54" s="174"/>
      <c r="IA54" s="174"/>
      <c r="IB54" s="174"/>
      <c r="IC54" s="174"/>
      <c r="ID54" s="174"/>
      <c r="IE54" s="174"/>
      <c r="IF54" s="174"/>
      <c r="IG54" s="174"/>
      <c r="IH54" s="174"/>
      <c r="II54" s="174"/>
      <c r="IJ54" s="174"/>
      <c r="IK54" s="174"/>
      <c r="IL54" s="174"/>
      <c r="IM54" s="174"/>
      <c r="IN54" s="174"/>
    </row>
    <row r="55" spans="1:248" ht="13.8" thickBot="1">
      <c r="D55" s="175">
        <v>31</v>
      </c>
      <c r="E55" s="973" t="s">
        <v>161</v>
      </c>
      <c r="F55" s="973"/>
      <c r="G55" s="170"/>
      <c r="H55" s="171">
        <f t="shared" si="7"/>
        <v>0</v>
      </c>
      <c r="I55" s="218">
        <f t="shared" si="8"/>
        <v>0</v>
      </c>
      <c r="J55" s="178" t="s">
        <v>161</v>
      </c>
      <c r="K55" s="219">
        <f>LS_RPRO!B38+MANUAL!B38+OUTSALE!B38</f>
        <v>0</v>
      </c>
      <c r="L55" s="220">
        <f t="shared" si="21"/>
        <v>0</v>
      </c>
      <c r="M55" s="221">
        <f>K55/G15</f>
        <v>0</v>
      </c>
      <c r="N55" s="222">
        <f t="shared" si="22"/>
        <v>-79571.049999999726</v>
      </c>
      <c r="O55" s="207"/>
      <c r="P55" s="170">
        <v>0</v>
      </c>
      <c r="Q55" s="219">
        <f>LS_RPRO!C38+MANUAL!C38+OUTSALE!C38</f>
        <v>0</v>
      </c>
      <c r="R55" s="259" t="e">
        <f t="shared" si="9"/>
        <v>#DIV/0!</v>
      </c>
      <c r="S55" s="250"/>
      <c r="T55" s="251"/>
      <c r="U55" s="663"/>
      <c r="V55" s="260" t="e">
        <f t="shared" si="0"/>
        <v>#DIV/0!</v>
      </c>
      <c r="W55" s="665"/>
      <c r="X55" s="253">
        <v>0</v>
      </c>
      <c r="Y55" s="666"/>
      <c r="Z55" s="281" t="e">
        <f t="shared" si="1"/>
        <v>#DIV/0!</v>
      </c>
      <c r="AA55" s="665"/>
      <c r="AB55" s="669">
        <f t="shared" si="2"/>
        <v>0</v>
      </c>
      <c r="AC55" s="670">
        <f t="shared" si="10"/>
        <v>0</v>
      </c>
      <c r="AD55" s="280"/>
      <c r="AE55" s="680"/>
      <c r="AF55" s="681">
        <f>LS_RPRO!O38+MANUAL!M38+OUTSALE!M38</f>
        <v>0</v>
      </c>
      <c r="AG55" s="682" t="e">
        <f t="shared" si="11"/>
        <v>#DIV/0!</v>
      </c>
      <c r="AI55" s="696">
        <v>0</v>
      </c>
      <c r="AJ55" s="697">
        <f>LS_RPRO!M38</f>
        <v>0</v>
      </c>
      <c r="AK55" s="698" t="e">
        <f t="shared" si="3"/>
        <v>#DIV/0!</v>
      </c>
      <c r="AL55" s="699">
        <v>0</v>
      </c>
      <c r="AM55" s="700">
        <f>MANUAL!H38+LS_RPRO!H38+OUTSALE!H38</f>
        <v>0</v>
      </c>
      <c r="AN55" s="698" t="e">
        <f t="shared" si="4"/>
        <v>#DIV/0!</v>
      </c>
      <c r="AO55" s="698" t="e">
        <f t="shared" si="5"/>
        <v>#DIV/0!</v>
      </c>
      <c r="AP55" s="698" t="e">
        <f t="shared" si="5"/>
        <v>#DIV/0!</v>
      </c>
      <c r="AQ55" s="701" t="e">
        <f t="shared" si="6"/>
        <v>#DIV/0!</v>
      </c>
      <c r="AS55" s="711">
        <v>0</v>
      </c>
      <c r="AT55" s="697">
        <f>LS_RPRO!K38</f>
        <v>0</v>
      </c>
      <c r="AU55" s="698" t="e">
        <f t="shared" si="12"/>
        <v>#DIV/0!</v>
      </c>
      <c r="AV55" s="699">
        <v>0</v>
      </c>
      <c r="AW55" s="712">
        <f>LS_RPRO!L38</f>
        <v>0</v>
      </c>
      <c r="AX55" s="698" t="e">
        <f t="shared" si="13"/>
        <v>#DIV/0!</v>
      </c>
      <c r="AY55" s="713">
        <f t="shared" si="23"/>
        <v>0</v>
      </c>
      <c r="AZ55" s="714">
        <f t="shared" si="23"/>
        <v>0</v>
      </c>
      <c r="BA55" s="701" t="e">
        <f t="shared" si="14"/>
        <v>#DIV/0!</v>
      </c>
      <c r="BC55" s="722"/>
      <c r="BD55" s="723">
        <v>0</v>
      </c>
      <c r="BE55" s="701" t="e">
        <f t="shared" si="15"/>
        <v>#DIV/0!</v>
      </c>
      <c r="BG55" s="744"/>
      <c r="BH55" s="745"/>
      <c r="BI55" s="746" t="e">
        <f t="shared" si="16"/>
        <v>#DIV/0!</v>
      </c>
      <c r="BJ55" s="747"/>
      <c r="BK55" s="748"/>
      <c r="BL55" s="746" t="e">
        <f t="shared" si="17"/>
        <v>#DIV/0!</v>
      </c>
      <c r="BM55" s="746" t="e">
        <f t="shared" si="18"/>
        <v>#DIV/0!</v>
      </c>
      <c r="BN55" s="749" t="e">
        <f t="shared" si="18"/>
        <v>#DIV/0!</v>
      </c>
      <c r="BO55" s="750" t="e">
        <f t="shared" si="19"/>
        <v>#DIV/0!</v>
      </c>
      <c r="BP55" s="154"/>
      <c r="BQ55" s="722"/>
      <c r="BR55" s="723"/>
      <c r="BS55" s="701" t="e">
        <f t="shared" si="20"/>
        <v>#DIV/0!</v>
      </c>
    </row>
    <row r="56" spans="1:248" s="153" customFormat="1" ht="15.75" customHeight="1" thickBot="1">
      <c r="A56" s="180"/>
      <c r="B56" s="180"/>
      <c r="C56" s="180"/>
      <c r="D56" s="965" t="s">
        <v>162</v>
      </c>
      <c r="E56" s="974"/>
      <c r="F56" s="974"/>
      <c r="G56" s="181">
        <f>SUM(G25:G55)</f>
        <v>2458188.04</v>
      </c>
      <c r="H56" s="182">
        <f>SUM(H25:H55)</f>
        <v>1</v>
      </c>
      <c r="I56" s="223">
        <f>SUM(I25:I55)</f>
        <v>2735471.65</v>
      </c>
      <c r="J56" s="223"/>
      <c r="K56" s="223">
        <f>SUM(K25:K55)</f>
        <v>2655900.6</v>
      </c>
      <c r="L56" s="224">
        <f>SUM(L25:L55)</f>
        <v>-79571.049999999726</v>
      </c>
      <c r="M56" s="225">
        <f>K56/G15</f>
        <v>0.97091139657762504</v>
      </c>
      <c r="N56" s="226">
        <f>SUM(N25:N55)</f>
        <v>20965935.444660015</v>
      </c>
      <c r="O56" s="227">
        <f>SUM(O25:O55)</f>
        <v>3000</v>
      </c>
      <c r="P56" s="228">
        <f>SUM(P25:P55)</f>
        <v>1163.81</v>
      </c>
      <c r="Q56" s="228">
        <f>SUM(Q25:Q55)</f>
        <v>16469.879999999997</v>
      </c>
      <c r="R56" s="261">
        <f t="shared" si="9"/>
        <v>13.151691427294832</v>
      </c>
      <c r="S56" s="262"/>
      <c r="T56" s="263">
        <f>SUM(T25:T55)</f>
        <v>435904.33</v>
      </c>
      <c r="U56" s="264">
        <f>SUM(U25:U55)</f>
        <v>514346.2</v>
      </c>
      <c r="V56" s="265">
        <f t="shared" si="0"/>
        <v>0.17995203213512467</v>
      </c>
      <c r="W56" s="266">
        <f t="shared" ref="W56:AF56" si="24">SUM(W25:W55)</f>
        <v>128586.37</v>
      </c>
      <c r="X56" s="263">
        <f t="shared" si="24"/>
        <v>1997725.71</v>
      </c>
      <c r="Y56" s="282">
        <f t="shared" si="24"/>
        <v>1616716</v>
      </c>
      <c r="Z56" s="283">
        <f t="shared" si="1"/>
        <v>-0.19072173326537403</v>
      </c>
      <c r="AA56" s="756">
        <f t="shared" si="24"/>
        <v>515576.4657999996</v>
      </c>
      <c r="AB56" s="284">
        <f t="shared" si="24"/>
        <v>644162.83579999965</v>
      </c>
      <c r="AC56" s="285">
        <f t="shared" si="24"/>
        <v>0.69639225491891854</v>
      </c>
      <c r="AD56" s="286"/>
      <c r="AE56" s="671">
        <f t="shared" si="24"/>
        <v>1377918.1600000001</v>
      </c>
      <c r="AF56" s="671">
        <f t="shared" si="24"/>
        <v>2150280.52</v>
      </c>
      <c r="AG56" s="672">
        <f t="shared" si="11"/>
        <v>0.56052847144419649</v>
      </c>
      <c r="AH56" s="180"/>
      <c r="AI56" s="288">
        <f>SUM(AI25:AI55)</f>
        <v>6216</v>
      </c>
      <c r="AJ56" s="289">
        <f>SUM(AJ25:AJ55)</f>
        <v>6827</v>
      </c>
      <c r="AK56" s="290">
        <f t="shared" si="3"/>
        <v>9.829472329472333E-2</v>
      </c>
      <c r="AL56" s="289">
        <f>SUM(AL25:AL55)</f>
        <v>1279</v>
      </c>
      <c r="AM56" s="289">
        <f>SUM(AM25:AM55)</f>
        <v>1013</v>
      </c>
      <c r="AN56" s="290">
        <f t="shared" si="4"/>
        <v>-0.20797498045347929</v>
      </c>
      <c r="AO56" s="290">
        <f t="shared" si="5"/>
        <v>0.20575933075933076</v>
      </c>
      <c r="AP56" s="290">
        <f t="shared" si="5"/>
        <v>0.14838142668814999</v>
      </c>
      <c r="AQ56" s="293">
        <f t="shared" si="6"/>
        <v>-5.7377904071180763E-2</v>
      </c>
      <c r="AR56" s="180"/>
      <c r="AS56" s="288">
        <f>SUM(AS25:AS55)</f>
        <v>14</v>
      </c>
      <c r="AT56" s="289">
        <f>SUM(AT25:AT55)</f>
        <v>16</v>
      </c>
      <c r="AU56" s="290">
        <f t="shared" si="12"/>
        <v>0.14285714285714285</v>
      </c>
      <c r="AV56" s="289">
        <f>SUM(AV25:AV55)</f>
        <v>53</v>
      </c>
      <c r="AW56" s="289">
        <f>SUM(AW25:AW55)</f>
        <v>38</v>
      </c>
      <c r="AX56" s="290">
        <f t="shared" si="13"/>
        <v>-0.28301886792452829</v>
      </c>
      <c r="AY56" s="294">
        <f>SUM(AY25:AY55)</f>
        <v>67</v>
      </c>
      <c r="AZ56" s="294">
        <f>SUM(AZ25:AZ55)</f>
        <v>54</v>
      </c>
      <c r="BA56" s="295">
        <f t="shared" si="14"/>
        <v>-0.19402985074626866</v>
      </c>
      <c r="BB56" s="180"/>
      <c r="BC56" s="296">
        <f>SUM(BC25:BC55)</f>
        <v>0</v>
      </c>
      <c r="BD56" s="294">
        <f>SUM(BD25:BD55)</f>
        <v>0</v>
      </c>
      <c r="BE56" s="297" t="e">
        <f t="shared" si="15"/>
        <v>#DIV/0!</v>
      </c>
      <c r="BF56" s="180"/>
      <c r="BG56" s="298">
        <f>SUM(BG25:BG55)</f>
        <v>0</v>
      </c>
      <c r="BH56" s="299">
        <f>SUM(BH25:BH55)</f>
        <v>0</v>
      </c>
      <c r="BI56" s="300" t="e">
        <f t="shared" si="16"/>
        <v>#DIV/0!</v>
      </c>
      <c r="BJ56" s="299">
        <f>SUM(BJ25:BJ55)</f>
        <v>0</v>
      </c>
      <c r="BK56" s="301">
        <f>SUM(BK25:BK55)</f>
        <v>0</v>
      </c>
      <c r="BL56" s="300" t="e">
        <f t="shared" si="17"/>
        <v>#DIV/0!</v>
      </c>
      <c r="BM56" s="300" t="e">
        <f>BJ56/BG56</f>
        <v>#DIV/0!</v>
      </c>
      <c r="BN56" s="302" t="e">
        <f>BK56/BH56</f>
        <v>#DIV/0!</v>
      </c>
      <c r="BO56" s="303" t="e">
        <f t="shared" si="19"/>
        <v>#DIV/0!</v>
      </c>
      <c r="BP56" s="304"/>
      <c r="BQ56" s="296">
        <f>SUM(BQ25:BQ55)</f>
        <v>267</v>
      </c>
      <c r="BR56" s="294">
        <f>SUM(BR25:BR55)</f>
        <v>240</v>
      </c>
      <c r="BS56" s="297">
        <f t="shared" si="20"/>
        <v>-0.10112359550561797</v>
      </c>
      <c r="BT56" s="180"/>
      <c r="BU56" s="180"/>
      <c r="BV56" s="180"/>
      <c r="BW56" s="180"/>
      <c r="BX56" s="180"/>
      <c r="BY56" s="180"/>
      <c r="BZ56" s="180"/>
      <c r="CA56" s="180"/>
      <c r="CB56" s="180"/>
      <c r="CC56" s="180"/>
      <c r="CD56" s="180"/>
      <c r="CE56" s="180"/>
      <c r="CF56" s="180"/>
      <c r="CG56" s="180"/>
      <c r="CH56" s="180"/>
      <c r="CI56" s="180"/>
      <c r="CJ56" s="180"/>
      <c r="CK56" s="180"/>
      <c r="CL56" s="180"/>
      <c r="CM56" s="180"/>
      <c r="CN56" s="180"/>
      <c r="CO56" s="180"/>
      <c r="CP56" s="180"/>
      <c r="CQ56" s="180"/>
      <c r="CR56" s="180"/>
      <c r="CS56" s="180"/>
      <c r="CT56" s="180"/>
      <c r="CU56" s="180"/>
      <c r="CV56" s="180"/>
      <c r="CW56" s="180"/>
      <c r="CX56" s="180"/>
      <c r="CY56" s="180"/>
      <c r="CZ56" s="180"/>
      <c r="DA56" s="180"/>
      <c r="DB56" s="180"/>
      <c r="DC56" s="180"/>
      <c r="DD56" s="180"/>
      <c r="DE56" s="180"/>
      <c r="DF56" s="180"/>
      <c r="DG56" s="180"/>
      <c r="DH56" s="180"/>
      <c r="DI56" s="180"/>
      <c r="DJ56" s="180"/>
      <c r="DK56" s="180"/>
      <c r="DL56" s="180"/>
      <c r="DM56" s="180"/>
      <c r="DN56" s="180"/>
      <c r="DO56" s="180"/>
      <c r="DP56" s="180"/>
      <c r="DQ56" s="180"/>
      <c r="DR56" s="180"/>
      <c r="DS56" s="180"/>
      <c r="DT56" s="180"/>
      <c r="DU56" s="180"/>
      <c r="DV56" s="180"/>
      <c r="DW56" s="180"/>
      <c r="DX56" s="180"/>
      <c r="DY56" s="180"/>
      <c r="DZ56" s="180"/>
      <c r="EA56" s="180"/>
      <c r="EB56" s="180"/>
      <c r="EC56" s="180"/>
      <c r="ED56" s="180"/>
      <c r="EE56" s="180"/>
      <c r="EF56" s="180"/>
      <c r="EG56" s="180"/>
      <c r="EH56" s="180"/>
      <c r="EI56" s="180"/>
      <c r="EJ56" s="180"/>
      <c r="EK56" s="180"/>
      <c r="EL56" s="180"/>
      <c r="EM56" s="180"/>
      <c r="EN56" s="180"/>
      <c r="EO56" s="180"/>
      <c r="EP56" s="180"/>
      <c r="EQ56" s="180"/>
      <c r="ER56" s="180"/>
      <c r="ES56" s="180"/>
      <c r="ET56" s="180"/>
      <c r="EU56" s="180"/>
      <c r="EV56" s="180"/>
      <c r="EW56" s="180"/>
      <c r="EX56" s="180"/>
      <c r="EY56" s="180"/>
      <c r="EZ56" s="180"/>
      <c r="FA56" s="180"/>
      <c r="FB56" s="180"/>
      <c r="FC56" s="180"/>
      <c r="FD56" s="180"/>
      <c r="FE56" s="180"/>
      <c r="FF56" s="180"/>
      <c r="FG56" s="180"/>
      <c r="FH56" s="180"/>
      <c r="FI56" s="180"/>
      <c r="FJ56" s="180"/>
      <c r="FK56" s="180"/>
      <c r="FL56" s="180"/>
      <c r="FM56" s="180"/>
      <c r="FN56" s="180"/>
      <c r="FO56" s="180"/>
      <c r="FP56" s="180"/>
      <c r="FQ56" s="180"/>
      <c r="FR56" s="180"/>
      <c r="FS56" s="180"/>
      <c r="FT56" s="180"/>
      <c r="FU56" s="180"/>
      <c r="FV56" s="180"/>
      <c r="FW56" s="180"/>
      <c r="FX56" s="180"/>
      <c r="FY56" s="180"/>
      <c r="FZ56" s="180"/>
      <c r="GA56" s="180"/>
      <c r="GB56" s="180"/>
      <c r="GC56" s="180"/>
      <c r="GD56" s="180"/>
      <c r="GE56" s="180"/>
      <c r="GF56" s="180"/>
      <c r="GG56" s="180"/>
      <c r="GH56" s="180"/>
      <c r="GI56" s="180"/>
      <c r="GJ56" s="180"/>
      <c r="GK56" s="180"/>
      <c r="GL56" s="180"/>
      <c r="GM56" s="180"/>
      <c r="GN56" s="180"/>
      <c r="GO56" s="180"/>
      <c r="GP56" s="180"/>
      <c r="GQ56" s="180"/>
      <c r="GR56" s="180"/>
      <c r="GS56" s="180"/>
      <c r="GT56" s="180"/>
      <c r="GU56" s="180"/>
      <c r="GV56" s="180"/>
      <c r="GW56" s="180"/>
      <c r="GX56" s="180"/>
      <c r="GY56" s="180"/>
      <c r="GZ56" s="180"/>
      <c r="HA56" s="180"/>
      <c r="HB56" s="180"/>
      <c r="HC56" s="180"/>
      <c r="HD56" s="180"/>
      <c r="HE56" s="180"/>
      <c r="HF56" s="180"/>
      <c r="HG56" s="180"/>
      <c r="HH56" s="180"/>
      <c r="HI56" s="180"/>
      <c r="HJ56" s="180"/>
      <c r="HK56" s="180"/>
      <c r="HL56" s="180"/>
      <c r="HM56" s="180"/>
      <c r="HN56" s="180"/>
      <c r="HO56" s="180"/>
      <c r="HP56" s="180"/>
      <c r="HQ56" s="180"/>
      <c r="HR56" s="180"/>
      <c r="HS56" s="180"/>
      <c r="HT56" s="180"/>
      <c r="HU56" s="180"/>
      <c r="HV56" s="180"/>
      <c r="HW56" s="180"/>
      <c r="HX56" s="180"/>
      <c r="HY56" s="180"/>
      <c r="HZ56" s="180"/>
      <c r="IA56" s="180"/>
      <c r="IB56" s="180"/>
      <c r="IC56" s="180"/>
      <c r="ID56" s="180"/>
      <c r="IE56" s="180"/>
      <c r="IF56" s="180"/>
      <c r="IG56" s="180"/>
      <c r="IH56" s="180"/>
      <c r="II56" s="180"/>
      <c r="IJ56" s="180"/>
      <c r="IK56" s="180"/>
      <c r="IL56" s="180"/>
      <c r="IM56" s="180"/>
      <c r="IN56" s="180"/>
    </row>
    <row r="57" spans="1:248">
      <c r="G57" s="160"/>
      <c r="H57" s="160"/>
      <c r="I57" s="160"/>
      <c r="J57" s="160"/>
      <c r="K57" s="229"/>
      <c r="L57" s="160"/>
      <c r="M57" s="160"/>
      <c r="N57" s="160"/>
      <c r="O57" s="160"/>
      <c r="T57" s="160"/>
      <c r="U57" s="267"/>
      <c r="V57" s="160"/>
      <c r="Y57" s="154" t="s">
        <v>38</v>
      </c>
    </row>
    <row r="58" spans="1:248" ht="15" customHeight="1"/>
    <row r="59" spans="1:248">
      <c r="T59" s="967"/>
      <c r="U59" s="967"/>
      <c r="V59" s="967"/>
    </row>
    <row r="60" spans="1:248">
      <c r="T60" s="268"/>
      <c r="U60" s="268"/>
      <c r="V60" s="268"/>
    </row>
    <row r="61" spans="1:248">
      <c r="T61" s="269"/>
      <c r="U61" s="269"/>
      <c r="V61" s="270"/>
    </row>
    <row r="62" spans="1:248">
      <c r="R62" s="271"/>
      <c r="S62" s="271"/>
      <c r="T62" s="272"/>
      <c r="U62" s="272"/>
      <c r="V62" s="273"/>
      <c r="W62" s="271"/>
    </row>
    <row r="63" spans="1:248" ht="13.8">
      <c r="R63" s="271"/>
      <c r="S63" s="271"/>
      <c r="T63" s="274"/>
      <c r="U63" s="274"/>
      <c r="V63" s="275"/>
      <c r="W63" s="271"/>
    </row>
    <row r="64" spans="1:248">
      <c r="R64" s="271"/>
      <c r="S64" s="271"/>
      <c r="T64" s="271"/>
      <c r="U64" s="271"/>
      <c r="V64" s="271"/>
      <c r="W64" s="271"/>
    </row>
    <row r="65" spans="18:23">
      <c r="R65" s="271"/>
      <c r="S65" s="271"/>
      <c r="T65" s="305"/>
      <c r="U65" s="271"/>
      <c r="V65" s="271"/>
      <c r="W65" s="271"/>
    </row>
    <row r="67" spans="18:23">
      <c r="T67" s="306"/>
    </row>
  </sheetData>
  <protectedRanges>
    <protectedRange sqref="BQ25:BR56" name="Range1_1"/>
    <protectedRange sqref="O25:P56 AE25:AE56 AS25:AS56 AV25:AV56 BC25:BD56 BG25:BH56 BJ25:BK56 T25:U56 BQ25:BR56 AL25:AL56 AI25:AI56 X25:Y56 J25:J56 E25:G55" name="Range1"/>
    <protectedRange sqref="BG24:BH24 BJ24:BK24 BM24:BN24 BQ24:BR24" name="Range3"/>
  </protectedRanges>
  <mergeCells count="64">
    <mergeCell ref="D16:F16"/>
    <mergeCell ref="H16:I16"/>
    <mergeCell ref="K16:L16"/>
    <mergeCell ref="E12:G12"/>
    <mergeCell ref="E13:G13"/>
    <mergeCell ref="D15:F15"/>
    <mergeCell ref="H15:I15"/>
    <mergeCell ref="K15:L15"/>
    <mergeCell ref="D17:F17"/>
    <mergeCell ref="H17:I17"/>
    <mergeCell ref="K17:L17"/>
    <mergeCell ref="D18:F18"/>
    <mergeCell ref="H18:I18"/>
    <mergeCell ref="K18:L18"/>
    <mergeCell ref="D19:F19"/>
    <mergeCell ref="H19:I19"/>
    <mergeCell ref="K19:L19"/>
    <mergeCell ref="D20:F20"/>
    <mergeCell ref="H20:I20"/>
    <mergeCell ref="O21:Q21"/>
    <mergeCell ref="D22:F22"/>
    <mergeCell ref="H22:I22"/>
    <mergeCell ref="T22:AC22"/>
    <mergeCell ref="D23:R23"/>
    <mergeCell ref="T23:W23"/>
    <mergeCell ref="X23:AA23"/>
    <mergeCell ref="AB23:AB24"/>
    <mergeCell ref="AC23:AC24"/>
    <mergeCell ref="D24:F24"/>
    <mergeCell ref="D21:F21"/>
    <mergeCell ref="H21:I21"/>
    <mergeCell ref="E36:F36"/>
    <mergeCell ref="E25:F25"/>
    <mergeCell ref="E26:F26"/>
    <mergeCell ref="E27:F27"/>
    <mergeCell ref="E28:F28"/>
    <mergeCell ref="E29:F29"/>
    <mergeCell ref="E30:F30"/>
    <mergeCell ref="E31:F31"/>
    <mergeCell ref="E32:F32"/>
    <mergeCell ref="E33:F33"/>
    <mergeCell ref="E34:F34"/>
    <mergeCell ref="E35:F35"/>
    <mergeCell ref="E48:F48"/>
    <mergeCell ref="E37:F37"/>
    <mergeCell ref="E38:F38"/>
    <mergeCell ref="E39:F39"/>
    <mergeCell ref="E40:F40"/>
    <mergeCell ref="E41:F41"/>
    <mergeCell ref="E42:F42"/>
    <mergeCell ref="E43:F43"/>
    <mergeCell ref="E44:F44"/>
    <mergeCell ref="E45:F45"/>
    <mergeCell ref="E46:F46"/>
    <mergeCell ref="E47:F47"/>
    <mergeCell ref="E55:F55"/>
    <mergeCell ref="D56:F56"/>
    <mergeCell ref="T59:V59"/>
    <mergeCell ref="E49:F49"/>
    <mergeCell ref="E50:F50"/>
    <mergeCell ref="E51:F51"/>
    <mergeCell ref="E52:F52"/>
    <mergeCell ref="E53:F53"/>
    <mergeCell ref="E54:F54"/>
  </mergeCells>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AM34"/>
  <sheetViews>
    <sheetView workbookViewId="0">
      <selection activeCell="G12" sqref="G12"/>
    </sheetView>
  </sheetViews>
  <sheetFormatPr defaultColWidth="9" defaultRowHeight="14.4"/>
  <cols>
    <col min="1" max="1" width="7.109375" customWidth="1"/>
    <col min="2" max="3" width="14.109375" customWidth="1"/>
    <col min="4" max="4" width="9.33203125" customWidth="1"/>
    <col min="5" max="6" width="14.109375" customWidth="1"/>
    <col min="7" max="7" width="8.6640625" customWidth="1"/>
    <col min="8" max="10" width="14.109375" customWidth="1"/>
    <col min="11" max="11" width="9.6640625" customWidth="1"/>
    <col min="12" max="13" width="14.109375" customWidth="1"/>
    <col min="14" max="14" width="9.33203125" customWidth="1"/>
    <col min="15" max="15" width="15.5546875" customWidth="1"/>
    <col min="16" max="16" width="14.44140625" customWidth="1"/>
    <col min="19" max="19" width="10.5546875" bestFit="1" customWidth="1"/>
    <col min="20" max="20" width="13.33203125" style="846" bestFit="1" customWidth="1"/>
    <col min="22" max="22" width="13.33203125" style="846" bestFit="1" customWidth="1"/>
    <col min="24" max="24" width="10.5546875" style="846" customWidth="1"/>
    <col min="25" max="25" width="12" bestFit="1" customWidth="1"/>
    <col min="26" max="26" width="9" style="846"/>
    <col min="28" max="28" width="9.5546875" style="846" bestFit="1" customWidth="1"/>
    <col min="33" max="33" width="13.88671875" customWidth="1"/>
    <col min="34" max="34" width="15.6640625" customWidth="1"/>
    <col min="37" max="37" width="12.44140625" bestFit="1" customWidth="1"/>
  </cols>
  <sheetData>
    <row r="1" spans="1:39" ht="15.6">
      <c r="A1" s="984" t="s">
        <v>163</v>
      </c>
      <c r="B1" s="984"/>
      <c r="C1" s="984"/>
      <c r="D1" s="984"/>
      <c r="E1" s="565"/>
      <c r="F1" s="565"/>
      <c r="S1" s="843">
        <f>AD34</f>
        <v>1746</v>
      </c>
    </row>
    <row r="2" spans="1:39" ht="15.6">
      <c r="A2" s="985" t="s">
        <v>278</v>
      </c>
      <c r="B2" s="984"/>
      <c r="C2" s="566"/>
      <c r="D2" s="565"/>
      <c r="E2" s="565"/>
      <c r="F2" s="565"/>
      <c r="S2" s="840" t="s">
        <v>49</v>
      </c>
      <c r="T2" s="847" t="s">
        <v>253</v>
      </c>
      <c r="U2" s="845">
        <f>SUM(U3:U33)</f>
        <v>1044</v>
      </c>
      <c r="V2" s="847" t="s">
        <v>254</v>
      </c>
      <c r="W2" s="845">
        <f>SUM(W3:W33)</f>
        <v>702</v>
      </c>
      <c r="X2" s="847" t="s">
        <v>255</v>
      </c>
      <c r="Y2" s="845">
        <f>SUM(Y3:Y33)</f>
        <v>0</v>
      </c>
      <c r="Z2" s="847" t="s">
        <v>256</v>
      </c>
      <c r="AA2" s="845">
        <f>SUM(AA3:AA33)</f>
        <v>0</v>
      </c>
      <c r="AB2" s="847" t="s">
        <v>257</v>
      </c>
      <c r="AC2" s="845">
        <f>SUM(AC3:AC33)</f>
        <v>0</v>
      </c>
      <c r="AD2" s="841"/>
      <c r="AF2" s="851" t="s">
        <v>175</v>
      </c>
      <c r="AG2" s="852" t="s">
        <v>260</v>
      </c>
      <c r="AH2" s="853" t="s">
        <v>261</v>
      </c>
      <c r="AJ2" s="976" t="s">
        <v>262</v>
      </c>
      <c r="AK2" s="976"/>
      <c r="AL2" s="976"/>
      <c r="AM2" s="976"/>
    </row>
    <row r="3" spans="1:39" ht="16.2" thickBot="1">
      <c r="A3" s="567"/>
      <c r="S3" s="842">
        <v>46174</v>
      </c>
      <c r="T3" s="758">
        <v>1865962</v>
      </c>
      <c r="U3" s="840">
        <v>518</v>
      </c>
      <c r="V3" s="758">
        <v>1196570</v>
      </c>
      <c r="W3" s="840">
        <v>347</v>
      </c>
      <c r="X3" s="758">
        <v>0</v>
      </c>
      <c r="Y3" s="840"/>
      <c r="Z3" s="758">
        <v>0</v>
      </c>
      <c r="AA3" s="840"/>
      <c r="AB3" s="758">
        <v>0</v>
      </c>
      <c r="AC3" s="840"/>
      <c r="AD3" s="840">
        <f>U3+W3+Y3+AA3+AC3</f>
        <v>865</v>
      </c>
      <c r="AF3" s="854">
        <v>1</v>
      </c>
      <c r="AG3" s="855">
        <v>406626.15</v>
      </c>
      <c r="AH3" s="758">
        <f>'Seasonality Template'!K25</f>
        <v>173242.34999999998</v>
      </c>
      <c r="AJ3" s="856">
        <v>2024</v>
      </c>
      <c r="AK3" s="857">
        <f>SUM(AG3:AG33)</f>
        <v>9271118.5700000003</v>
      </c>
      <c r="AL3" s="977">
        <f>(AK4-AK3)/AK3</f>
        <v>-0.71352964801959173</v>
      </c>
      <c r="AM3" s="977"/>
    </row>
    <row r="4" spans="1:39">
      <c r="A4" s="988" t="s">
        <v>164</v>
      </c>
      <c r="B4" s="986" t="s">
        <v>165</v>
      </c>
      <c r="C4" s="983"/>
      <c r="D4" s="978" t="s">
        <v>141</v>
      </c>
      <c r="E4" s="568" t="s">
        <v>166</v>
      </c>
      <c r="F4" s="978" t="s">
        <v>167</v>
      </c>
      <c r="G4" s="569" t="s">
        <v>168</v>
      </c>
      <c r="H4" s="987" t="s">
        <v>169</v>
      </c>
      <c r="I4" s="983"/>
      <c r="J4" s="978" t="s">
        <v>170</v>
      </c>
      <c r="K4" s="980" t="s">
        <v>171</v>
      </c>
      <c r="L4" s="982" t="s">
        <v>131</v>
      </c>
      <c r="M4" s="983"/>
      <c r="N4" s="978" t="s">
        <v>141</v>
      </c>
      <c r="O4" s="982" t="s">
        <v>132</v>
      </c>
      <c r="P4" s="983"/>
      <c r="Q4" s="978" t="s">
        <v>141</v>
      </c>
      <c r="S4" s="842">
        <v>46175</v>
      </c>
      <c r="T4" s="758"/>
      <c r="U4" s="840"/>
      <c r="V4" s="758"/>
      <c r="W4" s="840"/>
      <c r="X4" s="758">
        <v>0</v>
      </c>
      <c r="Y4" s="840"/>
      <c r="Z4" s="758">
        <v>0</v>
      </c>
      <c r="AA4" s="840"/>
      <c r="AB4" s="758">
        <v>0</v>
      </c>
      <c r="AC4" s="840"/>
      <c r="AD4" s="840">
        <f t="shared" ref="AD4:AD33" si="0">U4+W4+Y4+AA4+AC4</f>
        <v>0</v>
      </c>
      <c r="AF4" s="854">
        <f>AF3+1</f>
        <v>2</v>
      </c>
      <c r="AG4" s="858">
        <v>512526.8</v>
      </c>
      <c r="AH4" s="758">
        <f>'Seasonality Template'!K26</f>
        <v>208772.5</v>
      </c>
      <c r="AJ4" s="856">
        <v>2025</v>
      </c>
      <c r="AK4" s="859">
        <f>AH34</f>
        <v>2655900.6</v>
      </c>
      <c r="AL4" s="977"/>
      <c r="AM4" s="977"/>
    </row>
    <row r="5" spans="1:39" ht="15" thickBot="1">
      <c r="A5" s="989"/>
      <c r="B5" s="570">
        <v>2025</v>
      </c>
      <c r="C5" s="571">
        <v>2026</v>
      </c>
      <c r="D5" s="979"/>
      <c r="E5" s="572" t="s">
        <v>26</v>
      </c>
      <c r="F5" s="990"/>
      <c r="G5" s="573" t="s">
        <v>167</v>
      </c>
      <c r="H5" s="570" t="s">
        <v>167</v>
      </c>
      <c r="I5" s="571" t="s">
        <v>172</v>
      </c>
      <c r="J5" s="979"/>
      <c r="K5" s="981"/>
      <c r="L5" s="570">
        <v>2025</v>
      </c>
      <c r="M5" s="571">
        <v>2026</v>
      </c>
      <c r="N5" s="979"/>
      <c r="O5" s="570">
        <v>2024</v>
      </c>
      <c r="P5" s="571">
        <v>2025</v>
      </c>
      <c r="Q5" s="979"/>
      <c r="S5" s="842">
        <v>46176</v>
      </c>
      <c r="T5" s="758"/>
      <c r="U5" s="840"/>
      <c r="V5" s="758"/>
      <c r="W5" s="840"/>
      <c r="X5" s="758">
        <v>0</v>
      </c>
      <c r="Y5" s="840"/>
      <c r="Z5" s="758">
        <v>0</v>
      </c>
      <c r="AA5" s="840"/>
      <c r="AB5" s="758">
        <v>0</v>
      </c>
      <c r="AC5" s="840"/>
      <c r="AD5" s="840">
        <f t="shared" si="0"/>
        <v>0</v>
      </c>
      <c r="AF5" s="854">
        <f t="shared" ref="AF5:AF33" si="1">AF4+1</f>
        <v>3</v>
      </c>
      <c r="AG5" s="858">
        <v>186409.75</v>
      </c>
      <c r="AH5" s="758">
        <f>'Seasonality Template'!K27</f>
        <v>355795.97</v>
      </c>
    </row>
    <row r="6" spans="1:39">
      <c r="A6" s="574" t="s">
        <v>173</v>
      </c>
      <c r="B6" s="575">
        <v>7259504.5900000008</v>
      </c>
      <c r="C6" s="576">
        <v>7270823.5499999998</v>
      </c>
      <c r="D6" s="864">
        <f>SUM(C6-B6)/B6</f>
        <v>1.5591917960339813E-3</v>
      </c>
      <c r="E6" s="778">
        <f>C6/31</f>
        <v>234542.69516129032</v>
      </c>
      <c r="F6" s="784">
        <v>7479999.9500000002</v>
      </c>
      <c r="G6" s="780">
        <f>SUM(C6-F6)/F6</f>
        <v>-2.7964759545219028E-2</v>
      </c>
      <c r="H6" s="577"/>
      <c r="I6" s="578"/>
      <c r="J6" s="579" t="e">
        <f t="shared" ref="J6:J12" si="2">I6/H6</f>
        <v>#DIV/0!</v>
      </c>
      <c r="K6" s="580" t="e">
        <f t="shared" ref="K6:K12" si="3">SUM(I6-H6)/H6</f>
        <v>#DIV/0!</v>
      </c>
      <c r="L6" s="577"/>
      <c r="M6" s="578"/>
      <c r="N6" s="579" t="e">
        <f>SUM(M6-L6)/L6</f>
        <v>#DIV/0!</v>
      </c>
      <c r="O6" s="577"/>
      <c r="P6" s="578"/>
      <c r="Q6" s="579" t="e">
        <f>SUM(P6-O6)/O6</f>
        <v>#DIV/0!</v>
      </c>
      <c r="S6" s="842">
        <v>46177</v>
      </c>
      <c r="T6" s="758"/>
      <c r="U6" s="840"/>
      <c r="V6" s="758"/>
      <c r="W6" s="840"/>
      <c r="X6" s="758">
        <v>0</v>
      </c>
      <c r="Y6" s="840"/>
      <c r="Z6" s="758">
        <v>0</v>
      </c>
      <c r="AA6" s="840"/>
      <c r="AB6" s="758">
        <v>0</v>
      </c>
      <c r="AC6" s="840"/>
      <c r="AD6" s="840">
        <f t="shared" si="0"/>
        <v>0</v>
      </c>
      <c r="AF6" s="854">
        <f t="shared" si="1"/>
        <v>4</v>
      </c>
      <c r="AG6" s="858">
        <v>197610.65</v>
      </c>
      <c r="AH6" s="758">
        <f>'Seasonality Template'!K28</f>
        <v>300026.7</v>
      </c>
    </row>
    <row r="7" spans="1:39">
      <c r="A7" s="581" t="s">
        <v>174</v>
      </c>
      <c r="B7" s="582">
        <v>6531620.0499999989</v>
      </c>
      <c r="C7" s="583">
        <v>7050105.2800000012</v>
      </c>
      <c r="D7" s="865">
        <f t="shared" ref="D7:D18" si="4">SUM(C7-B7)/B7</f>
        <v>7.9380800786169797E-2</v>
      </c>
      <c r="E7" s="779">
        <f>C7/29</f>
        <v>243107.07862068969</v>
      </c>
      <c r="F7" s="785">
        <v>6926783.0604999997</v>
      </c>
      <c r="G7" s="781">
        <f t="shared" ref="G7:G18" si="5">SUM(C7-F7)/F7</f>
        <v>1.7803678622945018E-2</v>
      </c>
      <c r="H7" s="585"/>
      <c r="I7" s="586"/>
      <c r="J7" s="587" t="e">
        <f t="shared" si="2"/>
        <v>#DIV/0!</v>
      </c>
      <c r="K7" s="588" t="e">
        <f t="shared" si="3"/>
        <v>#DIV/0!</v>
      </c>
      <c r="L7" s="585"/>
      <c r="M7" s="586"/>
      <c r="N7" s="587" t="e">
        <f t="shared" ref="N7:N18" si="6">SUM(M7-L7)/L7</f>
        <v>#DIV/0!</v>
      </c>
      <c r="O7" s="585"/>
      <c r="P7" s="586"/>
      <c r="Q7" s="587" t="e">
        <f t="shared" ref="Q7:Q18" si="7">SUM(P7-O7)/O7</f>
        <v>#DIV/0!</v>
      </c>
      <c r="S7" s="842">
        <v>46178</v>
      </c>
      <c r="T7" s="758"/>
      <c r="U7" s="840"/>
      <c r="V7" s="758"/>
      <c r="W7" s="840"/>
      <c r="X7" s="758">
        <v>0</v>
      </c>
      <c r="Y7" s="840"/>
      <c r="Z7" s="758">
        <v>0</v>
      </c>
      <c r="AA7" s="840"/>
      <c r="AB7" s="758">
        <v>0</v>
      </c>
      <c r="AC7" s="840"/>
      <c r="AD7" s="840">
        <f t="shared" si="0"/>
        <v>0</v>
      </c>
      <c r="AF7" s="854">
        <f t="shared" si="1"/>
        <v>5</v>
      </c>
      <c r="AG7" s="858">
        <v>168852.25</v>
      </c>
      <c r="AH7" s="758">
        <f>'Seasonality Template'!K29</f>
        <v>214629.95</v>
      </c>
      <c r="AK7" s="611">
        <f>AK4-AK3</f>
        <v>-6615217.9700000007</v>
      </c>
      <c r="AL7" s="860"/>
    </row>
    <row r="8" spans="1:39">
      <c r="A8" s="581" t="s">
        <v>175</v>
      </c>
      <c r="B8" s="582">
        <v>9963467.1400000006</v>
      </c>
      <c r="C8" s="583">
        <v>9071862.6700000018</v>
      </c>
      <c r="D8" s="865">
        <f t="shared" si="4"/>
        <v>-8.9487369955836352E-2</v>
      </c>
      <c r="E8" s="779">
        <f>C8/31</f>
        <v>292640.73129032261</v>
      </c>
      <c r="F8" s="784">
        <v>10162736.48</v>
      </c>
      <c r="G8" s="781">
        <f t="shared" si="5"/>
        <v>-0.10734055853428943</v>
      </c>
      <c r="H8" s="585"/>
      <c r="I8" s="586"/>
      <c r="J8" s="587" t="e">
        <f t="shared" si="2"/>
        <v>#DIV/0!</v>
      </c>
      <c r="K8" s="588" t="e">
        <f t="shared" si="3"/>
        <v>#DIV/0!</v>
      </c>
      <c r="L8" s="585"/>
      <c r="M8" s="586"/>
      <c r="N8" s="587" t="e">
        <f t="shared" si="6"/>
        <v>#DIV/0!</v>
      </c>
      <c r="O8" s="585"/>
      <c r="P8" s="586"/>
      <c r="Q8" s="587" t="e">
        <f t="shared" si="7"/>
        <v>#DIV/0!</v>
      </c>
      <c r="S8" s="842">
        <v>46179</v>
      </c>
      <c r="T8" s="758"/>
      <c r="U8" s="840"/>
      <c r="V8" s="758"/>
      <c r="W8" s="840"/>
      <c r="X8" s="758">
        <v>0</v>
      </c>
      <c r="Y8" s="840"/>
      <c r="Z8" s="758">
        <v>0</v>
      </c>
      <c r="AA8" s="840"/>
      <c r="AB8" s="758">
        <v>0</v>
      </c>
      <c r="AC8" s="840"/>
      <c r="AD8" s="840">
        <f t="shared" si="0"/>
        <v>0</v>
      </c>
      <c r="AF8" s="854">
        <f t="shared" si="1"/>
        <v>6</v>
      </c>
      <c r="AG8" s="858">
        <v>144620.45000000001</v>
      </c>
      <c r="AH8" s="758">
        <f>'Seasonality Template'!K30</f>
        <v>151874.5</v>
      </c>
    </row>
    <row r="9" spans="1:39">
      <c r="A9" s="581" t="s">
        <v>176</v>
      </c>
      <c r="B9" s="582">
        <v>8671015.8200000003</v>
      </c>
      <c r="C9" s="583">
        <v>8662742.8300000001</v>
      </c>
      <c r="D9" s="865">
        <f t="shared" si="4"/>
        <v>-9.5409697914727398E-4</v>
      </c>
      <c r="E9" s="779">
        <f>C9/30</f>
        <v>288758.09433333331</v>
      </c>
      <c r="F9" s="785">
        <v>8844436.1364000011</v>
      </c>
      <c r="G9" s="782">
        <f t="shared" si="5"/>
        <v>-2.0543232332497417E-2</v>
      </c>
      <c r="H9" s="585"/>
      <c r="I9" s="586"/>
      <c r="J9" s="587" t="e">
        <f t="shared" si="2"/>
        <v>#DIV/0!</v>
      </c>
      <c r="K9" s="588" t="e">
        <f t="shared" si="3"/>
        <v>#DIV/0!</v>
      </c>
      <c r="L9" s="585"/>
      <c r="M9" s="586"/>
      <c r="N9" s="587" t="e">
        <f t="shared" si="6"/>
        <v>#DIV/0!</v>
      </c>
      <c r="O9" s="585"/>
      <c r="P9" s="586"/>
      <c r="Q9" s="587" t="e">
        <f t="shared" si="7"/>
        <v>#DIV/0!</v>
      </c>
      <c r="S9" s="842">
        <v>46180</v>
      </c>
      <c r="T9" s="758"/>
      <c r="U9" s="840"/>
      <c r="V9" s="758"/>
      <c r="W9" s="840"/>
      <c r="X9" s="758">
        <v>0</v>
      </c>
      <c r="Y9" s="840"/>
      <c r="Z9" s="758">
        <v>0</v>
      </c>
      <c r="AA9" s="840"/>
      <c r="AB9" s="758">
        <v>0</v>
      </c>
      <c r="AC9" s="840"/>
      <c r="AD9" s="840">
        <f t="shared" si="0"/>
        <v>0</v>
      </c>
      <c r="AF9" s="854">
        <f t="shared" si="1"/>
        <v>7</v>
      </c>
      <c r="AG9" s="858">
        <v>289779.90000000002</v>
      </c>
      <c r="AH9" s="758">
        <f>'Seasonality Template'!K31</f>
        <v>116543.95</v>
      </c>
    </row>
    <row r="10" spans="1:39">
      <c r="A10" s="581" t="s">
        <v>177</v>
      </c>
      <c r="B10" s="582">
        <v>9628816.1100000013</v>
      </c>
      <c r="C10" s="583">
        <v>12245563.200000001</v>
      </c>
      <c r="D10" s="865">
        <f t="shared" si="4"/>
        <v>0.27176207958550364</v>
      </c>
      <c r="E10" s="584">
        <f>C10/31</f>
        <v>395018.16774193553</v>
      </c>
      <c r="F10" s="783">
        <v>9821392.4299999997</v>
      </c>
      <c r="G10" s="590">
        <f t="shared" si="5"/>
        <v>0.24682556850037216</v>
      </c>
      <c r="H10" s="585"/>
      <c r="I10" s="586"/>
      <c r="J10" s="587" t="e">
        <f t="shared" si="2"/>
        <v>#DIV/0!</v>
      </c>
      <c r="K10" s="588" t="e">
        <f t="shared" si="3"/>
        <v>#DIV/0!</v>
      </c>
      <c r="L10" s="585"/>
      <c r="M10" s="586"/>
      <c r="N10" s="587" t="e">
        <f t="shared" si="6"/>
        <v>#DIV/0!</v>
      </c>
      <c r="O10" s="585"/>
      <c r="P10" s="586"/>
      <c r="Q10" s="587" t="e">
        <f t="shared" si="7"/>
        <v>#DIV/0!</v>
      </c>
      <c r="S10" s="842">
        <v>46181</v>
      </c>
      <c r="T10" s="758"/>
      <c r="U10" s="840"/>
      <c r="V10" s="758"/>
      <c r="W10" s="840"/>
      <c r="X10" s="758">
        <v>0</v>
      </c>
      <c r="Y10" s="840"/>
      <c r="Z10" s="758">
        <v>0</v>
      </c>
      <c r="AA10" s="840"/>
      <c r="AB10" s="758">
        <v>0</v>
      </c>
      <c r="AC10" s="840"/>
      <c r="AD10" s="840">
        <f t="shared" si="0"/>
        <v>0</v>
      </c>
      <c r="AF10" s="854">
        <f t="shared" si="1"/>
        <v>8</v>
      </c>
      <c r="AG10" s="858">
        <v>339025.15</v>
      </c>
      <c r="AH10" s="758">
        <f>'Seasonality Template'!K32</f>
        <v>146954.5</v>
      </c>
    </row>
    <row r="11" spans="1:39">
      <c r="A11" s="581" t="s">
        <v>178</v>
      </c>
      <c r="B11" s="582">
        <v>8122507.2700000005</v>
      </c>
      <c r="C11" s="583">
        <v>9382956.5500000007</v>
      </c>
      <c r="D11" s="865">
        <f t="shared" si="4"/>
        <v>0.15517982786613133</v>
      </c>
      <c r="E11" s="584">
        <f>C11/30</f>
        <v>312765.21833333338</v>
      </c>
      <c r="F11" s="589">
        <v>8284957.4199999999</v>
      </c>
      <c r="G11" s="591">
        <f t="shared" si="5"/>
        <v>0.13252924237720473</v>
      </c>
      <c r="H11" s="585"/>
      <c r="I11" s="586"/>
      <c r="J11" s="587" t="e">
        <f t="shared" si="2"/>
        <v>#DIV/0!</v>
      </c>
      <c r="K11" s="588" t="e">
        <f t="shared" si="3"/>
        <v>#DIV/0!</v>
      </c>
      <c r="L11" s="585"/>
      <c r="M11" s="586"/>
      <c r="N11" s="587" t="e">
        <f t="shared" si="6"/>
        <v>#DIV/0!</v>
      </c>
      <c r="O11" s="585"/>
      <c r="P11" s="586"/>
      <c r="Q11" s="587" t="e">
        <f t="shared" si="7"/>
        <v>#DIV/0!</v>
      </c>
      <c r="S11" s="842">
        <v>46182</v>
      </c>
      <c r="T11" s="758"/>
      <c r="U11" s="840"/>
      <c r="V11" s="758"/>
      <c r="W11" s="840"/>
      <c r="X11" s="758">
        <v>0</v>
      </c>
      <c r="Y11" s="840"/>
      <c r="Z11" s="758">
        <v>0</v>
      </c>
      <c r="AA11" s="840"/>
      <c r="AB11" s="758">
        <v>0</v>
      </c>
      <c r="AC11" s="840"/>
      <c r="AD11" s="840">
        <f t="shared" si="0"/>
        <v>0</v>
      </c>
      <c r="AF11" s="854">
        <f t="shared" si="1"/>
        <v>9</v>
      </c>
      <c r="AG11" s="858">
        <v>464626.39999999997</v>
      </c>
      <c r="AH11" s="758">
        <f>'Seasonality Template'!K33</f>
        <v>198378.74</v>
      </c>
    </row>
    <row r="12" spans="1:39">
      <c r="A12" s="581" t="s">
        <v>179</v>
      </c>
      <c r="B12" s="582">
        <v>7567179.5600000005</v>
      </c>
      <c r="C12" s="583">
        <v>8439094.7800000012</v>
      </c>
      <c r="D12" s="865">
        <f t="shared" si="4"/>
        <v>0.1152232761343383</v>
      </c>
      <c r="E12" s="584">
        <f>C12/31</f>
        <v>272228.86387096776</v>
      </c>
      <c r="F12" s="589">
        <v>8172553.9247999983</v>
      </c>
      <c r="G12" s="590">
        <f t="shared" si="5"/>
        <v>3.2614144568832049E-2</v>
      </c>
      <c r="H12" s="585"/>
      <c r="I12" s="586"/>
      <c r="J12" s="587" t="e">
        <f t="shared" si="2"/>
        <v>#DIV/0!</v>
      </c>
      <c r="K12" s="592" t="e">
        <f t="shared" si="3"/>
        <v>#DIV/0!</v>
      </c>
      <c r="L12" s="585"/>
      <c r="M12" s="586"/>
      <c r="N12" s="587" t="e">
        <f t="shared" si="6"/>
        <v>#DIV/0!</v>
      </c>
      <c r="O12" s="585"/>
      <c r="P12" s="586"/>
      <c r="Q12" s="587" t="e">
        <f t="shared" si="7"/>
        <v>#DIV/0!</v>
      </c>
      <c r="S12" s="842">
        <v>46183</v>
      </c>
      <c r="T12" s="758"/>
      <c r="U12" s="840"/>
      <c r="V12" s="758"/>
      <c r="W12" s="840"/>
      <c r="X12" s="758">
        <v>0</v>
      </c>
      <c r="Y12" s="840"/>
      <c r="Z12" s="758">
        <v>0</v>
      </c>
      <c r="AA12" s="840"/>
      <c r="AB12" s="758">
        <v>0</v>
      </c>
      <c r="AC12" s="840"/>
      <c r="AD12" s="840">
        <f t="shared" si="0"/>
        <v>0</v>
      </c>
      <c r="AF12" s="854">
        <f t="shared" si="1"/>
        <v>10</v>
      </c>
      <c r="AG12" s="858">
        <v>179218.65</v>
      </c>
      <c r="AH12" s="758">
        <f>'Seasonality Template'!K34</f>
        <v>316237.04000000004</v>
      </c>
    </row>
    <row r="13" spans="1:39">
      <c r="A13" s="581" t="s">
        <v>180</v>
      </c>
      <c r="B13" s="582">
        <v>8902324.6400000006</v>
      </c>
      <c r="C13" s="583">
        <v>8816130.8699999992</v>
      </c>
      <c r="D13" s="811">
        <f t="shared" si="4"/>
        <v>-9.6821643206219232E-3</v>
      </c>
      <c r="E13" s="584">
        <f>C13/31</f>
        <v>284391.31838709675</v>
      </c>
      <c r="F13" s="589">
        <v>9080371.1300000008</v>
      </c>
      <c r="G13" s="591">
        <f t="shared" si="5"/>
        <v>-2.9100160799264779E-2</v>
      </c>
      <c r="H13" s="585"/>
      <c r="I13" s="586"/>
      <c r="J13" s="593" t="e">
        <f t="shared" ref="J13:K17" si="8">SUM(I13-H13)/H13</f>
        <v>#DIV/0!</v>
      </c>
      <c r="K13" s="588" t="e">
        <f t="shared" si="8"/>
        <v>#DIV/0!</v>
      </c>
      <c r="L13" s="585"/>
      <c r="M13" s="586"/>
      <c r="N13" s="587" t="e">
        <f t="shared" si="6"/>
        <v>#DIV/0!</v>
      </c>
      <c r="O13" s="585"/>
      <c r="P13" s="586"/>
      <c r="Q13" s="587" t="e">
        <f t="shared" si="7"/>
        <v>#DIV/0!</v>
      </c>
      <c r="S13" s="842">
        <v>46184</v>
      </c>
      <c r="T13" s="758"/>
      <c r="U13" s="840"/>
      <c r="V13" s="758"/>
      <c r="W13" s="840"/>
      <c r="X13" s="758">
        <v>0</v>
      </c>
      <c r="Y13" s="840"/>
      <c r="Z13" s="758">
        <v>0</v>
      </c>
      <c r="AA13" s="840"/>
      <c r="AB13" s="758">
        <v>0</v>
      </c>
      <c r="AC13" s="840"/>
      <c r="AD13" s="840">
        <f t="shared" si="0"/>
        <v>0</v>
      </c>
      <c r="AF13" s="854">
        <f t="shared" si="1"/>
        <v>11</v>
      </c>
      <c r="AG13" s="858">
        <v>339323.1</v>
      </c>
      <c r="AH13" s="758">
        <f>'Seasonality Template'!K35</f>
        <v>315334.40000000002</v>
      </c>
    </row>
    <row r="14" spans="1:39">
      <c r="A14" s="581" t="s">
        <v>181</v>
      </c>
      <c r="B14" s="582"/>
      <c r="C14" s="583"/>
      <c r="D14" s="865" t="e">
        <f t="shared" si="4"/>
        <v>#DIV/0!</v>
      </c>
      <c r="E14" s="584">
        <f>C14/30</f>
        <v>0</v>
      </c>
      <c r="F14" s="589"/>
      <c r="G14" s="590" t="e">
        <f t="shared" si="5"/>
        <v>#DIV/0!</v>
      </c>
      <c r="H14" s="585"/>
      <c r="I14" s="586"/>
      <c r="J14" s="593" t="e">
        <f t="shared" si="8"/>
        <v>#DIV/0!</v>
      </c>
      <c r="K14" s="588" t="e">
        <f t="shared" si="8"/>
        <v>#DIV/0!</v>
      </c>
      <c r="L14" s="585"/>
      <c r="M14" s="586"/>
      <c r="N14" s="587" t="e">
        <f t="shared" si="6"/>
        <v>#DIV/0!</v>
      </c>
      <c r="O14" s="585"/>
      <c r="P14" s="586"/>
      <c r="Q14" s="587" t="e">
        <f t="shared" si="7"/>
        <v>#DIV/0!</v>
      </c>
      <c r="S14" s="842">
        <v>46185</v>
      </c>
      <c r="T14" s="758"/>
      <c r="U14" s="840"/>
      <c r="V14" s="758"/>
      <c r="W14" s="840"/>
      <c r="X14" s="758">
        <v>0</v>
      </c>
      <c r="Y14" s="840"/>
      <c r="Z14" s="758">
        <v>0</v>
      </c>
      <c r="AA14" s="840"/>
      <c r="AB14" s="758">
        <v>0</v>
      </c>
      <c r="AC14" s="840"/>
      <c r="AD14" s="840">
        <f t="shared" si="0"/>
        <v>0</v>
      </c>
      <c r="AF14" s="854">
        <f t="shared" si="1"/>
        <v>12</v>
      </c>
      <c r="AG14" s="858">
        <v>390524.1</v>
      </c>
      <c r="AH14" s="758">
        <f>'Seasonality Template'!K36</f>
        <v>158110</v>
      </c>
    </row>
    <row r="15" spans="1:39">
      <c r="A15" s="581" t="s">
        <v>182</v>
      </c>
      <c r="B15" s="582"/>
      <c r="C15" s="583"/>
      <c r="D15" s="811" t="e">
        <f t="shared" si="4"/>
        <v>#DIV/0!</v>
      </c>
      <c r="E15" s="584">
        <f>C15/31</f>
        <v>0</v>
      </c>
      <c r="F15" s="589"/>
      <c r="G15" s="591" t="e">
        <f t="shared" si="5"/>
        <v>#DIV/0!</v>
      </c>
      <c r="H15" s="585"/>
      <c r="I15" s="586"/>
      <c r="J15" s="593" t="e">
        <f t="shared" si="8"/>
        <v>#DIV/0!</v>
      </c>
      <c r="K15" s="588" t="e">
        <f t="shared" si="8"/>
        <v>#DIV/0!</v>
      </c>
      <c r="L15" s="585"/>
      <c r="M15" s="586"/>
      <c r="N15" s="593" t="e">
        <f t="shared" si="6"/>
        <v>#DIV/0!</v>
      </c>
      <c r="O15" s="585"/>
      <c r="P15" s="586"/>
      <c r="Q15" s="593" t="e">
        <f t="shared" si="7"/>
        <v>#DIV/0!</v>
      </c>
      <c r="S15" s="842">
        <v>46186</v>
      </c>
      <c r="T15" s="758"/>
      <c r="U15" s="840"/>
      <c r="V15" s="758"/>
      <c r="W15" s="840"/>
      <c r="X15" s="758">
        <v>0</v>
      </c>
      <c r="Y15" s="840"/>
      <c r="Z15" s="758">
        <v>0</v>
      </c>
      <c r="AA15" s="840"/>
      <c r="AB15" s="758">
        <v>0</v>
      </c>
      <c r="AC15" s="840"/>
      <c r="AD15" s="840">
        <f t="shared" si="0"/>
        <v>0</v>
      </c>
      <c r="AF15" s="854">
        <f t="shared" si="1"/>
        <v>13</v>
      </c>
      <c r="AG15" s="858">
        <v>174635.9</v>
      </c>
      <c r="AH15" s="758">
        <f>'Seasonality Template'!K37</f>
        <v>0</v>
      </c>
    </row>
    <row r="16" spans="1:39">
      <c r="A16" s="581" t="s">
        <v>183</v>
      </c>
      <c r="B16" s="582"/>
      <c r="C16" s="583"/>
      <c r="D16" s="811" t="e">
        <f t="shared" si="4"/>
        <v>#DIV/0!</v>
      </c>
      <c r="E16" s="584">
        <f>C16/30</f>
        <v>0</v>
      </c>
      <c r="F16" s="589"/>
      <c r="G16" s="591" t="e">
        <f t="shared" si="5"/>
        <v>#DIV/0!</v>
      </c>
      <c r="H16" s="585"/>
      <c r="I16" s="586"/>
      <c r="J16" s="593" t="e">
        <f t="shared" si="8"/>
        <v>#DIV/0!</v>
      </c>
      <c r="K16" s="588" t="e">
        <f t="shared" si="8"/>
        <v>#DIV/0!</v>
      </c>
      <c r="L16" s="585"/>
      <c r="M16" s="586"/>
      <c r="N16" s="593" t="e">
        <f t="shared" si="6"/>
        <v>#DIV/0!</v>
      </c>
      <c r="O16" s="585"/>
      <c r="P16" s="586"/>
      <c r="Q16" s="593" t="e">
        <f t="shared" si="7"/>
        <v>#DIV/0!</v>
      </c>
      <c r="S16" s="842">
        <v>46187</v>
      </c>
      <c r="T16" s="758"/>
      <c r="U16" s="840"/>
      <c r="V16" s="758"/>
      <c r="W16" s="840"/>
      <c r="X16" s="758">
        <v>0</v>
      </c>
      <c r="Y16" s="840"/>
      <c r="Z16" s="758">
        <v>0</v>
      </c>
      <c r="AA16" s="840"/>
      <c r="AB16" s="758">
        <v>0</v>
      </c>
      <c r="AC16" s="840"/>
      <c r="AD16" s="840">
        <f t="shared" si="0"/>
        <v>0</v>
      </c>
      <c r="AF16" s="854">
        <f t="shared" si="1"/>
        <v>14</v>
      </c>
      <c r="AG16" s="858">
        <v>282473.5</v>
      </c>
      <c r="AH16" s="758">
        <f>'Seasonality Template'!K38</f>
        <v>0</v>
      </c>
    </row>
    <row r="17" spans="1:34" ht="15" thickBot="1">
      <c r="A17" s="594" t="s">
        <v>184</v>
      </c>
      <c r="B17" s="582"/>
      <c r="C17" s="595"/>
      <c r="D17" s="812" t="e">
        <f t="shared" si="4"/>
        <v>#DIV/0!</v>
      </c>
      <c r="E17" s="596">
        <f>C17/31</f>
        <v>0</v>
      </c>
      <c r="F17" s="589"/>
      <c r="G17" s="597" t="e">
        <f t="shared" si="5"/>
        <v>#DIV/0!</v>
      </c>
      <c r="H17" s="598"/>
      <c r="I17" s="599"/>
      <c r="J17" s="600" t="e">
        <f t="shared" si="8"/>
        <v>#DIV/0!</v>
      </c>
      <c r="K17" s="601" t="e">
        <f t="shared" si="8"/>
        <v>#DIV/0!</v>
      </c>
      <c r="L17" s="598"/>
      <c r="M17" s="599"/>
      <c r="N17" s="600" t="e">
        <f t="shared" si="6"/>
        <v>#DIV/0!</v>
      </c>
      <c r="O17" s="598"/>
      <c r="P17" s="599"/>
      <c r="Q17" s="600" t="e">
        <f t="shared" si="7"/>
        <v>#DIV/0!</v>
      </c>
      <c r="S17" s="842">
        <v>46188</v>
      </c>
      <c r="T17" s="758"/>
      <c r="U17" s="840"/>
      <c r="V17" s="758"/>
      <c r="W17" s="840"/>
      <c r="X17" s="758">
        <v>0</v>
      </c>
      <c r="Y17" s="840"/>
      <c r="Z17" s="758">
        <v>0</v>
      </c>
      <c r="AA17" s="840"/>
      <c r="AB17" s="758">
        <v>0</v>
      </c>
      <c r="AC17" s="840"/>
      <c r="AD17" s="840">
        <f t="shared" si="0"/>
        <v>0</v>
      </c>
      <c r="AF17" s="854">
        <f t="shared" si="1"/>
        <v>15</v>
      </c>
      <c r="AG17" s="858">
        <v>338744.25</v>
      </c>
      <c r="AH17" s="758">
        <f>'Seasonality Template'!K39</f>
        <v>0</v>
      </c>
    </row>
    <row r="18" spans="1:34" ht="15" thickBot="1">
      <c r="A18" s="602" t="s">
        <v>185</v>
      </c>
      <c r="B18" s="603">
        <f>SUM(B6:B17)</f>
        <v>66646435.180000007</v>
      </c>
      <c r="C18" s="603">
        <f>SUM(C6:C17)</f>
        <v>70939279.730000019</v>
      </c>
      <c r="D18" s="604">
        <f t="shared" si="4"/>
        <v>6.4412215573208267E-2</v>
      </c>
      <c r="E18" s="605"/>
      <c r="F18" s="603">
        <f>SUM(F6:F17)</f>
        <v>68773230.5317</v>
      </c>
      <c r="G18" s="606">
        <f t="shared" si="5"/>
        <v>3.1495527860969257E-2</v>
      </c>
      <c r="H18" s="603">
        <f>SUM(H6:H17)</f>
        <v>0</v>
      </c>
      <c r="I18" s="603">
        <f>SUM(I6:I17)</f>
        <v>0</v>
      </c>
      <c r="J18" s="607" t="e">
        <f>I18/H18</f>
        <v>#DIV/0!</v>
      </c>
      <c r="K18" s="608" t="e">
        <f>SUM(I18-H18)/H18</f>
        <v>#DIV/0!</v>
      </c>
      <c r="L18" s="603">
        <f>SUM(L6:L17)</f>
        <v>0</v>
      </c>
      <c r="M18" s="603">
        <f>SUM(M6:M17)</f>
        <v>0</v>
      </c>
      <c r="N18" s="604" t="e">
        <f t="shared" si="6"/>
        <v>#DIV/0!</v>
      </c>
      <c r="O18" s="603">
        <f>SUM(O6:O17)</f>
        <v>0</v>
      </c>
      <c r="P18" s="603">
        <f>SUM(P6:P17)</f>
        <v>0</v>
      </c>
      <c r="Q18" s="604" t="e">
        <f t="shared" si="7"/>
        <v>#DIV/0!</v>
      </c>
      <c r="S18" s="842">
        <v>46189</v>
      </c>
      <c r="T18" s="758"/>
      <c r="U18" s="840"/>
      <c r="V18" s="758"/>
      <c r="W18" s="840"/>
      <c r="X18" s="758">
        <v>0</v>
      </c>
      <c r="Y18" s="840"/>
      <c r="Z18" s="758">
        <v>0</v>
      </c>
      <c r="AA18" s="840"/>
      <c r="AB18" s="758">
        <v>0</v>
      </c>
      <c r="AC18" s="840"/>
      <c r="AD18" s="840">
        <f t="shared" si="0"/>
        <v>0</v>
      </c>
      <c r="AF18" s="854">
        <f t="shared" si="1"/>
        <v>16</v>
      </c>
      <c r="AG18" s="858">
        <v>332637.51</v>
      </c>
      <c r="AH18" s="758">
        <f>'Seasonality Template'!K40</f>
        <v>0</v>
      </c>
    </row>
    <row r="19" spans="1:34">
      <c r="C19" s="609"/>
      <c r="D19" s="610"/>
      <c r="F19" s="611"/>
      <c r="I19" s="611"/>
      <c r="S19" s="842">
        <v>46190</v>
      </c>
      <c r="T19" s="758"/>
      <c r="U19" s="840"/>
      <c r="V19" s="758"/>
      <c r="W19" s="840"/>
      <c r="X19" s="758">
        <v>0</v>
      </c>
      <c r="Y19" s="840"/>
      <c r="Z19" s="758">
        <v>0</v>
      </c>
      <c r="AA19" s="840"/>
      <c r="AB19" s="758">
        <v>0</v>
      </c>
      <c r="AC19" s="840"/>
      <c r="AD19" s="840">
        <f t="shared" si="0"/>
        <v>0</v>
      </c>
      <c r="AF19" s="854">
        <f t="shared" si="1"/>
        <v>17</v>
      </c>
      <c r="AG19" s="858">
        <v>398667.45</v>
      </c>
      <c r="AH19" s="758">
        <f>'Seasonality Template'!K41</f>
        <v>0</v>
      </c>
    </row>
    <row r="20" spans="1:34">
      <c r="C20" s="612"/>
      <c r="S20" s="842">
        <v>46191</v>
      </c>
      <c r="T20" s="758"/>
      <c r="U20" s="840"/>
      <c r="V20" s="758"/>
      <c r="W20" s="840"/>
      <c r="X20" s="758">
        <v>0</v>
      </c>
      <c r="Y20" s="840"/>
      <c r="Z20" s="758">
        <v>0</v>
      </c>
      <c r="AA20" s="840"/>
      <c r="AB20" s="758">
        <v>0</v>
      </c>
      <c r="AC20" s="840"/>
      <c r="AD20" s="840">
        <f t="shared" si="0"/>
        <v>0</v>
      </c>
      <c r="AF20" s="854">
        <f t="shared" si="1"/>
        <v>18</v>
      </c>
      <c r="AG20" s="858">
        <v>230528.25</v>
      </c>
      <c r="AH20" s="758">
        <f>'Seasonality Template'!K42</f>
        <v>0</v>
      </c>
    </row>
    <row r="21" spans="1:34">
      <c r="B21" s="144"/>
      <c r="C21" s="613"/>
      <c r="D21" s="614"/>
      <c r="S21" s="842">
        <v>46192</v>
      </c>
      <c r="T21" s="758"/>
      <c r="U21" s="840"/>
      <c r="V21" s="758"/>
      <c r="W21" s="840"/>
      <c r="X21" s="758">
        <v>0</v>
      </c>
      <c r="Y21" s="840"/>
      <c r="Z21" s="758">
        <v>0</v>
      </c>
      <c r="AA21" s="840"/>
      <c r="AB21" s="758">
        <v>0</v>
      </c>
      <c r="AC21" s="840"/>
      <c r="AD21" s="840">
        <f t="shared" si="0"/>
        <v>0</v>
      </c>
      <c r="AF21" s="854">
        <f t="shared" si="1"/>
        <v>19</v>
      </c>
      <c r="AG21" s="858">
        <v>162747.75</v>
      </c>
      <c r="AH21" s="758">
        <f>'Seasonality Template'!K43</f>
        <v>0</v>
      </c>
    </row>
    <row r="22" spans="1:34">
      <c r="S22" s="842">
        <v>46193</v>
      </c>
      <c r="T22" s="758"/>
      <c r="U22" s="840"/>
      <c r="V22" s="758"/>
      <c r="W22" s="840"/>
      <c r="X22" s="758">
        <v>0</v>
      </c>
      <c r="Y22" s="840"/>
      <c r="Z22" s="758">
        <v>0</v>
      </c>
      <c r="AA22" s="840"/>
      <c r="AB22" s="758">
        <v>0</v>
      </c>
      <c r="AC22" s="840"/>
      <c r="AD22" s="840">
        <f t="shared" si="0"/>
        <v>0</v>
      </c>
      <c r="AF22" s="854">
        <f t="shared" si="1"/>
        <v>20</v>
      </c>
      <c r="AG22" s="858">
        <v>230972</v>
      </c>
      <c r="AH22" s="758">
        <f>'Seasonality Template'!K44</f>
        <v>0</v>
      </c>
    </row>
    <row r="23" spans="1:34">
      <c r="S23" s="842">
        <v>46194</v>
      </c>
      <c r="T23" s="758"/>
      <c r="U23" s="840"/>
      <c r="V23" s="758"/>
      <c r="W23" s="840"/>
      <c r="X23" s="758">
        <v>0</v>
      </c>
      <c r="Y23" s="840"/>
      <c r="Z23" s="758">
        <v>0</v>
      </c>
      <c r="AA23" s="840"/>
      <c r="AB23" s="758">
        <v>0</v>
      </c>
      <c r="AC23" s="840"/>
      <c r="AD23" s="840">
        <f t="shared" si="0"/>
        <v>0</v>
      </c>
      <c r="AF23" s="854">
        <f t="shared" si="1"/>
        <v>21</v>
      </c>
      <c r="AG23" s="858">
        <v>481391.22</v>
      </c>
      <c r="AH23" s="758">
        <f>'Seasonality Template'!K45</f>
        <v>0</v>
      </c>
    </row>
    <row r="24" spans="1:34">
      <c r="S24" s="842">
        <v>46195</v>
      </c>
      <c r="T24" s="758"/>
      <c r="U24" s="840"/>
      <c r="V24" s="758"/>
      <c r="W24" s="840"/>
      <c r="X24" s="758">
        <v>0</v>
      </c>
      <c r="Y24" s="840"/>
      <c r="Z24" s="758">
        <v>0</v>
      </c>
      <c r="AA24" s="840"/>
      <c r="AB24" s="758">
        <v>0</v>
      </c>
      <c r="AC24" s="840"/>
      <c r="AD24" s="840">
        <f t="shared" si="0"/>
        <v>0</v>
      </c>
      <c r="AF24" s="854">
        <f t="shared" si="1"/>
        <v>22</v>
      </c>
      <c r="AG24" s="858">
        <v>420071.27</v>
      </c>
      <c r="AH24" s="758">
        <f>'Seasonality Template'!K46</f>
        <v>0</v>
      </c>
    </row>
    <row r="25" spans="1:34">
      <c r="S25" s="842">
        <v>46196</v>
      </c>
      <c r="T25" s="758"/>
      <c r="U25" s="840"/>
      <c r="V25" s="758"/>
      <c r="W25" s="840"/>
      <c r="X25" s="758">
        <v>0</v>
      </c>
      <c r="Y25" s="840"/>
      <c r="Z25" s="758">
        <v>0</v>
      </c>
      <c r="AA25" s="840"/>
      <c r="AB25" s="758">
        <v>0</v>
      </c>
      <c r="AC25" s="840"/>
      <c r="AD25" s="840">
        <f t="shared" si="0"/>
        <v>0</v>
      </c>
      <c r="AF25" s="854">
        <f t="shared" si="1"/>
        <v>23</v>
      </c>
      <c r="AG25" s="858">
        <v>573680.65</v>
      </c>
      <c r="AH25" s="758">
        <f>'Seasonality Template'!K47</f>
        <v>0</v>
      </c>
    </row>
    <row r="26" spans="1:34">
      <c r="S26" s="842">
        <v>46197</v>
      </c>
      <c r="T26" s="758"/>
      <c r="U26" s="840"/>
      <c r="V26" s="758"/>
      <c r="W26" s="840"/>
      <c r="X26" s="758">
        <v>0</v>
      </c>
      <c r="Y26" s="840"/>
      <c r="Z26" s="758">
        <v>0</v>
      </c>
      <c r="AA26" s="840"/>
      <c r="AB26" s="758">
        <v>0</v>
      </c>
      <c r="AC26" s="840"/>
      <c r="AD26" s="840">
        <f t="shared" si="0"/>
        <v>0</v>
      </c>
      <c r="AF26" s="854">
        <f t="shared" si="1"/>
        <v>24</v>
      </c>
      <c r="AG26" s="858">
        <v>146015.5</v>
      </c>
      <c r="AH26" s="758">
        <f>'Seasonality Template'!K48</f>
        <v>0</v>
      </c>
    </row>
    <row r="27" spans="1:34">
      <c r="S27" s="842">
        <v>46198</v>
      </c>
      <c r="T27" s="758"/>
      <c r="U27" s="840"/>
      <c r="V27" s="758"/>
      <c r="W27" s="840"/>
      <c r="X27" s="758">
        <v>0</v>
      </c>
      <c r="Y27" s="840"/>
      <c r="Z27" s="758">
        <v>0</v>
      </c>
      <c r="AA27" s="840"/>
      <c r="AB27" s="758">
        <v>0</v>
      </c>
      <c r="AC27" s="840"/>
      <c r="AD27" s="840">
        <f t="shared" si="0"/>
        <v>0</v>
      </c>
      <c r="AF27" s="854">
        <f t="shared" si="1"/>
        <v>25</v>
      </c>
      <c r="AG27" s="858">
        <v>199972.25</v>
      </c>
      <c r="AH27" s="758">
        <f>'Seasonality Template'!K49</f>
        <v>0</v>
      </c>
    </row>
    <row r="28" spans="1:34">
      <c r="S28" s="842">
        <v>46199</v>
      </c>
      <c r="T28" s="758"/>
      <c r="U28" s="840"/>
      <c r="V28" s="758"/>
      <c r="W28" s="840"/>
      <c r="X28" s="758">
        <v>0</v>
      </c>
      <c r="Y28" s="840"/>
      <c r="Z28" s="758">
        <v>0</v>
      </c>
      <c r="AA28" s="840"/>
      <c r="AB28" s="758">
        <v>0</v>
      </c>
      <c r="AC28" s="840"/>
      <c r="AD28" s="840">
        <f t="shared" si="0"/>
        <v>0</v>
      </c>
      <c r="AF28" s="854">
        <f t="shared" si="1"/>
        <v>26</v>
      </c>
      <c r="AG28" s="858">
        <v>177897.85</v>
      </c>
      <c r="AH28" s="758">
        <f>'Seasonality Template'!K50</f>
        <v>0</v>
      </c>
    </row>
    <row r="29" spans="1:34">
      <c r="S29" s="842">
        <v>46200</v>
      </c>
      <c r="T29" s="758"/>
      <c r="U29" s="840"/>
      <c r="V29" s="758"/>
      <c r="W29" s="840"/>
      <c r="X29" s="758">
        <v>0</v>
      </c>
      <c r="Y29" s="840"/>
      <c r="Z29" s="758">
        <v>0</v>
      </c>
      <c r="AA29" s="840"/>
      <c r="AB29" s="758">
        <v>0</v>
      </c>
      <c r="AC29" s="840"/>
      <c r="AD29" s="840">
        <f t="shared" si="0"/>
        <v>0</v>
      </c>
      <c r="AF29" s="854">
        <f t="shared" si="1"/>
        <v>27</v>
      </c>
      <c r="AG29" s="858">
        <v>202092.32</v>
      </c>
      <c r="AH29" s="758">
        <f>'Seasonality Template'!K51</f>
        <v>0</v>
      </c>
    </row>
    <row r="30" spans="1:34">
      <c r="S30" s="842">
        <v>46201</v>
      </c>
      <c r="T30" s="758"/>
      <c r="U30" s="840"/>
      <c r="V30" s="758"/>
      <c r="W30" s="840"/>
      <c r="X30" s="758">
        <v>0</v>
      </c>
      <c r="Y30" s="840"/>
      <c r="Z30" s="758">
        <v>0</v>
      </c>
      <c r="AA30" s="840"/>
      <c r="AB30" s="758">
        <v>0</v>
      </c>
      <c r="AC30" s="840"/>
      <c r="AD30" s="840">
        <f t="shared" si="0"/>
        <v>0</v>
      </c>
      <c r="AF30" s="854">
        <f t="shared" si="1"/>
        <v>28</v>
      </c>
      <c r="AG30" s="858">
        <v>377306.9</v>
      </c>
      <c r="AH30" s="758">
        <f>'Seasonality Template'!K52</f>
        <v>0</v>
      </c>
    </row>
    <row r="31" spans="1:34">
      <c r="S31" s="842">
        <v>46202</v>
      </c>
      <c r="T31" s="758"/>
      <c r="U31" s="840"/>
      <c r="V31" s="758"/>
      <c r="W31" s="840"/>
      <c r="X31" s="758">
        <v>0</v>
      </c>
      <c r="Y31" s="840"/>
      <c r="Z31" s="758">
        <v>0</v>
      </c>
      <c r="AA31" s="840"/>
      <c r="AB31" s="758">
        <v>0</v>
      </c>
      <c r="AC31" s="840"/>
      <c r="AD31" s="840">
        <f t="shared" si="0"/>
        <v>0</v>
      </c>
      <c r="AF31" s="854">
        <f t="shared" si="1"/>
        <v>29</v>
      </c>
      <c r="AG31" s="858">
        <v>450264.65</v>
      </c>
      <c r="AH31" s="758">
        <f>'Seasonality Template'!K53</f>
        <v>0</v>
      </c>
    </row>
    <row r="32" spans="1:34">
      <c r="S32" s="842">
        <v>46203</v>
      </c>
      <c r="T32" s="758">
        <v>3687</v>
      </c>
      <c r="U32" s="840">
        <v>4</v>
      </c>
      <c r="V32" s="758">
        <v>7340</v>
      </c>
      <c r="W32" s="840">
        <v>4</v>
      </c>
      <c r="X32" s="758">
        <v>0</v>
      </c>
      <c r="Y32" s="840"/>
      <c r="Z32" s="758">
        <v>0</v>
      </c>
      <c r="AA32" s="840"/>
      <c r="AB32" s="758">
        <v>0</v>
      </c>
      <c r="AC32" s="840"/>
      <c r="AD32" s="840">
        <f t="shared" si="0"/>
        <v>8</v>
      </c>
      <c r="AF32" s="854">
        <f t="shared" si="1"/>
        <v>30</v>
      </c>
      <c r="AG32" s="858">
        <v>471876</v>
      </c>
      <c r="AH32" s="758">
        <f>'Seasonality Template'!K54</f>
        <v>0</v>
      </c>
    </row>
    <row r="33" spans="19:34">
      <c r="S33" s="842"/>
      <c r="T33" s="758">
        <f>SUM(T3:T32)</f>
        <v>1869649</v>
      </c>
      <c r="U33" s="758">
        <f t="shared" ref="U33:W33" si="9">SUM(U3:U32)</f>
        <v>522</v>
      </c>
      <c r="V33" s="758">
        <f t="shared" si="9"/>
        <v>1203910</v>
      </c>
      <c r="W33" s="758">
        <f t="shared" si="9"/>
        <v>351</v>
      </c>
      <c r="X33" s="758">
        <v>0</v>
      </c>
      <c r="Y33" s="840"/>
      <c r="Z33" s="758">
        <v>0</v>
      </c>
      <c r="AA33" s="840"/>
      <c r="AB33" s="758">
        <v>0</v>
      </c>
      <c r="AC33" s="840"/>
      <c r="AD33" s="840">
        <f t="shared" si="0"/>
        <v>873</v>
      </c>
      <c r="AF33" s="854">
        <f t="shared" si="1"/>
        <v>31</v>
      </c>
      <c r="AG33" s="857"/>
      <c r="AH33" s="758">
        <f>'Seasonality Template'!K55</f>
        <v>0</v>
      </c>
    </row>
    <row r="34" spans="19:34">
      <c r="T34" s="848"/>
      <c r="V34" s="848"/>
      <c r="X34" s="848"/>
      <c r="Z34" s="848"/>
      <c r="AB34" s="848"/>
      <c r="AD34" s="844">
        <f>SUM(AD3:AD33)</f>
        <v>1746</v>
      </c>
      <c r="AH34" s="113">
        <f>SUM(AH3:AH33)</f>
        <v>2655900.6</v>
      </c>
    </row>
  </sheetData>
  <protectedRanges>
    <protectedRange sqref="AG3:AG32" name="Range1"/>
  </protectedRanges>
  <mergeCells count="15">
    <mergeCell ref="A1:D1"/>
    <mergeCell ref="A2:B2"/>
    <mergeCell ref="B4:C4"/>
    <mergeCell ref="L4:M4"/>
    <mergeCell ref="H4:I4"/>
    <mergeCell ref="A4:A5"/>
    <mergeCell ref="D4:D5"/>
    <mergeCell ref="F4:F5"/>
    <mergeCell ref="AJ2:AM2"/>
    <mergeCell ref="AL3:AM4"/>
    <mergeCell ref="J4:J5"/>
    <mergeCell ref="K4:K5"/>
    <mergeCell ref="O4:P4"/>
    <mergeCell ref="Q4:Q5"/>
    <mergeCell ref="N4:N5"/>
  </mergeCells>
  <conditionalFormatting sqref="AL3:AM4">
    <cfRule type="cellIs" dxfId="1" priority="3" operator="greaterThan">
      <formula>1</formula>
    </cfRule>
    <cfRule type="cellIs" dxfId="0" priority="4" operator="lessThan">
      <formula>1</formula>
    </cfRule>
  </conditionalFormatting>
  <pageMargins left="0.7" right="0.7" top="0.75" bottom="0.75" header="0.3" footer="0.3"/>
  <pageSetup orientation="portrait" horizontalDpi="120" verticalDpi="72"/>
  <legacy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AFB8D0DC-95FC-4061-BEC0-7890859A1683}">
            <xm:f>NOT(ISERROR(SEARCH("-",D6)))</xm:f>
            <xm:f>"-"</xm:f>
            <x14:dxf>
              <font>
                <color rgb="FF9C0006"/>
              </font>
              <fill>
                <patternFill>
                  <bgColor rgb="FFFFC7CE"/>
                </patternFill>
              </fill>
            </x14:dxf>
          </x14:cfRule>
          <xm:sqref>D6:D17</xm:sqref>
        </x14:conditionalFormatting>
        <x14:conditionalFormatting xmlns:xm="http://schemas.microsoft.com/office/excel/2006/main">
          <x14:cfRule type="containsText" priority="1" operator="containsText" id="{2B9656B4-B645-49CF-BFC6-FC42C3214E22}">
            <xm:f>NOT(ISERROR(SEARCH("-",G6)))</xm:f>
            <xm:f>"-"</xm:f>
            <x14:dxf>
              <font>
                <color rgb="FF9C0006"/>
              </font>
              <fill>
                <patternFill>
                  <bgColor rgb="FFFFC7CE"/>
                </patternFill>
              </fill>
            </x14:dxf>
          </x14:cfRule>
          <xm:sqref>G6:G17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V20"/>
  <sheetViews>
    <sheetView workbookViewId="0">
      <selection activeCell="O25" sqref="O25"/>
    </sheetView>
  </sheetViews>
  <sheetFormatPr defaultColWidth="9" defaultRowHeight="14.4"/>
  <cols>
    <col min="1" max="1" width="7.109375" customWidth="1"/>
    <col min="2" max="3" width="9.109375" customWidth="1"/>
    <col min="12" max="12" width="13" customWidth="1"/>
    <col min="13" max="13" width="11" style="5" customWidth="1"/>
    <col min="17" max="19" width="0" hidden="1" customWidth="1"/>
  </cols>
  <sheetData>
    <row r="1" spans="1:22" ht="15.6">
      <c r="A1" s="984" t="s">
        <v>163</v>
      </c>
      <c r="B1" s="984"/>
      <c r="C1" s="984"/>
      <c r="D1" s="984"/>
      <c r="E1" s="984"/>
      <c r="F1" s="984"/>
    </row>
    <row r="2" spans="1:22" ht="15.6">
      <c r="A2" s="985" t="s">
        <v>251</v>
      </c>
      <c r="B2" s="984"/>
      <c r="C2" s="984"/>
      <c r="D2" s="565"/>
    </row>
    <row r="3" spans="1:22" ht="16.2" thickBot="1">
      <c r="A3" s="566"/>
      <c r="B3" s="566"/>
      <c r="C3" s="566"/>
      <c r="D3" s="565"/>
    </row>
    <row r="4" spans="1:22">
      <c r="A4" s="991" t="s">
        <v>164</v>
      </c>
      <c r="B4" s="986" t="s">
        <v>186</v>
      </c>
      <c r="C4" s="983"/>
      <c r="D4" s="978" t="s">
        <v>141</v>
      </c>
      <c r="E4" s="987" t="s">
        <v>187</v>
      </c>
      <c r="F4" s="983"/>
      <c r="G4" s="978" t="s">
        <v>141</v>
      </c>
      <c r="H4" s="987" t="s">
        <v>188</v>
      </c>
      <c r="I4" s="983"/>
      <c r="J4" s="978" t="s">
        <v>141</v>
      </c>
      <c r="K4" s="987" t="s">
        <v>189</v>
      </c>
      <c r="L4" s="983"/>
      <c r="M4" s="978" t="s">
        <v>141</v>
      </c>
      <c r="N4" s="987" t="s">
        <v>190</v>
      </c>
      <c r="O4" s="983"/>
      <c r="P4" s="978" t="s">
        <v>141</v>
      </c>
      <c r="Q4" s="987" t="s">
        <v>191</v>
      </c>
      <c r="R4" s="983"/>
      <c r="S4" s="980" t="s">
        <v>141</v>
      </c>
      <c r="T4" s="993" t="s">
        <v>238</v>
      </c>
      <c r="U4" s="994"/>
      <c r="V4" s="995" t="s">
        <v>141</v>
      </c>
    </row>
    <row r="5" spans="1:22" ht="15" thickBot="1">
      <c r="A5" s="992"/>
      <c r="B5" s="570">
        <v>2024</v>
      </c>
      <c r="C5" s="571">
        <v>2025</v>
      </c>
      <c r="D5" s="979"/>
      <c r="E5" s="570">
        <v>2024</v>
      </c>
      <c r="F5" s="571">
        <v>2025</v>
      </c>
      <c r="G5" s="979"/>
      <c r="H5" s="570">
        <v>2024</v>
      </c>
      <c r="I5" s="571">
        <v>2025</v>
      </c>
      <c r="J5" s="979"/>
      <c r="K5" s="570">
        <v>2024</v>
      </c>
      <c r="L5" s="571">
        <v>2025</v>
      </c>
      <c r="M5" s="979"/>
      <c r="N5" s="570">
        <v>2024</v>
      </c>
      <c r="O5" s="571">
        <v>2025</v>
      </c>
      <c r="P5" s="979"/>
      <c r="Q5" s="570">
        <v>2024</v>
      </c>
      <c r="R5" s="571">
        <v>2025</v>
      </c>
      <c r="S5" s="981"/>
      <c r="T5" s="830">
        <v>2024</v>
      </c>
      <c r="U5" s="831">
        <v>2025</v>
      </c>
      <c r="V5" s="996"/>
    </row>
    <row r="6" spans="1:22">
      <c r="A6" s="615" t="s">
        <v>173</v>
      </c>
      <c r="B6" s="616">
        <v>13794</v>
      </c>
      <c r="C6" s="617">
        <v>9018</v>
      </c>
      <c r="D6" s="804">
        <f>SUM(C6-B6)/B6</f>
        <v>-0.34623749456285341</v>
      </c>
      <c r="E6" s="616">
        <v>2134</v>
      </c>
      <c r="F6" s="617">
        <v>1552</v>
      </c>
      <c r="G6" s="804">
        <f>SUM(F6-E6)/E6</f>
        <v>-0.27272727272727271</v>
      </c>
      <c r="H6" s="618">
        <f>'YTD-SALES'!B6/'YTD RETAIL DRIVERS'!E6</f>
        <v>3401.8297047797569</v>
      </c>
      <c r="I6" s="618">
        <f>'YTD-SALES'!C6/'YTD RETAIL DRIVERS'!F6</f>
        <v>4684.8089884020619</v>
      </c>
      <c r="J6" s="804">
        <f>SUM(I6-H6)/H6</f>
        <v>0.37714388871954668</v>
      </c>
      <c r="K6" s="813">
        <f>E6/B6</f>
        <v>0.1547049441786284</v>
      </c>
      <c r="L6" s="813">
        <f>F6/C6</f>
        <v>0.17210024395653137</v>
      </c>
      <c r="M6" s="818">
        <f>L6-K6</f>
        <v>1.7395299777902967E-2</v>
      </c>
      <c r="N6" s="619">
        <v>145</v>
      </c>
      <c r="O6" s="620">
        <v>85</v>
      </c>
      <c r="P6" s="804">
        <f>SUM(O6-N6)/N6</f>
        <v>-0.41379310344827586</v>
      </c>
      <c r="Q6" s="619">
        <v>0</v>
      </c>
      <c r="R6" s="620">
        <v>0</v>
      </c>
      <c r="S6" s="621" t="e">
        <f>SUM(R6-Q6)/Q6</f>
        <v>#DIV/0!</v>
      </c>
      <c r="T6" s="832">
        <v>484</v>
      </c>
      <c r="U6" s="833">
        <v>598</v>
      </c>
      <c r="V6" s="834">
        <f>SUM(U6-T6)/T6</f>
        <v>0.23553719008264462</v>
      </c>
    </row>
    <row r="7" spans="1:22">
      <c r="A7" s="622" t="s">
        <v>174</v>
      </c>
      <c r="B7" s="616">
        <v>11193</v>
      </c>
      <c r="C7" s="623">
        <v>10087</v>
      </c>
      <c r="D7" s="805">
        <f t="shared" ref="D7:D18" si="0">SUM(C7-B7)/B7</f>
        <v>-9.8811757348342716E-2</v>
      </c>
      <c r="E7" s="616">
        <v>1677</v>
      </c>
      <c r="F7" s="623">
        <v>1626</v>
      </c>
      <c r="G7" s="805">
        <f t="shared" ref="G7:G18" si="1">SUM(F7-E7)/E7</f>
        <v>-3.041144901610018E-2</v>
      </c>
      <c r="H7" s="624">
        <f>'YTD-SALES'!B7/'YTD RETAIL DRIVERS'!E7</f>
        <v>3894.8241204531896</v>
      </c>
      <c r="I7" s="624">
        <f>'YTD-SALES'!C7/'YTD RETAIL DRIVERS'!F7</f>
        <v>4335.8581057810588</v>
      </c>
      <c r="J7" s="805">
        <f t="shared" ref="J7:J18" si="2">SUM(I7-H7)/H7</f>
        <v>0.11323591815400175</v>
      </c>
      <c r="K7" s="814">
        <f>E7/B7</f>
        <v>0.14982578397212543</v>
      </c>
      <c r="L7" s="814">
        <f t="shared" ref="L7:L18" si="3">F7/C7</f>
        <v>0.16119758104490928</v>
      </c>
      <c r="M7" s="819">
        <f t="shared" ref="M7:M18" si="4">L7-K7</f>
        <v>1.1371797072783851E-2</v>
      </c>
      <c r="N7" s="625">
        <v>102</v>
      </c>
      <c r="O7" s="626">
        <v>63</v>
      </c>
      <c r="P7" s="805">
        <f t="shared" ref="P7:P18" si="5">SUM(O7-N7)/N7</f>
        <v>-0.38235294117647056</v>
      </c>
      <c r="Q7" s="625">
        <v>0</v>
      </c>
      <c r="R7" s="626">
        <v>0</v>
      </c>
      <c r="S7" s="627" t="e">
        <f t="shared" ref="S7:S18" si="6">SUM(R7-Q7)/Q7</f>
        <v>#DIV/0!</v>
      </c>
      <c r="T7" s="835">
        <v>502</v>
      </c>
      <c r="U7" s="833">
        <v>694</v>
      </c>
      <c r="V7" s="834">
        <f t="shared" ref="V7:V17" si="7">SUM(U7-T7)/T7</f>
        <v>0.38247011952191234</v>
      </c>
    </row>
    <row r="8" spans="1:22">
      <c r="A8" s="622" t="s">
        <v>175</v>
      </c>
      <c r="B8" s="616">
        <v>11550</v>
      </c>
      <c r="C8" s="623">
        <v>14437</v>
      </c>
      <c r="D8" s="805">
        <f t="shared" si="0"/>
        <v>0.24995670995670996</v>
      </c>
      <c r="E8" s="616">
        <v>1553</v>
      </c>
      <c r="F8" s="623">
        <v>2259</v>
      </c>
      <c r="G8" s="805">
        <f t="shared" si="1"/>
        <v>0.45460399227301995</v>
      </c>
      <c r="H8" s="624">
        <f>'YTD-SALES'!B8/'YTD RETAIL DRIVERS'!E8</f>
        <v>6415.6259755312303</v>
      </c>
      <c r="I8" s="624">
        <f>'YTD-SALES'!C8/'YTD RETAIL DRIVERS'!F8</f>
        <v>4015.8754625940692</v>
      </c>
      <c r="J8" s="805">
        <f t="shared" si="2"/>
        <v>-0.3740477580971287</v>
      </c>
      <c r="K8" s="814">
        <f t="shared" ref="K8:K18" si="8">E8/B8</f>
        <v>0.13445887445887447</v>
      </c>
      <c r="L8" s="814">
        <f t="shared" si="3"/>
        <v>0.15647295144420587</v>
      </c>
      <c r="M8" s="819">
        <f t="shared" si="4"/>
        <v>2.2014076985331393E-2</v>
      </c>
      <c r="N8" s="625">
        <v>65</v>
      </c>
      <c r="O8" s="626">
        <v>90</v>
      </c>
      <c r="P8" s="805">
        <f t="shared" si="5"/>
        <v>0.38461538461538464</v>
      </c>
      <c r="Q8" s="625">
        <v>0</v>
      </c>
      <c r="R8" s="626">
        <v>0</v>
      </c>
      <c r="S8" s="627" t="e">
        <f t="shared" si="6"/>
        <v>#DIV/0!</v>
      </c>
      <c r="T8" s="835">
        <v>494</v>
      </c>
      <c r="U8" s="833">
        <v>1104</v>
      </c>
      <c r="V8" s="834">
        <f t="shared" si="7"/>
        <v>1.2348178137651822</v>
      </c>
    </row>
    <row r="9" spans="1:22">
      <c r="A9" s="622" t="s">
        <v>176</v>
      </c>
      <c r="B9" s="616">
        <v>10549</v>
      </c>
      <c r="C9" s="623">
        <v>11023</v>
      </c>
      <c r="D9" s="805">
        <f t="shared" si="0"/>
        <v>4.4933169020760264E-2</v>
      </c>
      <c r="E9" s="616">
        <v>1903</v>
      </c>
      <c r="F9" s="623">
        <v>1933</v>
      </c>
      <c r="G9" s="805">
        <f t="shared" si="1"/>
        <v>1.5764582238570676E-2</v>
      </c>
      <c r="H9" s="624">
        <f>'YTD-SALES'!B9/'YTD RETAIL DRIVERS'!E9</f>
        <v>4556.4980662112457</v>
      </c>
      <c r="I9" s="624">
        <f>'YTD-SALES'!C9/'YTD RETAIL DRIVERS'!F9</f>
        <v>4481.5017227108119</v>
      </c>
      <c r="J9" s="805">
        <f t="shared" si="2"/>
        <v>-1.6459206700112503E-2</v>
      </c>
      <c r="K9" s="814">
        <f t="shared" si="8"/>
        <v>0.18039624608967675</v>
      </c>
      <c r="L9" s="814">
        <f t="shared" si="3"/>
        <v>0.17536060963440081</v>
      </c>
      <c r="M9" s="819">
        <f t="shared" si="4"/>
        <v>-5.0356364552759381E-3</v>
      </c>
      <c r="N9" s="625">
        <v>59</v>
      </c>
      <c r="O9" s="626">
        <v>75</v>
      </c>
      <c r="P9" s="805">
        <f t="shared" si="5"/>
        <v>0.2711864406779661</v>
      </c>
      <c r="Q9" s="625">
        <v>0</v>
      </c>
      <c r="R9" s="626">
        <v>0</v>
      </c>
      <c r="S9" s="627" t="e">
        <f t="shared" si="6"/>
        <v>#DIV/0!</v>
      </c>
      <c r="T9" s="835">
        <v>582</v>
      </c>
      <c r="U9" s="833">
        <v>684</v>
      </c>
      <c r="V9" s="834">
        <f t="shared" si="7"/>
        <v>0.17525773195876287</v>
      </c>
    </row>
    <row r="10" spans="1:22">
      <c r="A10" s="622" t="s">
        <v>177</v>
      </c>
      <c r="B10" s="616">
        <v>13083</v>
      </c>
      <c r="C10" s="623"/>
      <c r="D10" s="805">
        <f t="shared" si="0"/>
        <v>-1</v>
      </c>
      <c r="E10" s="616">
        <v>1764</v>
      </c>
      <c r="F10" s="623"/>
      <c r="G10" s="805">
        <f t="shared" si="1"/>
        <v>-1</v>
      </c>
      <c r="H10" s="624">
        <f>'YTD-SALES'!B10/'YTD RETAIL DRIVERS'!E10</f>
        <v>5458.5125340136065</v>
      </c>
      <c r="I10" s="624" t="e">
        <f>'YTD-SALES'!C10/'YTD RETAIL DRIVERS'!F10</f>
        <v>#DIV/0!</v>
      </c>
      <c r="J10" s="805" t="e">
        <f t="shared" si="2"/>
        <v>#DIV/0!</v>
      </c>
      <c r="K10" s="814">
        <f t="shared" si="8"/>
        <v>0.1348314606741573</v>
      </c>
      <c r="L10" s="814" t="e">
        <f t="shared" si="3"/>
        <v>#DIV/0!</v>
      </c>
      <c r="M10" s="819" t="e">
        <f t="shared" si="4"/>
        <v>#DIV/0!</v>
      </c>
      <c r="N10" s="625">
        <v>58</v>
      </c>
      <c r="O10" s="626"/>
      <c r="P10" s="805">
        <f t="shared" si="5"/>
        <v>-1</v>
      </c>
      <c r="Q10" s="625">
        <v>0</v>
      </c>
      <c r="R10" s="626">
        <v>0</v>
      </c>
      <c r="S10" s="627" t="e">
        <f t="shared" si="6"/>
        <v>#DIV/0!</v>
      </c>
      <c r="T10" s="835">
        <v>534</v>
      </c>
      <c r="U10" s="836"/>
      <c r="V10" s="834">
        <f t="shared" si="7"/>
        <v>-1</v>
      </c>
    </row>
    <row r="11" spans="1:22">
      <c r="A11" s="622" t="s">
        <v>178</v>
      </c>
      <c r="B11" s="616">
        <v>14848</v>
      </c>
      <c r="C11" s="623"/>
      <c r="D11" s="805">
        <f t="shared" si="0"/>
        <v>-1</v>
      </c>
      <c r="E11" s="616">
        <v>1637</v>
      </c>
      <c r="F11" s="623"/>
      <c r="G11" s="805">
        <f t="shared" si="1"/>
        <v>-1</v>
      </c>
      <c r="H11" s="624">
        <f>'YTD-SALES'!B11/'YTD RETAIL DRIVERS'!E11</f>
        <v>4961.8248442272452</v>
      </c>
      <c r="I11" s="624" t="e">
        <f>'YTD-SALES'!C11/'YTD RETAIL DRIVERS'!F11</f>
        <v>#DIV/0!</v>
      </c>
      <c r="J11" s="805" t="e">
        <f t="shared" si="2"/>
        <v>#DIV/0!</v>
      </c>
      <c r="K11" s="814">
        <f t="shared" si="8"/>
        <v>0.11025053879310345</v>
      </c>
      <c r="L11" s="814" t="e">
        <f t="shared" si="3"/>
        <v>#DIV/0!</v>
      </c>
      <c r="M11" s="819" t="e">
        <f t="shared" si="4"/>
        <v>#DIV/0!</v>
      </c>
      <c r="N11" s="625">
        <v>67</v>
      </c>
      <c r="O11" s="626"/>
      <c r="P11" s="805">
        <f t="shared" si="5"/>
        <v>-1</v>
      </c>
      <c r="Q11" s="625">
        <v>0</v>
      </c>
      <c r="R11" s="626">
        <v>0</v>
      </c>
      <c r="S11" s="627" t="e">
        <f t="shared" si="6"/>
        <v>#DIV/0!</v>
      </c>
      <c r="T11" s="835">
        <v>492</v>
      </c>
      <c r="U11" s="836"/>
      <c r="V11" s="834">
        <f t="shared" si="7"/>
        <v>-1</v>
      </c>
    </row>
    <row r="12" spans="1:22">
      <c r="A12" s="622" t="s">
        <v>179</v>
      </c>
      <c r="B12" s="616">
        <v>12805</v>
      </c>
      <c r="C12" s="623"/>
      <c r="D12" s="805">
        <f t="shared" si="0"/>
        <v>-1</v>
      </c>
      <c r="E12" s="616">
        <v>1794</v>
      </c>
      <c r="F12" s="623"/>
      <c r="G12" s="805">
        <f t="shared" si="1"/>
        <v>-1</v>
      </c>
      <c r="H12" s="624">
        <f>'YTD-SALES'!B12/'YTD RETAIL DRIVERS'!E12</f>
        <v>4218.0488071348946</v>
      </c>
      <c r="I12" s="624" t="e">
        <f>'YTD-SALES'!C12/'YTD RETAIL DRIVERS'!F12</f>
        <v>#DIV/0!</v>
      </c>
      <c r="J12" s="805" t="e">
        <f t="shared" si="2"/>
        <v>#DIV/0!</v>
      </c>
      <c r="K12" s="814">
        <f t="shared" si="8"/>
        <v>0.1401015228426396</v>
      </c>
      <c r="L12" s="814" t="e">
        <f t="shared" si="3"/>
        <v>#DIV/0!</v>
      </c>
      <c r="M12" s="819" t="e">
        <f t="shared" si="4"/>
        <v>#DIV/0!</v>
      </c>
      <c r="N12" s="625">
        <v>56</v>
      </c>
      <c r="O12" s="626"/>
      <c r="P12" s="805">
        <f t="shared" si="5"/>
        <v>-1</v>
      </c>
      <c r="Q12" s="625">
        <v>0</v>
      </c>
      <c r="R12" s="626">
        <v>0</v>
      </c>
      <c r="S12" s="627" t="e">
        <f t="shared" si="6"/>
        <v>#DIV/0!</v>
      </c>
      <c r="T12" s="835">
        <v>697</v>
      </c>
      <c r="U12" s="836"/>
      <c r="V12" s="834">
        <f t="shared" si="7"/>
        <v>-1</v>
      </c>
    </row>
    <row r="13" spans="1:22">
      <c r="A13" s="622" t="s">
        <v>180</v>
      </c>
      <c r="B13" s="616">
        <v>14106</v>
      </c>
      <c r="C13" s="623"/>
      <c r="D13" s="806">
        <f t="shared" si="0"/>
        <v>-1</v>
      </c>
      <c r="E13" s="616">
        <v>1767</v>
      </c>
      <c r="F13" s="623"/>
      <c r="G13" s="806">
        <f t="shared" si="1"/>
        <v>-1</v>
      </c>
      <c r="H13" s="624">
        <f>'YTD-SALES'!B13/'YTD RETAIL DRIVERS'!E13</f>
        <v>5038.1010979060557</v>
      </c>
      <c r="I13" s="624" t="e">
        <f>'YTD-SALES'!C13/'YTD RETAIL DRIVERS'!F13</f>
        <v>#DIV/0!</v>
      </c>
      <c r="J13" s="806" t="e">
        <f t="shared" si="2"/>
        <v>#DIV/0!</v>
      </c>
      <c r="K13" s="814">
        <f t="shared" si="8"/>
        <v>0.12526584432156529</v>
      </c>
      <c r="L13" s="814" t="e">
        <f t="shared" si="3"/>
        <v>#DIV/0!</v>
      </c>
      <c r="M13" s="819" t="e">
        <f t="shared" si="4"/>
        <v>#DIV/0!</v>
      </c>
      <c r="N13" s="625">
        <v>85</v>
      </c>
      <c r="O13" s="626"/>
      <c r="P13" s="806">
        <f t="shared" si="5"/>
        <v>-1</v>
      </c>
      <c r="Q13" s="625">
        <v>0</v>
      </c>
      <c r="R13" s="626">
        <v>0</v>
      </c>
      <c r="S13" s="628" t="e">
        <f t="shared" si="6"/>
        <v>#DIV/0!</v>
      </c>
      <c r="T13" s="835">
        <v>720</v>
      </c>
      <c r="U13" s="836"/>
      <c r="V13" s="834">
        <f t="shared" si="7"/>
        <v>-1</v>
      </c>
    </row>
    <row r="14" spans="1:22">
      <c r="A14" s="622" t="s">
        <v>181</v>
      </c>
      <c r="B14" s="616">
        <v>12071</v>
      </c>
      <c r="C14" s="623"/>
      <c r="D14" s="806">
        <f t="shared" si="0"/>
        <v>-1</v>
      </c>
      <c r="E14" s="616">
        <v>1648</v>
      </c>
      <c r="F14" s="623"/>
      <c r="G14" s="806">
        <f t="shared" si="1"/>
        <v>-1</v>
      </c>
      <c r="H14" s="624">
        <f>'YTD-SALES'!B14/'YTD RETAIL DRIVERS'!E14</f>
        <v>0</v>
      </c>
      <c r="I14" s="624" t="e">
        <f>'YTD-SALES'!C14/'YTD RETAIL DRIVERS'!F14</f>
        <v>#DIV/0!</v>
      </c>
      <c r="J14" s="806" t="e">
        <f t="shared" si="2"/>
        <v>#DIV/0!</v>
      </c>
      <c r="K14" s="814">
        <f t="shared" si="8"/>
        <v>0.13652555712037115</v>
      </c>
      <c r="L14" s="814" t="e">
        <f t="shared" si="3"/>
        <v>#DIV/0!</v>
      </c>
      <c r="M14" s="819" t="e">
        <f t="shared" si="4"/>
        <v>#DIV/0!</v>
      </c>
      <c r="N14" s="625">
        <v>119</v>
      </c>
      <c r="O14" s="626"/>
      <c r="P14" s="806">
        <f t="shared" si="5"/>
        <v>-1</v>
      </c>
      <c r="Q14" s="625">
        <v>0</v>
      </c>
      <c r="R14" s="626">
        <v>0</v>
      </c>
      <c r="S14" s="628" t="e">
        <f t="shared" si="6"/>
        <v>#DIV/0!</v>
      </c>
      <c r="T14" s="835">
        <v>461</v>
      </c>
      <c r="U14" s="836"/>
      <c r="V14" s="834">
        <f t="shared" si="7"/>
        <v>-1</v>
      </c>
    </row>
    <row r="15" spans="1:22">
      <c r="A15" s="629" t="s">
        <v>182</v>
      </c>
      <c r="B15" s="630">
        <v>12473</v>
      </c>
      <c r="C15" s="631"/>
      <c r="D15" s="811">
        <f t="shared" si="0"/>
        <v>-1</v>
      </c>
      <c r="E15" s="616">
        <v>1886</v>
      </c>
      <c r="F15" s="632"/>
      <c r="G15" s="809">
        <f t="shared" si="1"/>
        <v>-1</v>
      </c>
      <c r="H15" s="624">
        <f>'YTD-SALES'!B15/'YTD RETAIL DRIVERS'!E15</f>
        <v>0</v>
      </c>
      <c r="I15" s="624" t="e">
        <f>'YTD-SALES'!C15/'YTD RETAIL DRIVERS'!F15</f>
        <v>#DIV/0!</v>
      </c>
      <c r="J15" s="806" t="e">
        <f t="shared" si="2"/>
        <v>#DIV/0!</v>
      </c>
      <c r="K15" s="814">
        <f t="shared" si="8"/>
        <v>0.15120660626954222</v>
      </c>
      <c r="L15" s="814" t="e">
        <f t="shared" si="3"/>
        <v>#DIV/0!</v>
      </c>
      <c r="M15" s="819" t="e">
        <f t="shared" si="4"/>
        <v>#DIV/0!</v>
      </c>
      <c r="N15" s="633">
        <v>108</v>
      </c>
      <c r="O15" s="634"/>
      <c r="P15" s="806">
        <f t="shared" si="5"/>
        <v>-1</v>
      </c>
      <c r="Q15" s="633">
        <v>0</v>
      </c>
      <c r="R15" s="634">
        <v>0</v>
      </c>
      <c r="S15" s="628" t="e">
        <f t="shared" si="6"/>
        <v>#DIV/0!</v>
      </c>
      <c r="T15" s="835">
        <v>660</v>
      </c>
      <c r="U15" s="836"/>
      <c r="V15" s="834">
        <f t="shared" si="7"/>
        <v>-1</v>
      </c>
    </row>
    <row r="16" spans="1:22">
      <c r="A16" s="629" t="s">
        <v>183</v>
      </c>
      <c r="B16" s="635">
        <v>14329</v>
      </c>
      <c r="C16" s="636"/>
      <c r="D16" s="811">
        <f t="shared" si="0"/>
        <v>-1</v>
      </c>
      <c r="E16" s="616">
        <v>2075</v>
      </c>
      <c r="F16" s="637"/>
      <c r="G16" s="809">
        <f t="shared" si="1"/>
        <v>-1</v>
      </c>
      <c r="H16" s="624">
        <f>'YTD-SALES'!B16/'YTD RETAIL DRIVERS'!E16</f>
        <v>0</v>
      </c>
      <c r="I16" s="624" t="e">
        <f>'YTD-SALES'!C16/'YTD RETAIL DRIVERS'!F16</f>
        <v>#DIV/0!</v>
      </c>
      <c r="J16" s="806" t="e">
        <f t="shared" si="2"/>
        <v>#DIV/0!</v>
      </c>
      <c r="K16" s="814">
        <f t="shared" si="8"/>
        <v>0.14481122199734803</v>
      </c>
      <c r="L16" s="814" t="e">
        <f t="shared" si="3"/>
        <v>#DIV/0!</v>
      </c>
      <c r="M16" s="819" t="e">
        <f t="shared" si="4"/>
        <v>#DIV/0!</v>
      </c>
      <c r="N16" s="633">
        <v>98</v>
      </c>
      <c r="O16" s="634"/>
      <c r="P16" s="806">
        <f t="shared" si="5"/>
        <v>-1</v>
      </c>
      <c r="Q16" s="633">
        <v>0</v>
      </c>
      <c r="R16" s="634">
        <v>0</v>
      </c>
      <c r="S16" s="628" t="e">
        <f t="shared" si="6"/>
        <v>#DIV/0!</v>
      </c>
      <c r="T16" s="835">
        <v>914</v>
      </c>
      <c r="U16" s="836"/>
      <c r="V16" s="834">
        <f t="shared" si="7"/>
        <v>-1</v>
      </c>
    </row>
    <row r="17" spans="1:22" ht="15" thickBot="1">
      <c r="A17" s="638" t="s">
        <v>184</v>
      </c>
      <c r="B17" s="639">
        <v>22422</v>
      </c>
      <c r="C17" s="640"/>
      <c r="D17" s="812">
        <f t="shared" si="0"/>
        <v>-1</v>
      </c>
      <c r="E17" s="616">
        <v>3644</v>
      </c>
      <c r="F17" s="641"/>
      <c r="G17" s="810">
        <f t="shared" si="1"/>
        <v>-1</v>
      </c>
      <c r="H17" s="642">
        <f>'YTD-SALES'!B17/'YTD RETAIL DRIVERS'!E17</f>
        <v>0</v>
      </c>
      <c r="I17" s="642" t="e">
        <f>'YTD-SALES'!C17/'YTD RETAIL DRIVERS'!F17</f>
        <v>#DIV/0!</v>
      </c>
      <c r="J17" s="807" t="e">
        <f t="shared" si="2"/>
        <v>#DIV/0!</v>
      </c>
      <c r="K17" s="815">
        <f t="shared" si="8"/>
        <v>0.16251895459816251</v>
      </c>
      <c r="L17" s="815" t="e">
        <f t="shared" si="3"/>
        <v>#DIV/0!</v>
      </c>
      <c r="M17" s="820" t="e">
        <f t="shared" si="4"/>
        <v>#DIV/0!</v>
      </c>
      <c r="N17" s="643">
        <v>95</v>
      </c>
      <c r="O17" s="644"/>
      <c r="P17" s="807">
        <f t="shared" si="5"/>
        <v>-1</v>
      </c>
      <c r="Q17" s="643">
        <v>0</v>
      </c>
      <c r="R17" s="644">
        <v>0</v>
      </c>
      <c r="S17" s="645" t="e">
        <f t="shared" si="6"/>
        <v>#DIV/0!</v>
      </c>
      <c r="T17" s="835">
        <v>1887</v>
      </c>
      <c r="U17" s="836"/>
      <c r="V17" s="834">
        <f t="shared" si="7"/>
        <v>-1</v>
      </c>
    </row>
    <row r="18" spans="1:22" ht="15" thickBot="1">
      <c r="A18" s="646" t="s">
        <v>185</v>
      </c>
      <c r="B18" s="647">
        <f>SUM(B6:B17)</f>
        <v>163223</v>
      </c>
      <c r="C18" s="647">
        <f>SUM(C6:C17)</f>
        <v>44565</v>
      </c>
      <c r="D18" s="808">
        <f t="shared" si="0"/>
        <v>-0.7269686257451462</v>
      </c>
      <c r="E18" s="647">
        <f>SUM(E6:E17)</f>
        <v>23482</v>
      </c>
      <c r="F18" s="647">
        <f>SUM(F6:F17)</f>
        <v>7370</v>
      </c>
      <c r="G18" s="808">
        <f t="shared" si="1"/>
        <v>-0.6861425772932459</v>
      </c>
      <c r="H18" s="803">
        <f>'YTD-SALES'!B18/'YTD RETAIL DRIVERS'!E18</f>
        <v>2838.1924529426797</v>
      </c>
      <c r="I18" s="803">
        <f>'YTD-SALES'!C18/'YTD RETAIL DRIVERS'!F18</f>
        <v>9625.4110895522408</v>
      </c>
      <c r="J18" s="817">
        <f t="shared" si="2"/>
        <v>2.3913877403107295</v>
      </c>
      <c r="K18" s="816">
        <f t="shared" si="8"/>
        <v>0.1438645288960502</v>
      </c>
      <c r="L18" s="816">
        <f t="shared" si="3"/>
        <v>0.16537641647032425</v>
      </c>
      <c r="M18" s="817">
        <f t="shared" si="4"/>
        <v>2.1511887574274052E-2</v>
      </c>
      <c r="N18" s="649">
        <f>SUM(N6:N17)</f>
        <v>1057</v>
      </c>
      <c r="O18" s="649">
        <f>SUM(O6:O17)</f>
        <v>313</v>
      </c>
      <c r="P18" s="808">
        <f t="shared" si="5"/>
        <v>-0.70387890255439922</v>
      </c>
      <c r="Q18" s="649">
        <f>SUM(Q6:Q17)</f>
        <v>0</v>
      </c>
      <c r="R18" s="649">
        <f>SUM(R6:R17)</f>
        <v>0</v>
      </c>
      <c r="S18" s="648" t="e">
        <f t="shared" si="6"/>
        <v>#DIV/0!</v>
      </c>
      <c r="T18" s="837">
        <f>SUM(T6:T17)</f>
        <v>8427</v>
      </c>
      <c r="U18" s="837">
        <f>SUM(U6:U17)</f>
        <v>3080</v>
      </c>
      <c r="V18" s="838">
        <f t="shared" ref="V18" si="9">SUM(U18-T18)/T18</f>
        <v>-0.63450812863415218</v>
      </c>
    </row>
    <row r="20" spans="1:22" s="1" customFormat="1">
      <c r="B20" s="137"/>
      <c r="C20" s="137"/>
      <c r="D20" s="138"/>
      <c r="E20" s="139"/>
      <c r="F20" s="139"/>
      <c r="G20" s="138"/>
      <c r="H20" s="140"/>
      <c r="I20" s="140"/>
      <c r="J20" s="138"/>
      <c r="K20" s="141"/>
      <c r="L20" s="142"/>
      <c r="M20" s="143"/>
      <c r="N20" s="139"/>
      <c r="O20" s="139"/>
      <c r="P20" s="138"/>
      <c r="Q20" s="137"/>
      <c r="R20" s="137"/>
      <c r="S20" s="138"/>
    </row>
  </sheetData>
  <mergeCells count="17">
    <mergeCell ref="J4:J5"/>
    <mergeCell ref="M4:M5"/>
    <mergeCell ref="S4:S5"/>
    <mergeCell ref="T4:U4"/>
    <mergeCell ref="V4:V5"/>
    <mergeCell ref="K4:L4"/>
    <mergeCell ref="N4:O4"/>
    <mergeCell ref="Q4:R4"/>
    <mergeCell ref="P4:P5"/>
    <mergeCell ref="A1:F1"/>
    <mergeCell ref="A2:C2"/>
    <mergeCell ref="B4:C4"/>
    <mergeCell ref="E4:F4"/>
    <mergeCell ref="H4:I4"/>
    <mergeCell ref="A4:A5"/>
    <mergeCell ref="D4:D5"/>
    <mergeCell ref="G4:G5"/>
  </mergeCells>
  <pageMargins left="0.7" right="0.7" top="0.75" bottom="0.75" header="0.3" footer="0.3"/>
  <pageSetup orientation="portrait" verticalDpi="7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O42"/>
  <sheetViews>
    <sheetView zoomScale="85" zoomScaleNormal="85" workbookViewId="0">
      <selection activeCell="I26" sqref="I26"/>
    </sheetView>
  </sheetViews>
  <sheetFormatPr defaultColWidth="9" defaultRowHeight="14.4"/>
  <cols>
    <col min="1" max="1" width="2.44140625" customWidth="1"/>
    <col min="2" max="2" width="10.88671875" customWidth="1"/>
    <col min="3" max="3" width="13.33203125" customWidth="1"/>
    <col min="4" max="4" width="12.5546875" customWidth="1"/>
    <col min="5" max="5" width="12" style="5" customWidth="1"/>
    <col min="6" max="6" width="14.5546875" style="5" customWidth="1"/>
    <col min="7" max="7" width="14.88671875" style="5" customWidth="1"/>
    <col min="8" max="8" width="18" style="5" customWidth="1"/>
    <col min="9" max="9" width="16.6640625" style="5" customWidth="1"/>
    <col min="10" max="10" width="24.6640625" style="5" customWidth="1"/>
    <col min="11" max="11" width="19" customWidth="1"/>
    <col min="12" max="12" width="16" customWidth="1"/>
    <col min="13" max="13" width="23" customWidth="1"/>
  </cols>
  <sheetData>
    <row r="1" spans="2:15" ht="36" customHeight="1">
      <c r="B1" s="871" t="s">
        <v>249</v>
      </c>
      <c r="C1" s="872"/>
      <c r="D1" s="872"/>
      <c r="E1" s="872"/>
      <c r="F1" s="872"/>
      <c r="G1" s="872"/>
      <c r="H1" s="872"/>
      <c r="I1" s="872"/>
      <c r="J1" s="872"/>
      <c r="K1" s="872"/>
      <c r="L1" s="872"/>
      <c r="M1" s="872"/>
      <c r="N1" s="123"/>
      <c r="O1" s="124"/>
    </row>
    <row r="2" spans="2:15" ht="36" customHeight="1">
      <c r="B2" s="997">
        <v>45809</v>
      </c>
      <c r="C2" s="998"/>
      <c r="D2" s="998"/>
      <c r="E2" s="998"/>
      <c r="F2" s="998"/>
      <c r="G2" s="998"/>
      <c r="H2" s="998"/>
      <c r="I2" s="998"/>
      <c r="J2" s="998"/>
      <c r="K2" s="998"/>
      <c r="L2" s="998"/>
      <c r="M2" s="999"/>
      <c r="N2" s="125"/>
      <c r="O2" s="125"/>
    </row>
    <row r="3" spans="2:15">
      <c r="B3" s="802" t="s">
        <v>250</v>
      </c>
      <c r="C3" s="100"/>
      <c r="D3" s="101"/>
      <c r="E3" s="100"/>
      <c r="F3" s="100"/>
      <c r="G3" s="100"/>
      <c r="H3" s="100"/>
      <c r="I3" s="100"/>
      <c r="J3" s="100"/>
      <c r="K3" s="100"/>
      <c r="L3" s="100"/>
      <c r="M3" s="126"/>
      <c r="N3" s="127"/>
      <c r="O3" s="127"/>
    </row>
    <row r="4" spans="2:15" ht="19.5" customHeight="1">
      <c r="B4" s="1000" t="s">
        <v>192</v>
      </c>
      <c r="C4" s="1001"/>
      <c r="D4" s="1001"/>
      <c r="E4" s="1001"/>
      <c r="F4" s="1001"/>
      <c r="G4" s="1001"/>
      <c r="H4" s="1001"/>
      <c r="I4" s="1001"/>
      <c r="J4" s="1001"/>
      <c r="K4" s="1001"/>
      <c r="L4" s="1001"/>
      <c r="M4" s="1002"/>
      <c r="N4" s="128"/>
      <c r="O4" s="128"/>
    </row>
    <row r="5" spans="2:15" ht="3.75" customHeight="1">
      <c r="E5" s="102"/>
      <c r="F5" s="102"/>
      <c r="G5" s="102"/>
      <c r="H5" s="102"/>
      <c r="I5" s="102"/>
      <c r="J5" s="102"/>
      <c r="K5" s="102"/>
      <c r="L5" s="102"/>
      <c r="M5" s="102"/>
    </row>
    <row r="6" spans="2:15" ht="3.75" customHeight="1"/>
    <row r="7" spans="2:15" s="99" customFormat="1" ht="57" customHeight="1">
      <c r="B7" s="103" t="s">
        <v>193</v>
      </c>
      <c r="C7" s="104" t="s">
        <v>11</v>
      </c>
      <c r="D7" s="105" t="s">
        <v>194</v>
      </c>
      <c r="E7" s="103" t="s">
        <v>195</v>
      </c>
      <c r="F7" s="104" t="s">
        <v>196</v>
      </c>
      <c r="G7" s="103" t="s">
        <v>197</v>
      </c>
      <c r="H7" s="103" t="s">
        <v>198</v>
      </c>
      <c r="I7" s="103" t="s">
        <v>199</v>
      </c>
      <c r="J7" s="103" t="s">
        <v>200</v>
      </c>
      <c r="K7" s="103" t="s">
        <v>201</v>
      </c>
      <c r="L7" s="103" t="s">
        <v>202</v>
      </c>
      <c r="M7" s="104" t="s">
        <v>73</v>
      </c>
    </row>
    <row r="8" spans="2:15">
      <c r="B8" s="106">
        <f>B2+0</f>
        <v>45809</v>
      </c>
      <c r="C8" s="107">
        <f>LS_RPRO!AA6</f>
        <v>30800.999999999971</v>
      </c>
      <c r="D8" s="108"/>
      <c r="E8" s="109">
        <v>45778</v>
      </c>
      <c r="F8" s="110"/>
      <c r="G8" s="111">
        <f>LS_RPRO!Z6+'DEPOSIT SUMMARY'!D8</f>
        <v>30804</v>
      </c>
      <c r="H8" s="2" t="s">
        <v>258</v>
      </c>
      <c r="I8" s="129" t="s">
        <v>259</v>
      </c>
      <c r="J8" s="650"/>
      <c r="K8" s="131"/>
      <c r="L8" s="132"/>
      <c r="M8" s="133"/>
    </row>
    <row r="9" spans="2:15">
      <c r="B9" s="106">
        <f>B8+1</f>
        <v>45810</v>
      </c>
      <c r="C9" s="107">
        <f>LS_RPRO!AA7</f>
        <v>39073.950000000012</v>
      </c>
      <c r="D9" s="108"/>
      <c r="E9" s="109">
        <v>45779</v>
      </c>
      <c r="F9" s="110"/>
      <c r="G9" s="111">
        <f>LS_RPRO!Z7+'DEPOSIT SUMMARY'!D9</f>
        <v>39078</v>
      </c>
      <c r="H9" s="2"/>
      <c r="I9" s="129"/>
      <c r="J9" s="130"/>
      <c r="K9" s="131"/>
      <c r="L9" s="132"/>
      <c r="M9" s="133"/>
    </row>
    <row r="10" spans="2:15">
      <c r="B10" s="106">
        <f t="shared" ref="B10:B38" si="0">B9+1</f>
        <v>45811</v>
      </c>
      <c r="C10" s="107">
        <f>LS_RPRO!AA8</f>
        <v>69106.259999999951</v>
      </c>
      <c r="D10" s="108"/>
      <c r="E10" s="109">
        <v>45780</v>
      </c>
      <c r="F10" s="110"/>
      <c r="G10" s="111">
        <f>LS_RPRO!Z8+'DEPOSIT SUMMARY'!D10</f>
        <v>69112</v>
      </c>
      <c r="H10" s="2"/>
      <c r="I10" s="129"/>
      <c r="J10" s="650"/>
      <c r="K10" s="131"/>
      <c r="L10" s="132"/>
      <c r="M10" s="133"/>
    </row>
    <row r="11" spans="2:15">
      <c r="B11" s="106">
        <f t="shared" si="0"/>
        <v>45812</v>
      </c>
      <c r="C11" s="107">
        <f>LS_RPRO!AA9</f>
        <v>51788.5</v>
      </c>
      <c r="D11" s="108"/>
      <c r="E11" s="109">
        <v>45781</v>
      </c>
      <c r="F11" s="110"/>
      <c r="G11" s="111">
        <f>LS_RPRO!Z9+'DEPOSIT SUMMARY'!D11</f>
        <v>51792.5</v>
      </c>
      <c r="H11" s="863"/>
      <c r="I11" s="129"/>
      <c r="J11" s="130"/>
      <c r="K11" s="131"/>
      <c r="L11" s="132"/>
      <c r="M11" s="133"/>
    </row>
    <row r="12" spans="2:15">
      <c r="B12" s="106">
        <f t="shared" si="0"/>
        <v>45813</v>
      </c>
      <c r="C12" s="107">
        <f>LS_RPRO!AA10</f>
        <v>39324.200000000012</v>
      </c>
      <c r="D12" s="112"/>
      <c r="E12" s="109">
        <v>45782</v>
      </c>
      <c r="F12" s="110"/>
      <c r="G12" s="111">
        <f>LS_RPRO!Z10+'DEPOSIT SUMMARY'!D12</f>
        <v>39277</v>
      </c>
      <c r="H12" s="863"/>
      <c r="I12" s="129"/>
      <c r="J12" s="650"/>
      <c r="K12" s="131"/>
      <c r="L12" s="132"/>
      <c r="M12" s="133"/>
    </row>
    <row r="13" spans="2:15">
      <c r="B13" s="106">
        <f t="shared" si="0"/>
        <v>45814</v>
      </c>
      <c r="C13" s="107">
        <f>LS_RPRO!AA11</f>
        <v>19308</v>
      </c>
      <c r="D13" s="112"/>
      <c r="E13" s="109">
        <v>45783</v>
      </c>
      <c r="F13" s="110"/>
      <c r="G13" s="111">
        <f>LS_RPRO!Z11+'DEPOSIT SUMMARY'!D13</f>
        <v>19308</v>
      </c>
      <c r="H13" s="2"/>
      <c r="I13" s="129"/>
      <c r="J13" s="652"/>
      <c r="K13" s="131"/>
      <c r="L13" s="132"/>
      <c r="M13" s="133"/>
    </row>
    <row r="14" spans="2:15">
      <c r="B14" s="106">
        <f t="shared" si="0"/>
        <v>45815</v>
      </c>
      <c r="C14" s="107">
        <f>LS_RPRO!AA12</f>
        <v>33667.25</v>
      </c>
      <c r="D14" s="112"/>
      <c r="E14" s="109">
        <v>45784</v>
      </c>
      <c r="F14" s="110"/>
      <c r="G14" s="111">
        <f>LS_RPRO!Z12+'DEPOSIT SUMMARY'!D14</f>
        <v>33668.25</v>
      </c>
      <c r="H14" s="2"/>
      <c r="I14" s="129"/>
      <c r="J14" s="650"/>
      <c r="K14" s="131"/>
      <c r="L14" s="132"/>
      <c r="M14" s="133"/>
    </row>
    <row r="15" spans="2:15">
      <c r="B15" s="106">
        <f t="shared" si="0"/>
        <v>45816</v>
      </c>
      <c r="C15" s="107">
        <f>LS_RPRO!AA13</f>
        <v>25621</v>
      </c>
      <c r="D15" s="112"/>
      <c r="E15" s="109">
        <v>45785</v>
      </c>
      <c r="F15" s="110"/>
      <c r="G15" s="111">
        <f>LS_RPRO!Z13+'DEPOSIT SUMMARY'!D15</f>
        <v>25624</v>
      </c>
      <c r="H15" s="2"/>
      <c r="I15" s="129"/>
      <c r="J15" s="650"/>
      <c r="K15" s="131"/>
      <c r="L15" s="132"/>
      <c r="M15" s="133"/>
    </row>
    <row r="16" spans="2:15">
      <c r="B16" s="106">
        <f t="shared" si="0"/>
        <v>45817</v>
      </c>
      <c r="C16" s="107">
        <f>LS_RPRO!AA14</f>
        <v>27911.190000000002</v>
      </c>
      <c r="D16" s="112"/>
      <c r="E16" s="109">
        <v>45786</v>
      </c>
      <c r="F16" s="110"/>
      <c r="G16" s="111">
        <f>LS_RPRO!Z14+'DEPOSIT SUMMARY'!D16</f>
        <v>27913</v>
      </c>
      <c r="H16" s="2"/>
      <c r="I16" s="129"/>
      <c r="J16" s="130"/>
      <c r="K16" s="131"/>
      <c r="L16" s="132"/>
      <c r="M16" s="133"/>
    </row>
    <row r="17" spans="1:13">
      <c r="B17" s="106">
        <f t="shared" si="0"/>
        <v>45818</v>
      </c>
      <c r="C17" s="107">
        <f>LS_RPRO!AA15</f>
        <v>51576.70000000007</v>
      </c>
      <c r="D17" s="112"/>
      <c r="E17" s="109">
        <v>45787</v>
      </c>
      <c r="F17" s="110"/>
      <c r="G17" s="111">
        <f>LS_RPRO!Z15+'DEPOSIT SUMMARY'!D17</f>
        <v>51582</v>
      </c>
      <c r="H17" s="2"/>
      <c r="I17" s="129"/>
      <c r="J17" s="130"/>
      <c r="K17" s="131"/>
      <c r="L17" s="132"/>
      <c r="M17" s="133"/>
    </row>
    <row r="18" spans="1:13">
      <c r="B18" s="106">
        <f t="shared" si="0"/>
        <v>45819</v>
      </c>
      <c r="C18" s="107">
        <f>LS_RPRO!AA16</f>
        <v>63461.150000000023</v>
      </c>
      <c r="D18" s="112"/>
      <c r="E18" s="109">
        <v>45788</v>
      </c>
      <c r="F18" s="110"/>
      <c r="G18" s="111">
        <f>LS_RPRO!Z16+'DEPOSIT SUMMARY'!D18</f>
        <v>63473</v>
      </c>
      <c r="H18" s="2"/>
      <c r="I18" s="129"/>
      <c r="J18" s="130"/>
      <c r="K18" s="131"/>
      <c r="L18" s="132"/>
      <c r="M18" s="133"/>
    </row>
    <row r="19" spans="1:13">
      <c r="A19" s="113"/>
      <c r="B19" s="106">
        <f t="shared" si="0"/>
        <v>45820</v>
      </c>
      <c r="C19" s="107">
        <f>LS_RPRO!AA17</f>
        <v>36408.500000000015</v>
      </c>
      <c r="D19" s="108"/>
      <c r="E19" s="109">
        <v>45789</v>
      </c>
      <c r="F19" s="110"/>
      <c r="G19" s="111">
        <f>LS_RPRO!Z17+'DEPOSIT SUMMARY'!D19</f>
        <v>36410.5</v>
      </c>
      <c r="H19" s="863"/>
      <c r="I19" s="129"/>
      <c r="J19" s="130"/>
      <c r="K19" s="131"/>
      <c r="L19" s="132"/>
      <c r="M19" s="133"/>
    </row>
    <row r="20" spans="1:13">
      <c r="B20" s="106">
        <f t="shared" si="0"/>
        <v>45821</v>
      </c>
      <c r="C20" s="107">
        <f>LS_RPRO!AA18</f>
        <v>0</v>
      </c>
      <c r="D20" s="112"/>
      <c r="E20" s="109">
        <v>45790</v>
      </c>
      <c r="F20" s="110"/>
      <c r="G20" s="111">
        <f>LS_RPRO!Z18+'DEPOSIT SUMMARY'!D20</f>
        <v>0</v>
      </c>
      <c r="H20" s="2"/>
      <c r="I20" s="129"/>
      <c r="J20" s="130"/>
      <c r="K20" s="131"/>
      <c r="L20" s="132"/>
      <c r="M20" s="133"/>
    </row>
    <row r="21" spans="1:13">
      <c r="A21" s="98">
        <v>44853</v>
      </c>
      <c r="B21" s="106">
        <f t="shared" si="0"/>
        <v>45822</v>
      </c>
      <c r="C21" s="107">
        <f>LS_RPRO!AA19</f>
        <v>0</v>
      </c>
      <c r="D21" s="112"/>
      <c r="E21" s="109">
        <v>45791</v>
      </c>
      <c r="F21" s="110"/>
      <c r="G21" s="111">
        <f>LS_RPRO!Z19+'DEPOSIT SUMMARY'!D21</f>
        <v>0</v>
      </c>
      <c r="H21" s="2"/>
      <c r="I21" s="129"/>
      <c r="J21" s="130"/>
      <c r="K21" s="131"/>
      <c r="L21" s="132"/>
      <c r="M21" s="133"/>
    </row>
    <row r="22" spans="1:13">
      <c r="B22" s="106">
        <f t="shared" si="0"/>
        <v>45823</v>
      </c>
      <c r="C22" s="107">
        <f>LS_RPRO!AA20</f>
        <v>0</v>
      </c>
      <c r="D22" s="112"/>
      <c r="E22" s="109">
        <v>45792</v>
      </c>
      <c r="F22" s="110"/>
      <c r="G22" s="111">
        <f>LS_RPRO!Z20+'DEPOSIT SUMMARY'!D22</f>
        <v>0</v>
      </c>
      <c r="H22" s="2"/>
      <c r="I22" s="129"/>
      <c r="J22" s="130"/>
      <c r="K22" s="131"/>
      <c r="L22" s="132"/>
      <c r="M22" s="133"/>
    </row>
    <row r="23" spans="1:13">
      <c r="B23" s="106">
        <f t="shared" si="0"/>
        <v>45824</v>
      </c>
      <c r="C23" s="107">
        <f>LS_RPRO!AA23</f>
        <v>0</v>
      </c>
      <c r="D23" s="112"/>
      <c r="E23" s="109">
        <v>45793</v>
      </c>
      <c r="F23" s="110"/>
      <c r="G23" s="111">
        <f>LS_RPRO!Z23+'DEPOSIT SUMMARY'!D23</f>
        <v>0</v>
      </c>
      <c r="H23" s="2"/>
      <c r="I23" s="129"/>
      <c r="J23" s="130"/>
      <c r="K23" s="131"/>
      <c r="L23" s="132"/>
      <c r="M23" s="133"/>
    </row>
    <row r="24" spans="1:13">
      <c r="B24" s="106">
        <f t="shared" si="0"/>
        <v>45825</v>
      </c>
      <c r="C24" s="107">
        <f>LS_RPRO!AA24</f>
        <v>0</v>
      </c>
      <c r="D24" s="112"/>
      <c r="E24" s="109">
        <v>45794</v>
      </c>
      <c r="F24" s="110"/>
      <c r="G24" s="111">
        <f>LS_RPRO!Z22+'DEPOSIT SUMMARY'!D24</f>
        <v>0</v>
      </c>
      <c r="H24" s="2"/>
      <c r="I24" s="129"/>
      <c r="J24" s="3"/>
      <c r="K24" s="131"/>
      <c r="L24" s="132"/>
      <c r="M24" s="133"/>
    </row>
    <row r="25" spans="1:13">
      <c r="B25" s="106">
        <f t="shared" si="0"/>
        <v>45826</v>
      </c>
      <c r="C25" s="107">
        <f>LS_RPRO!AA25</f>
        <v>0</v>
      </c>
      <c r="D25" s="112"/>
      <c r="E25" s="109">
        <v>45795</v>
      </c>
      <c r="F25" s="110"/>
      <c r="G25" s="111">
        <f>LS_RPRO!Z23+'DEPOSIT SUMMARY'!D25</f>
        <v>0</v>
      </c>
      <c r="H25" s="2"/>
      <c r="I25" s="129"/>
      <c r="J25" s="3"/>
      <c r="K25" s="134"/>
      <c r="L25" s="132"/>
      <c r="M25" s="133"/>
    </row>
    <row r="26" spans="1:13">
      <c r="B26" s="106">
        <f t="shared" si="0"/>
        <v>45827</v>
      </c>
      <c r="C26" s="107">
        <f>LS_RPRO!AA26</f>
        <v>0</v>
      </c>
      <c r="D26" s="112"/>
      <c r="E26" s="109">
        <v>45796</v>
      </c>
      <c r="F26" s="110"/>
      <c r="G26" s="111">
        <f>LS_RPRO!Z24+'DEPOSIT SUMMARY'!D26</f>
        <v>0</v>
      </c>
      <c r="H26" s="2"/>
      <c r="I26" s="129"/>
      <c r="J26" s="130"/>
      <c r="K26" s="134"/>
      <c r="L26" s="132"/>
      <c r="M26" s="133"/>
    </row>
    <row r="27" spans="1:13">
      <c r="B27" s="106">
        <f t="shared" si="0"/>
        <v>45828</v>
      </c>
      <c r="C27" s="107">
        <f>LS_RPRO!AA27</f>
        <v>0</v>
      </c>
      <c r="D27" s="112"/>
      <c r="E27" s="109">
        <v>45797</v>
      </c>
      <c r="F27" s="110"/>
      <c r="G27" s="111">
        <f>LS_RPRO!Z25+'DEPOSIT SUMMARY'!D27</f>
        <v>0</v>
      </c>
      <c r="H27" s="2"/>
      <c r="I27" s="129"/>
      <c r="J27" s="130"/>
      <c r="K27" s="134"/>
      <c r="L27" s="132"/>
      <c r="M27" s="133"/>
    </row>
    <row r="28" spans="1:13">
      <c r="B28" s="106">
        <f t="shared" si="0"/>
        <v>45829</v>
      </c>
      <c r="C28" s="107">
        <f>LS_RPRO!AA28</f>
        <v>0</v>
      </c>
      <c r="D28" s="112"/>
      <c r="E28" s="109">
        <v>45798</v>
      </c>
      <c r="F28" s="110"/>
      <c r="G28" s="111">
        <f>LS_RPRO!Z26+'DEPOSIT SUMMARY'!D28</f>
        <v>0</v>
      </c>
      <c r="H28" s="2"/>
      <c r="I28" s="129"/>
      <c r="J28" s="130"/>
      <c r="K28" s="134"/>
      <c r="L28" s="132"/>
      <c r="M28" s="133"/>
    </row>
    <row r="29" spans="1:13">
      <c r="B29" s="106">
        <f t="shared" si="0"/>
        <v>45830</v>
      </c>
      <c r="C29" s="107">
        <f>LS_RPRO!AA29</f>
        <v>0</v>
      </c>
      <c r="D29" s="112"/>
      <c r="E29" s="109">
        <v>45799</v>
      </c>
      <c r="F29" s="110"/>
      <c r="G29" s="111">
        <f>LS_RPRO!Z27+'DEPOSIT SUMMARY'!D29</f>
        <v>0</v>
      </c>
      <c r="H29" s="2"/>
      <c r="I29" s="129"/>
      <c r="J29" s="130"/>
      <c r="K29" s="134"/>
      <c r="L29" s="132"/>
      <c r="M29" s="135"/>
    </row>
    <row r="30" spans="1:13">
      <c r="B30" s="106">
        <f t="shared" si="0"/>
        <v>45831</v>
      </c>
      <c r="C30" s="107">
        <f>LS_RPRO!AA30</f>
        <v>0</v>
      </c>
      <c r="D30" s="112"/>
      <c r="E30" s="109">
        <v>45800</v>
      </c>
      <c r="F30" s="110"/>
      <c r="G30" s="111">
        <f>LS_RPRO!Z28+'DEPOSIT SUMMARY'!D30</f>
        <v>0</v>
      </c>
      <c r="H30" s="2"/>
      <c r="I30" s="129"/>
      <c r="J30" s="130"/>
      <c r="K30" s="134"/>
      <c r="L30" s="132"/>
      <c r="M30" s="133"/>
    </row>
    <row r="31" spans="1:13">
      <c r="B31" s="106">
        <f t="shared" si="0"/>
        <v>45832</v>
      </c>
      <c r="C31" s="107">
        <f>LS_RPRO!AA31</f>
        <v>0</v>
      </c>
      <c r="D31" s="115"/>
      <c r="E31" s="109">
        <v>45801</v>
      </c>
      <c r="F31" s="110"/>
      <c r="G31" s="111">
        <f>LS_RPRO!Z29+'DEPOSIT SUMMARY'!D31</f>
        <v>0</v>
      </c>
      <c r="H31" s="651"/>
      <c r="I31" s="129"/>
      <c r="J31" s="130"/>
      <c r="K31" s="134"/>
      <c r="L31" s="132"/>
      <c r="M31" s="133"/>
    </row>
    <row r="32" spans="1:13">
      <c r="B32" s="106">
        <f t="shared" si="0"/>
        <v>45833</v>
      </c>
      <c r="C32" s="107">
        <f>LS_RPRO!AA32</f>
        <v>0</v>
      </c>
      <c r="D32" s="115"/>
      <c r="E32" s="109">
        <v>45802</v>
      </c>
      <c r="F32" s="110"/>
      <c r="G32" s="111">
        <f>LS_RPRO!Z30+'DEPOSIT SUMMARY'!D32</f>
        <v>0</v>
      </c>
      <c r="H32" s="2"/>
      <c r="I32" s="129"/>
      <c r="J32" s="130"/>
      <c r="K32" s="134"/>
      <c r="L32" s="132"/>
      <c r="M32" s="133"/>
    </row>
    <row r="33" spans="2:13" ht="15.75" customHeight="1">
      <c r="B33" s="106">
        <f t="shared" si="0"/>
        <v>45834</v>
      </c>
      <c r="C33" s="107">
        <f>LS_RPRO!AA33</f>
        <v>0</v>
      </c>
      <c r="D33" s="115"/>
      <c r="E33" s="109">
        <v>45803</v>
      </c>
      <c r="F33" s="110"/>
      <c r="G33" s="111">
        <f>LS_RPRO!Z31+'DEPOSIT SUMMARY'!D33</f>
        <v>0</v>
      </c>
      <c r="H33" s="2"/>
      <c r="I33" s="129"/>
      <c r="J33" s="3"/>
      <c r="K33" s="134"/>
      <c r="L33" s="132"/>
      <c r="M33" s="133"/>
    </row>
    <row r="34" spans="2:13">
      <c r="B34" s="106">
        <f t="shared" si="0"/>
        <v>45835</v>
      </c>
      <c r="C34" s="107">
        <f>LS_RPRO!AA34</f>
        <v>0</v>
      </c>
      <c r="D34" s="115"/>
      <c r="E34" s="109">
        <v>45804</v>
      </c>
      <c r="F34" s="110"/>
      <c r="G34" s="111">
        <f>LS_RPRO!Z32+'DEPOSIT SUMMARY'!D34</f>
        <v>0</v>
      </c>
      <c r="H34" s="653"/>
      <c r="I34" s="129"/>
      <c r="J34" s="3"/>
      <c r="K34" s="134"/>
      <c r="L34" s="132"/>
      <c r="M34" s="133"/>
    </row>
    <row r="35" spans="2:13">
      <c r="B35" s="106">
        <f t="shared" si="0"/>
        <v>45836</v>
      </c>
      <c r="C35" s="107">
        <f>LS_RPRO!AA35</f>
        <v>0</v>
      </c>
      <c r="D35" s="115"/>
      <c r="E35" s="109">
        <v>45805</v>
      </c>
      <c r="F35" s="110"/>
      <c r="G35" s="111">
        <f>LS_RPRO!Z33+'DEPOSIT SUMMARY'!D35</f>
        <v>0</v>
      </c>
      <c r="H35" s="2"/>
      <c r="I35" s="129"/>
      <c r="J35" s="3"/>
      <c r="K35" s="134"/>
      <c r="L35" s="132"/>
      <c r="M35" s="133"/>
    </row>
    <row r="36" spans="2:13">
      <c r="B36" s="106">
        <f t="shared" si="0"/>
        <v>45837</v>
      </c>
      <c r="C36" s="107">
        <f>LS_RPRO!AA36</f>
        <v>0</v>
      </c>
      <c r="D36" s="115"/>
      <c r="E36" s="109">
        <v>45806</v>
      </c>
      <c r="F36" s="110"/>
      <c r="G36" s="111">
        <f>LS_RPRO!Z34+'DEPOSIT SUMMARY'!D36</f>
        <v>0</v>
      </c>
      <c r="H36" s="2"/>
      <c r="I36" s="129"/>
      <c r="J36" s="3"/>
      <c r="K36" s="134"/>
      <c r="L36" s="132"/>
      <c r="M36" s="133"/>
    </row>
    <row r="37" spans="2:13" ht="15.75" customHeight="1">
      <c r="B37" s="106">
        <f t="shared" si="0"/>
        <v>45838</v>
      </c>
      <c r="C37" s="107">
        <f>LS_RPRO!AA37</f>
        <v>0</v>
      </c>
      <c r="D37" s="115"/>
      <c r="E37" s="109">
        <v>45807</v>
      </c>
      <c r="F37" s="110"/>
      <c r="G37" s="111">
        <f>LS_RPRO!Z35+'DEPOSIT SUMMARY'!D37</f>
        <v>0</v>
      </c>
      <c r="H37" s="2"/>
      <c r="I37" s="129"/>
      <c r="J37" s="2"/>
      <c r="K37" s="136"/>
      <c r="L37" s="132"/>
      <c r="M37" s="133"/>
    </row>
    <row r="38" spans="2:13">
      <c r="B38" s="106">
        <f t="shared" si="0"/>
        <v>45839</v>
      </c>
      <c r="C38" s="107">
        <f>LS_RPRO!AA38</f>
        <v>0</v>
      </c>
      <c r="D38" s="112"/>
      <c r="E38" s="109">
        <v>45808</v>
      </c>
      <c r="F38" s="110"/>
      <c r="G38" s="111">
        <f>LS_RPRO!Z36+'DEPOSIT SUMMARY'!D38</f>
        <v>0</v>
      </c>
      <c r="H38" s="2"/>
      <c r="I38" s="129"/>
      <c r="J38" s="2"/>
      <c r="K38" s="136"/>
      <c r="L38" s="132"/>
      <c r="M38" s="133"/>
    </row>
    <row r="39" spans="2:13">
      <c r="B39" s="116"/>
      <c r="C39" s="117"/>
      <c r="D39" s="117"/>
      <c r="E39" s="109"/>
      <c r="F39" s="2"/>
      <c r="G39" s="114"/>
      <c r="H39" s="2"/>
      <c r="I39" s="2"/>
      <c r="J39" s="2"/>
      <c r="K39" s="136"/>
      <c r="L39" s="2"/>
      <c r="M39" s="2"/>
    </row>
    <row r="40" spans="2:13" ht="17.399999999999999">
      <c r="B40" s="118"/>
      <c r="C40" s="118"/>
      <c r="D40" s="118"/>
      <c r="E40" s="119"/>
      <c r="F40" s="2"/>
      <c r="G40" s="120">
        <f>SUM(G8:G39)</f>
        <v>488042.25</v>
      </c>
      <c r="H40" s="2"/>
      <c r="I40" s="2"/>
      <c r="J40" s="2"/>
      <c r="K40" s="2"/>
      <c r="L40" s="2"/>
      <c r="M40" s="2"/>
    </row>
    <row r="41" spans="2:13" ht="6.75" customHeight="1">
      <c r="B41" s="121"/>
      <c r="C41" s="121"/>
      <c r="D41" s="121"/>
      <c r="E41" s="3"/>
      <c r="F41" s="2"/>
      <c r="G41" s="2"/>
      <c r="H41" s="2"/>
      <c r="I41" s="2"/>
      <c r="J41" s="2"/>
      <c r="K41" s="2"/>
      <c r="L41" s="2"/>
      <c r="M41" s="2"/>
    </row>
    <row r="42" spans="2:13">
      <c r="E42" s="122"/>
    </row>
  </sheetData>
  <protectedRanges>
    <protectedRange sqref="B8:B39" name="Range1_2_2"/>
  </protectedRanges>
  <mergeCells count="3">
    <mergeCell ref="B1:M1"/>
    <mergeCell ref="B2:M2"/>
    <mergeCell ref="B4:M4"/>
  </mergeCells>
  <pageMargins left="0.26" right="0.17" top="0.38" bottom="0.13" header="0.3" footer="0.3"/>
  <pageSetup orientation="landscape" horizontalDpi="180" verticalDpi="18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G37"/>
  <sheetViews>
    <sheetView zoomScale="80" zoomScaleNormal="80" workbookViewId="0">
      <pane xSplit="1" ySplit="5" topLeftCell="B6" activePane="bottomRight" state="frozen"/>
      <selection pane="topRight" activeCell="B1" sqref="B1"/>
      <selection pane="bottomLeft" activeCell="A6" sqref="A6"/>
      <selection pane="bottomRight" activeCell="Q25" sqref="Q25"/>
    </sheetView>
  </sheetViews>
  <sheetFormatPr defaultColWidth="9" defaultRowHeight="14.4"/>
  <cols>
    <col min="1" max="1" width="12.109375" customWidth="1"/>
    <col min="2" max="3" width="15" customWidth="1"/>
    <col min="4" max="4" width="13.33203125" customWidth="1"/>
    <col min="5" max="6" width="14.44140625" customWidth="1"/>
    <col min="7" max="7" width="13.44140625" bestFit="1" customWidth="1"/>
  </cols>
  <sheetData>
    <row r="1" spans="1:7" s="90" customFormat="1" ht="17.399999999999999">
      <c r="A1" s="1003" t="s">
        <v>203</v>
      </c>
      <c r="B1" s="1003"/>
      <c r="C1" s="1003"/>
      <c r="D1" s="1003"/>
    </row>
    <row r="2" spans="1:7" s="90" customFormat="1" ht="17.399999999999999">
      <c r="A2" s="90" t="s">
        <v>95</v>
      </c>
      <c r="B2" s="92">
        <v>45778</v>
      </c>
    </row>
    <row r="3" spans="1:7" s="90" customFormat="1" ht="17.399999999999999">
      <c r="A3" s="90" t="s">
        <v>204</v>
      </c>
      <c r="B3" s="1004"/>
      <c r="C3" s="1004"/>
    </row>
    <row r="5" spans="1:7" s="91" customFormat="1" ht="58.2" thickBot="1">
      <c r="A5" s="93" t="s">
        <v>49</v>
      </c>
      <c r="B5" s="94" t="s">
        <v>205</v>
      </c>
      <c r="C5" s="94" t="s">
        <v>206</v>
      </c>
      <c r="D5" s="95" t="s">
        <v>207</v>
      </c>
      <c r="E5" s="94" t="s">
        <v>208</v>
      </c>
      <c r="F5" s="94" t="s">
        <v>209</v>
      </c>
      <c r="G5" s="95" t="s">
        <v>207</v>
      </c>
    </row>
    <row r="6" spans="1:7">
      <c r="A6" s="772">
        <f>B2+0</f>
        <v>45778</v>
      </c>
      <c r="B6" s="823">
        <f>LS_RPRO!H6</f>
        <v>0</v>
      </c>
      <c r="C6" s="823">
        <v>60</v>
      </c>
      <c r="D6" s="824">
        <f>SUM(C6-B6)</f>
        <v>60</v>
      </c>
      <c r="E6" s="825"/>
      <c r="F6" s="825"/>
      <c r="G6" s="826">
        <f>E6-F6</f>
        <v>0</v>
      </c>
    </row>
    <row r="7" spans="1:7">
      <c r="A7" s="774">
        <f>A6+1</f>
        <v>45779</v>
      </c>
      <c r="B7" s="689">
        <f>LS_RPRO!H7</f>
        <v>101</v>
      </c>
      <c r="C7" s="689">
        <v>51</v>
      </c>
      <c r="D7" s="97">
        <f t="shared" ref="D7:D35" si="0">SUM(C7-B7)</f>
        <v>-50</v>
      </c>
      <c r="E7" s="757"/>
      <c r="F7" s="757"/>
      <c r="G7" s="827">
        <f t="shared" ref="G7:G36" si="1">E7-F7</f>
        <v>0</v>
      </c>
    </row>
    <row r="8" spans="1:7">
      <c r="A8" s="774">
        <f t="shared" ref="A8:A36" si="2">A7+1</f>
        <v>45780</v>
      </c>
      <c r="B8" s="689">
        <f>LS_RPRO!H8</f>
        <v>138</v>
      </c>
      <c r="C8" s="689">
        <v>57</v>
      </c>
      <c r="D8" s="97">
        <f t="shared" si="0"/>
        <v>-81</v>
      </c>
      <c r="E8" s="757"/>
      <c r="F8" s="757"/>
      <c r="G8" s="827">
        <f t="shared" si="1"/>
        <v>0</v>
      </c>
    </row>
    <row r="9" spans="1:7">
      <c r="A9" s="774">
        <f t="shared" si="2"/>
        <v>45781</v>
      </c>
      <c r="B9" s="689">
        <f>LS_RPRO!H9</f>
        <v>130</v>
      </c>
      <c r="C9" s="689">
        <v>78</v>
      </c>
      <c r="D9" s="97">
        <f t="shared" si="0"/>
        <v>-52</v>
      </c>
      <c r="E9" s="757"/>
      <c r="F9" s="757"/>
      <c r="G9" s="827">
        <f t="shared" si="1"/>
        <v>0</v>
      </c>
    </row>
    <row r="10" spans="1:7">
      <c r="A10" s="774">
        <f t="shared" si="2"/>
        <v>45782</v>
      </c>
      <c r="B10" s="689">
        <f>LS_RPRO!H10</f>
        <v>75</v>
      </c>
      <c r="C10" s="757">
        <v>93</v>
      </c>
      <c r="D10" s="97">
        <f t="shared" si="0"/>
        <v>18</v>
      </c>
      <c r="E10" s="757"/>
      <c r="F10" s="757"/>
      <c r="G10" s="827">
        <f t="shared" si="1"/>
        <v>0</v>
      </c>
    </row>
    <row r="11" spans="1:7">
      <c r="A11" s="774">
        <f t="shared" si="2"/>
        <v>45783</v>
      </c>
      <c r="B11" s="689">
        <f>LS_RPRO!H11</f>
        <v>72</v>
      </c>
      <c r="C11" s="757"/>
      <c r="D11" s="97">
        <f t="shared" si="0"/>
        <v>-72</v>
      </c>
      <c r="E11" s="757"/>
      <c r="F11" s="757"/>
      <c r="G11" s="827">
        <f t="shared" si="1"/>
        <v>0</v>
      </c>
    </row>
    <row r="12" spans="1:7">
      <c r="A12" s="774">
        <f t="shared" si="2"/>
        <v>45784</v>
      </c>
      <c r="B12" s="689">
        <f>LS_RPRO!H12</f>
        <v>50</v>
      </c>
      <c r="C12" s="757"/>
      <c r="D12" s="97">
        <f t="shared" si="0"/>
        <v>-50</v>
      </c>
      <c r="E12" s="757"/>
      <c r="F12" s="757"/>
      <c r="G12" s="827">
        <f t="shared" si="1"/>
        <v>0</v>
      </c>
    </row>
    <row r="13" spans="1:7">
      <c r="A13" s="774">
        <f t="shared" si="2"/>
        <v>45785</v>
      </c>
      <c r="B13" s="689">
        <f>LS_RPRO!H13</f>
        <v>67</v>
      </c>
      <c r="C13" s="757"/>
      <c r="D13" s="97">
        <f t="shared" si="0"/>
        <v>-67</v>
      </c>
      <c r="E13" s="757"/>
      <c r="F13" s="757"/>
      <c r="G13" s="827">
        <f t="shared" si="1"/>
        <v>0</v>
      </c>
    </row>
    <row r="14" spans="1:7">
      <c r="A14" s="774">
        <f t="shared" si="2"/>
        <v>45786</v>
      </c>
      <c r="B14" s="689">
        <f>LS_RPRO!H14</f>
        <v>81</v>
      </c>
      <c r="C14" s="757"/>
      <c r="D14" s="97">
        <f t="shared" si="0"/>
        <v>-81</v>
      </c>
      <c r="E14" s="757"/>
      <c r="F14" s="757"/>
      <c r="G14" s="827">
        <f t="shared" si="1"/>
        <v>0</v>
      </c>
    </row>
    <row r="15" spans="1:7">
      <c r="A15" s="774">
        <f t="shared" si="2"/>
        <v>45787</v>
      </c>
      <c r="B15" s="689">
        <f>LS_RPRO!H15</f>
        <v>142</v>
      </c>
      <c r="C15" s="757"/>
      <c r="D15" s="97">
        <f t="shared" si="0"/>
        <v>-142</v>
      </c>
      <c r="E15" s="757"/>
      <c r="F15" s="757"/>
      <c r="G15" s="827">
        <f t="shared" si="1"/>
        <v>0</v>
      </c>
    </row>
    <row r="16" spans="1:7">
      <c r="A16" s="774">
        <f t="shared" si="2"/>
        <v>45788</v>
      </c>
      <c r="B16" s="689">
        <f>LS_RPRO!H16</f>
        <v>133</v>
      </c>
      <c r="C16" s="757"/>
      <c r="D16" s="97">
        <f t="shared" si="0"/>
        <v>-133</v>
      </c>
      <c r="E16" s="757"/>
      <c r="F16" s="757"/>
      <c r="G16" s="827">
        <f t="shared" si="1"/>
        <v>0</v>
      </c>
    </row>
    <row r="17" spans="1:7">
      <c r="A17" s="774">
        <f t="shared" si="2"/>
        <v>45789</v>
      </c>
      <c r="B17" s="689">
        <f>LS_RPRO!H17</f>
        <v>24</v>
      </c>
      <c r="C17" s="757"/>
      <c r="D17" s="97">
        <f t="shared" si="0"/>
        <v>-24</v>
      </c>
      <c r="E17" s="757"/>
      <c r="F17" s="757"/>
      <c r="G17" s="827">
        <f t="shared" si="1"/>
        <v>0</v>
      </c>
    </row>
    <row r="18" spans="1:7">
      <c r="A18" s="774">
        <f t="shared" si="2"/>
        <v>45790</v>
      </c>
      <c r="B18" s="689">
        <f>LS_RPRO!H18</f>
        <v>0</v>
      </c>
      <c r="C18" s="757"/>
      <c r="D18" s="97">
        <f t="shared" si="0"/>
        <v>0</v>
      </c>
      <c r="E18" s="757"/>
      <c r="F18" s="757"/>
      <c r="G18" s="827">
        <f t="shared" si="1"/>
        <v>0</v>
      </c>
    </row>
    <row r="19" spans="1:7">
      <c r="A19" s="774">
        <f t="shared" si="2"/>
        <v>45791</v>
      </c>
      <c r="B19" s="689">
        <f>LS_RPRO!H19</f>
        <v>0</v>
      </c>
      <c r="C19" s="757"/>
      <c r="D19" s="97">
        <f t="shared" si="0"/>
        <v>0</v>
      </c>
      <c r="E19" s="757"/>
      <c r="F19" s="757"/>
      <c r="G19" s="827">
        <f t="shared" si="1"/>
        <v>0</v>
      </c>
    </row>
    <row r="20" spans="1:7">
      <c r="A20" s="774">
        <f t="shared" si="2"/>
        <v>45792</v>
      </c>
      <c r="B20" s="689">
        <f>LS_RPRO!H20</f>
        <v>0</v>
      </c>
      <c r="C20" s="757"/>
      <c r="D20" s="97">
        <f t="shared" si="0"/>
        <v>0</v>
      </c>
      <c r="E20" s="757"/>
      <c r="F20" s="757"/>
      <c r="G20" s="827">
        <f t="shared" si="1"/>
        <v>0</v>
      </c>
    </row>
    <row r="21" spans="1:7">
      <c r="A21" s="774">
        <f t="shared" si="2"/>
        <v>45793</v>
      </c>
      <c r="B21" s="689">
        <f>LS_RPRO!H23</f>
        <v>0</v>
      </c>
      <c r="C21" s="757"/>
      <c r="D21" s="97">
        <f t="shared" si="0"/>
        <v>0</v>
      </c>
      <c r="E21" s="757"/>
      <c r="F21" s="757"/>
      <c r="G21" s="827">
        <f t="shared" si="1"/>
        <v>0</v>
      </c>
    </row>
    <row r="22" spans="1:7">
      <c r="A22" s="774">
        <f t="shared" si="2"/>
        <v>45794</v>
      </c>
      <c r="B22" s="689">
        <f>LS_RPRO!H24</f>
        <v>0</v>
      </c>
      <c r="C22" s="757"/>
      <c r="D22" s="97">
        <f t="shared" si="0"/>
        <v>0</v>
      </c>
      <c r="E22" s="757"/>
      <c r="F22" s="757"/>
      <c r="G22" s="827">
        <f t="shared" si="1"/>
        <v>0</v>
      </c>
    </row>
    <row r="23" spans="1:7">
      <c r="A23" s="774">
        <f t="shared" si="2"/>
        <v>45795</v>
      </c>
      <c r="B23" s="689">
        <f>LS_RPRO!H25</f>
        <v>0</v>
      </c>
      <c r="C23" s="757"/>
      <c r="D23" s="97">
        <f t="shared" si="0"/>
        <v>0</v>
      </c>
      <c r="E23" s="757"/>
      <c r="F23" s="757"/>
      <c r="G23" s="827">
        <f t="shared" si="1"/>
        <v>0</v>
      </c>
    </row>
    <row r="24" spans="1:7">
      <c r="A24" s="774">
        <f t="shared" si="2"/>
        <v>45796</v>
      </c>
      <c r="B24" s="689">
        <f>LS_RPRO!H26</f>
        <v>0</v>
      </c>
      <c r="C24" s="757"/>
      <c r="D24" s="97">
        <f t="shared" si="0"/>
        <v>0</v>
      </c>
      <c r="E24" s="757"/>
      <c r="F24" s="757"/>
      <c r="G24" s="827">
        <f t="shared" si="1"/>
        <v>0</v>
      </c>
    </row>
    <row r="25" spans="1:7">
      <c r="A25" s="774">
        <f t="shared" si="2"/>
        <v>45797</v>
      </c>
      <c r="B25" s="689">
        <f>LS_RPRO!H27</f>
        <v>0</v>
      </c>
      <c r="C25" s="757"/>
      <c r="D25" s="97">
        <f t="shared" si="0"/>
        <v>0</v>
      </c>
      <c r="E25" s="757"/>
      <c r="F25" s="757"/>
      <c r="G25" s="827">
        <f t="shared" si="1"/>
        <v>0</v>
      </c>
    </row>
    <row r="26" spans="1:7">
      <c r="A26" s="774">
        <f t="shared" si="2"/>
        <v>45798</v>
      </c>
      <c r="B26" s="689">
        <f>LS_RPRO!H28</f>
        <v>0</v>
      </c>
      <c r="C26" s="757"/>
      <c r="D26" s="97">
        <f t="shared" si="0"/>
        <v>0</v>
      </c>
      <c r="E26" s="757"/>
      <c r="F26" s="757"/>
      <c r="G26" s="827">
        <f t="shared" si="1"/>
        <v>0</v>
      </c>
    </row>
    <row r="27" spans="1:7">
      <c r="A27" s="774">
        <f t="shared" si="2"/>
        <v>45799</v>
      </c>
      <c r="B27" s="689">
        <f>LS_RPRO!H29</f>
        <v>0</v>
      </c>
      <c r="C27" s="757"/>
      <c r="D27" s="97">
        <f t="shared" si="0"/>
        <v>0</v>
      </c>
      <c r="E27" s="757"/>
      <c r="F27" s="757"/>
      <c r="G27" s="827">
        <f t="shared" si="1"/>
        <v>0</v>
      </c>
    </row>
    <row r="28" spans="1:7">
      <c r="A28" s="774">
        <f t="shared" si="2"/>
        <v>45800</v>
      </c>
      <c r="B28" s="689">
        <f>LS_RPRO!H30</f>
        <v>0</v>
      </c>
      <c r="C28" s="757"/>
      <c r="D28" s="97">
        <f t="shared" si="0"/>
        <v>0</v>
      </c>
      <c r="E28" s="757"/>
      <c r="F28" s="757"/>
      <c r="G28" s="827">
        <f t="shared" si="1"/>
        <v>0</v>
      </c>
    </row>
    <row r="29" spans="1:7">
      <c r="A29" s="774">
        <f t="shared" si="2"/>
        <v>45801</v>
      </c>
      <c r="B29" s="689">
        <f>LS_RPRO!H31</f>
        <v>0</v>
      </c>
      <c r="C29" s="757"/>
      <c r="D29" s="97">
        <f t="shared" si="0"/>
        <v>0</v>
      </c>
      <c r="E29" s="757"/>
      <c r="F29" s="757"/>
      <c r="G29" s="827">
        <f t="shared" si="1"/>
        <v>0</v>
      </c>
    </row>
    <row r="30" spans="1:7">
      <c r="A30" s="774">
        <f t="shared" si="2"/>
        <v>45802</v>
      </c>
      <c r="B30" s="689">
        <f>LS_RPRO!H32</f>
        <v>0</v>
      </c>
      <c r="C30" s="757"/>
      <c r="D30" s="97">
        <f t="shared" si="0"/>
        <v>0</v>
      </c>
      <c r="E30" s="757"/>
      <c r="F30" s="757"/>
      <c r="G30" s="827">
        <f t="shared" si="1"/>
        <v>0</v>
      </c>
    </row>
    <row r="31" spans="1:7">
      <c r="A31" s="774">
        <f t="shared" si="2"/>
        <v>45803</v>
      </c>
      <c r="B31" s="689">
        <f>LS_RPRO!H33</f>
        <v>0</v>
      </c>
      <c r="C31" s="757"/>
      <c r="D31" s="97">
        <f t="shared" si="0"/>
        <v>0</v>
      </c>
      <c r="E31" s="757"/>
      <c r="F31" s="757"/>
      <c r="G31" s="827">
        <f t="shared" si="1"/>
        <v>0</v>
      </c>
    </row>
    <row r="32" spans="1:7">
      <c r="A32" s="774">
        <f t="shared" si="2"/>
        <v>45804</v>
      </c>
      <c r="B32" s="689">
        <f>LS_RPRO!H34</f>
        <v>0</v>
      </c>
      <c r="C32" s="757"/>
      <c r="D32" s="97">
        <f t="shared" si="0"/>
        <v>0</v>
      </c>
      <c r="E32" s="757"/>
      <c r="F32" s="757"/>
      <c r="G32" s="827">
        <f t="shared" si="1"/>
        <v>0</v>
      </c>
    </row>
    <row r="33" spans="1:7">
      <c r="A33" s="774">
        <f t="shared" si="2"/>
        <v>45805</v>
      </c>
      <c r="B33" s="689">
        <f>LS_RPRO!H35</f>
        <v>0</v>
      </c>
      <c r="C33" s="757"/>
      <c r="D33" s="97">
        <f t="shared" si="0"/>
        <v>0</v>
      </c>
      <c r="E33" s="757"/>
      <c r="F33" s="757"/>
      <c r="G33" s="827">
        <f t="shared" si="1"/>
        <v>0</v>
      </c>
    </row>
    <row r="34" spans="1:7">
      <c r="A34" s="774">
        <f t="shared" si="2"/>
        <v>45806</v>
      </c>
      <c r="B34" s="689">
        <f>LS_RPRO!H36</f>
        <v>0</v>
      </c>
      <c r="C34" s="757"/>
      <c r="D34" s="97">
        <f t="shared" si="0"/>
        <v>0</v>
      </c>
      <c r="E34" s="757"/>
      <c r="F34" s="757"/>
      <c r="G34" s="827">
        <f t="shared" si="1"/>
        <v>0</v>
      </c>
    </row>
    <row r="35" spans="1:7">
      <c r="A35" s="774">
        <f t="shared" si="2"/>
        <v>45807</v>
      </c>
      <c r="B35" s="689">
        <f>LS_RPRO!H37</f>
        <v>0</v>
      </c>
      <c r="C35" s="757"/>
      <c r="D35" s="97">
        <f t="shared" si="0"/>
        <v>0</v>
      </c>
      <c r="E35" s="757"/>
      <c r="F35" s="757"/>
      <c r="G35" s="827">
        <f t="shared" si="1"/>
        <v>0</v>
      </c>
    </row>
    <row r="36" spans="1:7" ht="15" thickBot="1">
      <c r="A36" s="775">
        <f t="shared" si="2"/>
        <v>45808</v>
      </c>
      <c r="B36" s="699">
        <f>LS_RPRO!H38</f>
        <v>0</v>
      </c>
      <c r="C36" s="770"/>
      <c r="D36" s="828">
        <f>SUM(C36-B36)</f>
        <v>0</v>
      </c>
      <c r="E36" s="770"/>
      <c r="F36" s="770"/>
      <c r="G36" s="829">
        <f t="shared" si="1"/>
        <v>0</v>
      </c>
    </row>
    <row r="37" spans="1:7" ht="15" thickBot="1">
      <c r="A37" s="821" t="s">
        <v>185</v>
      </c>
      <c r="B37" s="822">
        <f>SUM(B6:B36)</f>
        <v>1013</v>
      </c>
      <c r="C37" s="822">
        <f t="shared" ref="C37:G37" si="3">SUM(C6:C36)</f>
        <v>339</v>
      </c>
      <c r="D37" s="822">
        <f t="shared" si="3"/>
        <v>-674</v>
      </c>
      <c r="E37" s="822">
        <f t="shared" si="3"/>
        <v>0</v>
      </c>
      <c r="F37" s="822">
        <f t="shared" si="3"/>
        <v>0</v>
      </c>
      <c r="G37" s="822">
        <f t="shared" si="3"/>
        <v>0</v>
      </c>
    </row>
  </sheetData>
  <mergeCells count="2">
    <mergeCell ref="A1:D1"/>
    <mergeCell ref="B3:C3"/>
  </mergeCells>
  <pageMargins left="0.7" right="0.7" top="0.75" bottom="0.75" header="0.3" footer="0.3"/>
  <pageSetup paperSize="9" orientation="portrait" horizontalDpi="120" verticalDpi="7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theme="5" tint="-0.249977111117893"/>
  </sheetPr>
  <dimension ref="A1:W16"/>
  <sheetViews>
    <sheetView workbookViewId="0">
      <pane xSplit="1" ySplit="5" topLeftCell="B6" activePane="bottomRight" state="frozen"/>
      <selection pane="topRight"/>
      <selection pane="bottomLeft"/>
      <selection pane="bottomRight" activeCell="F17" sqref="F17"/>
    </sheetView>
  </sheetViews>
  <sheetFormatPr defaultColWidth="9" defaultRowHeight="14.4"/>
  <cols>
    <col min="1" max="2" width="11.88671875" customWidth="1"/>
    <col min="3" max="3" width="12.44140625" customWidth="1"/>
    <col min="4" max="4" width="11.33203125" customWidth="1"/>
    <col min="5" max="5" width="11" customWidth="1"/>
    <col min="6" max="6" width="11.33203125" customWidth="1"/>
    <col min="7" max="7" width="12.44140625" customWidth="1"/>
    <col min="8" max="9" width="11.33203125" customWidth="1"/>
    <col min="10" max="10" width="12.44140625" customWidth="1"/>
    <col min="11" max="11" width="11.33203125" customWidth="1"/>
    <col min="12" max="12" width="9.109375" customWidth="1"/>
    <col min="17" max="18" width="9.44140625" customWidth="1"/>
    <col min="19" max="19" width="7.88671875" customWidth="1"/>
    <col min="20" max="20" width="9.44140625" customWidth="1"/>
    <col min="21" max="21" width="7.6640625" customWidth="1"/>
    <col min="22" max="22" width="6.88671875" customWidth="1"/>
    <col min="23" max="23" width="11" style="5" customWidth="1"/>
  </cols>
  <sheetData>
    <row r="1" spans="1:23" ht="15.6">
      <c r="A1" s="6" t="s">
        <v>163</v>
      </c>
      <c r="B1" s="6"/>
      <c r="C1" s="6"/>
      <c r="D1" s="6"/>
      <c r="E1" s="6"/>
      <c r="F1" s="6"/>
      <c r="G1" s="6"/>
      <c r="H1" s="6"/>
      <c r="I1" s="6"/>
      <c r="J1" s="6"/>
      <c r="K1" s="6"/>
      <c r="L1" s="6"/>
      <c r="M1" s="6"/>
      <c r="N1" s="7"/>
      <c r="O1" s="7"/>
      <c r="P1" s="7"/>
    </row>
    <row r="2" spans="1:23" ht="15.6">
      <c r="A2" s="6" t="s">
        <v>210</v>
      </c>
      <c r="B2" s="6"/>
      <c r="C2" s="6"/>
      <c r="D2" s="6"/>
      <c r="E2" s="6"/>
      <c r="F2" s="6"/>
      <c r="G2" s="6"/>
      <c r="H2" s="6"/>
      <c r="I2" s="6"/>
      <c r="J2" s="6"/>
      <c r="K2" s="6"/>
      <c r="L2" s="6"/>
      <c r="M2" s="6"/>
      <c r="N2" s="33"/>
    </row>
    <row r="3" spans="1:23" ht="15.6">
      <c r="A3" s="7"/>
      <c r="B3" s="7"/>
      <c r="C3" s="7"/>
      <c r="D3" s="7"/>
      <c r="E3" s="7"/>
      <c r="F3" s="7"/>
      <c r="G3" s="7"/>
      <c r="H3" s="7"/>
      <c r="I3" s="7"/>
      <c r="J3" s="7"/>
      <c r="K3" s="7"/>
      <c r="L3" s="7"/>
      <c r="M3" s="7"/>
      <c r="N3" s="33"/>
    </row>
    <row r="4" spans="1:23">
      <c r="A4" s="8" t="s">
        <v>49</v>
      </c>
      <c r="B4" s="1011" t="s">
        <v>165</v>
      </c>
      <c r="C4" s="1012"/>
      <c r="D4" s="1012"/>
      <c r="E4" s="1012"/>
      <c r="F4" s="1011" t="s">
        <v>16</v>
      </c>
      <c r="G4" s="1012"/>
      <c r="H4" s="1013"/>
      <c r="I4" s="1012" t="s">
        <v>17</v>
      </c>
      <c r="J4" s="1012"/>
      <c r="K4" s="1013"/>
      <c r="L4" s="1005" t="s">
        <v>187</v>
      </c>
      <c r="M4" s="1006"/>
      <c r="N4" s="1007"/>
      <c r="O4" s="1005" t="s">
        <v>186</v>
      </c>
      <c r="P4" s="1006"/>
      <c r="Q4" s="1007"/>
      <c r="R4" s="1005" t="s">
        <v>188</v>
      </c>
      <c r="S4" s="1006"/>
      <c r="T4" s="1007"/>
      <c r="U4" s="1008" t="s">
        <v>189</v>
      </c>
      <c r="V4" s="1009"/>
      <c r="W4" s="1010"/>
    </row>
    <row r="5" spans="1:23">
      <c r="A5" s="9"/>
      <c r="B5" s="10">
        <v>2024</v>
      </c>
      <c r="C5" s="11">
        <v>2025</v>
      </c>
      <c r="D5" s="11" t="s">
        <v>211</v>
      </c>
      <c r="E5" s="12" t="s">
        <v>212</v>
      </c>
      <c r="F5" s="10">
        <v>2023</v>
      </c>
      <c r="G5" s="11">
        <v>2024</v>
      </c>
      <c r="H5" s="13" t="s">
        <v>211</v>
      </c>
      <c r="I5" s="10">
        <v>2023</v>
      </c>
      <c r="J5" s="11">
        <v>2024</v>
      </c>
      <c r="K5" s="11" t="s">
        <v>211</v>
      </c>
      <c r="L5" s="34">
        <v>2023</v>
      </c>
      <c r="M5" s="35">
        <v>2024</v>
      </c>
      <c r="N5" s="36" t="s">
        <v>141</v>
      </c>
      <c r="O5" s="34">
        <v>2023</v>
      </c>
      <c r="P5" s="35">
        <v>2024</v>
      </c>
      <c r="Q5" s="61" t="s">
        <v>141</v>
      </c>
      <c r="R5" s="34">
        <v>2023</v>
      </c>
      <c r="S5" s="35">
        <v>2024</v>
      </c>
      <c r="T5" s="62" t="s">
        <v>141</v>
      </c>
      <c r="U5" s="63">
        <v>2023</v>
      </c>
      <c r="V5" s="64">
        <v>2024</v>
      </c>
      <c r="W5" s="65" t="s">
        <v>141</v>
      </c>
    </row>
    <row r="6" spans="1:23" s="4" customFormat="1" ht="13.8">
      <c r="A6" s="563" t="s">
        <v>214</v>
      </c>
      <c r="B6" s="14">
        <f>SUM('Seasonality Template'!G25:G32)</f>
        <v>1919018.7</v>
      </c>
      <c r="C6" s="14">
        <f>SUM('Seasonality Template'!K25:K32)</f>
        <v>1667840.42</v>
      </c>
      <c r="D6" s="15">
        <f>(C6-B6)/B6</f>
        <v>-0.13088891734093056</v>
      </c>
      <c r="E6" s="16">
        <f>C6/'Seasonality Template'!$G$15</f>
        <v>0.19170579540229885</v>
      </c>
      <c r="F6" s="14">
        <f>SUM('Seasonality Template'!P25:P32)</f>
        <v>2873.03</v>
      </c>
      <c r="G6" s="14">
        <f>SUM('Seasonality Template'!Q25:Q32)</f>
        <v>7218.62</v>
      </c>
      <c r="H6" s="17">
        <f t="shared" ref="H6:H12" si="0">(G6-F6)/F6</f>
        <v>1.5125459880335395</v>
      </c>
      <c r="I6" s="37">
        <f>B6-F6</f>
        <v>1916145.67</v>
      </c>
      <c r="J6" s="38">
        <f t="shared" ref="I6:J10" si="1">C6-G6</f>
        <v>1660621.7999999998</v>
      </c>
      <c r="K6" s="39">
        <f t="shared" ref="K6:K12" si="2">(J6-I6)/I6</f>
        <v>-0.13335305034507117</v>
      </c>
      <c r="L6" s="40">
        <f>SUM('Seasonality Template'!AL25:AL32)</f>
        <v>830</v>
      </c>
      <c r="M6" s="41">
        <f>SUM('Seasonality Template'!AM25:AM32)</f>
        <v>633</v>
      </c>
      <c r="N6" s="42">
        <f t="shared" ref="N6:N12" si="3">(M6-L6)/L6</f>
        <v>-0.23734939759036144</v>
      </c>
      <c r="O6" s="40">
        <f>SUM('Seasonality Template'!AI25:AI32)</f>
        <v>4546</v>
      </c>
      <c r="P6" s="40">
        <f>SUM('Seasonality Template'!AJ25:AJ32)</f>
        <v>4478</v>
      </c>
      <c r="Q6" s="42">
        <f t="shared" ref="Q6:Q12" si="4">(P6-O6)/O6</f>
        <v>-1.4958205015398152E-2</v>
      </c>
      <c r="R6" s="66">
        <f>+B6/L6</f>
        <v>2312.0707228915662</v>
      </c>
      <c r="S6" s="67">
        <f t="shared" ref="R6:S12" si="5">+C6/M6</f>
        <v>2634.818988941548</v>
      </c>
      <c r="T6" s="68">
        <f t="shared" ref="T6:T12" si="6">(S6-R6)/R6</f>
        <v>0.13959273081678927</v>
      </c>
      <c r="U6" s="69">
        <f t="shared" ref="U6:V12" si="7">+L6/O6</f>
        <v>0.1825780906291245</v>
      </c>
      <c r="V6" s="70">
        <f t="shared" si="7"/>
        <v>0.1413577489950871</v>
      </c>
      <c r="W6" s="71">
        <f t="shared" ref="W6:W12" si="8">V6-U6</f>
        <v>-4.12203416340374E-2</v>
      </c>
    </row>
    <row r="7" spans="1:23" s="4" customFormat="1" ht="13.8">
      <c r="A7" s="563" t="s">
        <v>215</v>
      </c>
      <c r="B7" s="14">
        <f>SUM('Seasonality Template'!G33:G39)</f>
        <v>1896708.85</v>
      </c>
      <c r="C7" s="14">
        <f>SUM('Seasonality Template'!K33:K39)</f>
        <v>988060.18</v>
      </c>
      <c r="D7" s="18">
        <f>(C7-B7)/B7</f>
        <v>-0.47906597261883394</v>
      </c>
      <c r="E7" s="19">
        <f>C7/'Seasonality Template'!$G$15</f>
        <v>0.11357013563218392</v>
      </c>
      <c r="F7" s="14">
        <f>SUM('Seasonality Template'!P33:P39)</f>
        <v>6482.97</v>
      </c>
      <c r="G7" s="14">
        <f>SUM('Seasonality Template'!Q33:Q39)</f>
        <v>9251.2599999999984</v>
      </c>
      <c r="H7" s="20">
        <f t="shared" si="0"/>
        <v>0.42700953421040017</v>
      </c>
      <c r="I7" s="43">
        <f t="shared" si="1"/>
        <v>1890225.8800000001</v>
      </c>
      <c r="J7" s="44">
        <f>C7-G7</f>
        <v>978808.92</v>
      </c>
      <c r="K7" s="45">
        <f t="shared" si="2"/>
        <v>-0.48217356964766561</v>
      </c>
      <c r="L7" s="40">
        <f>SUM('Seasonality Template'!AL33:AL39)</f>
        <v>793</v>
      </c>
      <c r="M7" s="40">
        <f>SUM('Seasonality Template'!AM33:AM39)</f>
        <v>380</v>
      </c>
      <c r="N7" s="46">
        <f t="shared" si="3"/>
        <v>-0.52080706179066838</v>
      </c>
      <c r="O7" s="40">
        <f>SUM('Seasonality Template'!AI33:AI39)</f>
        <v>4233</v>
      </c>
      <c r="P7" s="40">
        <f>SUM('Seasonality Template'!AJ33:AJ39)</f>
        <v>2349</v>
      </c>
      <c r="Q7" s="46">
        <f t="shared" si="4"/>
        <v>-0.445074415308292</v>
      </c>
      <c r="R7" s="66">
        <f t="shared" si="5"/>
        <v>2391.8144388398487</v>
      </c>
      <c r="S7" s="67">
        <f>+C7/M7</f>
        <v>2600.1583684210527</v>
      </c>
      <c r="T7" s="72">
        <f t="shared" si="6"/>
        <v>8.7107062403328175E-2</v>
      </c>
      <c r="U7" s="69">
        <f t="shared" si="7"/>
        <v>0.18733758563666431</v>
      </c>
      <c r="V7" s="70">
        <f t="shared" si="7"/>
        <v>0.16177096636866753</v>
      </c>
      <c r="W7" s="73">
        <f t="shared" si="8"/>
        <v>-2.5566619267996776E-2</v>
      </c>
    </row>
    <row r="8" spans="1:23" s="4" customFormat="1" ht="13.8">
      <c r="A8" s="563" t="s">
        <v>216</v>
      </c>
      <c r="B8" s="14">
        <f>SUM('Seasonality Template'!G40:G46)</f>
        <v>1980196.3100000003</v>
      </c>
      <c r="C8" s="14">
        <f>SUM('Seasonality Template'!K40:K46)</f>
        <v>0</v>
      </c>
      <c r="D8" s="18">
        <f t="shared" ref="D8:D12" si="9">(C8-B8)/B8</f>
        <v>-1</v>
      </c>
      <c r="E8" s="19">
        <f>C8/'Seasonality Template'!$G$15</f>
        <v>0</v>
      </c>
      <c r="F8" s="14">
        <f>SUM('Seasonality Template'!P40:P46)</f>
        <v>14244.19</v>
      </c>
      <c r="G8" s="14">
        <f>SUM('Seasonality Template'!Q40:Q46)</f>
        <v>0</v>
      </c>
      <c r="H8" s="20">
        <f t="shared" si="0"/>
        <v>-1</v>
      </c>
      <c r="I8" s="43">
        <f t="shared" si="1"/>
        <v>1965952.1200000003</v>
      </c>
      <c r="J8" s="44">
        <f t="shared" si="1"/>
        <v>0</v>
      </c>
      <c r="K8" s="45">
        <f t="shared" si="2"/>
        <v>-1</v>
      </c>
      <c r="L8" s="40">
        <f>SUM('Seasonality Template'!AL40:AL46)</f>
        <v>886</v>
      </c>
      <c r="M8" s="40">
        <f>SUM('Seasonality Template'!AM40:AM46)</f>
        <v>0</v>
      </c>
      <c r="N8" s="46">
        <f t="shared" si="3"/>
        <v>-1</v>
      </c>
      <c r="O8" s="40">
        <f>SUM('Seasonality Template'!AI40:AI46)</f>
        <v>4183</v>
      </c>
      <c r="P8" s="40">
        <f>SUM('Seasonality Template'!AJ40:AJ46)</f>
        <v>0</v>
      </c>
      <c r="Q8" s="46">
        <f t="shared" si="4"/>
        <v>-1</v>
      </c>
      <c r="R8" s="66">
        <f t="shared" si="5"/>
        <v>2234.9845485327319</v>
      </c>
      <c r="S8" s="67" t="e">
        <f t="shared" si="5"/>
        <v>#DIV/0!</v>
      </c>
      <c r="T8" s="72" t="e">
        <f t="shared" si="6"/>
        <v>#DIV/0!</v>
      </c>
      <c r="U8" s="69">
        <f t="shared" si="7"/>
        <v>0.21180970595266554</v>
      </c>
      <c r="V8" s="70" t="e">
        <f t="shared" si="7"/>
        <v>#DIV/0!</v>
      </c>
      <c r="W8" s="73" t="e">
        <f t="shared" si="8"/>
        <v>#DIV/0!</v>
      </c>
    </row>
    <row r="9" spans="1:23" s="4" customFormat="1" ht="13.8">
      <c r="A9" s="563" t="s">
        <v>217</v>
      </c>
      <c r="B9" s="14">
        <f>SUM('Seasonality Template'!G47:G54)</f>
        <v>1933721.7000000002</v>
      </c>
      <c r="C9" s="14">
        <f>SUM('Seasonality Template'!K47:K54)</f>
        <v>0</v>
      </c>
      <c r="D9" s="18">
        <f t="shared" si="9"/>
        <v>-1</v>
      </c>
      <c r="E9" s="19">
        <f>C9/'Seasonality Template'!$G$15</f>
        <v>0</v>
      </c>
      <c r="F9" s="14">
        <f>SUM('Seasonality Template'!P47:P54)</f>
        <v>7986.93</v>
      </c>
      <c r="G9" s="14">
        <f>SUM('Seasonality Template'!Q47:Q54)</f>
        <v>0</v>
      </c>
      <c r="H9" s="20">
        <f t="shared" si="0"/>
        <v>-1</v>
      </c>
      <c r="I9" s="43">
        <f t="shared" si="1"/>
        <v>1925734.7700000003</v>
      </c>
      <c r="J9" s="44">
        <f t="shared" si="1"/>
        <v>0</v>
      </c>
      <c r="K9" s="45">
        <f t="shared" si="2"/>
        <v>-1</v>
      </c>
      <c r="L9" s="40">
        <f>SUM('Seasonality Template'!AL47:AL54)</f>
        <v>883</v>
      </c>
      <c r="M9" s="40">
        <f>SUM('Seasonality Template'!AM47:AM54)</f>
        <v>0</v>
      </c>
      <c r="N9" s="46">
        <f t="shared" si="3"/>
        <v>-1</v>
      </c>
      <c r="O9" s="40">
        <f>SUM('Seasonality Template'!AI47:AI54)</f>
        <v>4607</v>
      </c>
      <c r="P9" s="40">
        <f>SUM('Seasonality Template'!AJ47:AJ54)</f>
        <v>0</v>
      </c>
      <c r="Q9" s="46">
        <f t="shared" si="4"/>
        <v>-1</v>
      </c>
      <c r="R9" s="66">
        <f t="shared" si="5"/>
        <v>2189.9453001132506</v>
      </c>
      <c r="S9" s="67" t="e">
        <f t="shared" si="5"/>
        <v>#DIV/0!</v>
      </c>
      <c r="T9" s="72" t="e">
        <f t="shared" si="6"/>
        <v>#DIV/0!</v>
      </c>
      <c r="U9" s="69">
        <f t="shared" si="7"/>
        <v>0.19166485782504883</v>
      </c>
      <c r="V9" s="70" t="e">
        <f t="shared" si="7"/>
        <v>#DIV/0!</v>
      </c>
      <c r="W9" s="73" t="e">
        <f t="shared" si="8"/>
        <v>#DIV/0!</v>
      </c>
    </row>
    <row r="10" spans="1:23" s="4" customFormat="1" ht="13.8">
      <c r="A10" s="563"/>
      <c r="B10" s="14">
        <f>SUM('Seasonality Template'!G55)</f>
        <v>316509.45</v>
      </c>
      <c r="C10" s="14">
        <f>SUM('Seasonality Template'!K55)</f>
        <v>0</v>
      </c>
      <c r="D10" s="18">
        <f t="shared" si="9"/>
        <v>-1</v>
      </c>
      <c r="E10" s="19">
        <f>C10/'Seasonality Template'!$G$15</f>
        <v>0</v>
      </c>
      <c r="F10" s="14">
        <f>SUM('Seasonality Template'!P55)</f>
        <v>57.5</v>
      </c>
      <c r="G10" s="14">
        <f>SUM('Seasonality Template'!Q55)</f>
        <v>0</v>
      </c>
      <c r="H10" s="20">
        <f t="shared" si="0"/>
        <v>-1</v>
      </c>
      <c r="I10" s="47">
        <f>B10-F10</f>
        <v>316451.95</v>
      </c>
      <c r="J10" s="48">
        <f t="shared" si="1"/>
        <v>0</v>
      </c>
      <c r="K10" s="45">
        <f t="shared" si="2"/>
        <v>-1</v>
      </c>
      <c r="L10" s="40">
        <f>SUM('Seasonality Template'!AL55)</f>
        <v>43</v>
      </c>
      <c r="M10" s="40">
        <f>SUM('Seasonality Template'!AM55)</f>
        <v>0</v>
      </c>
      <c r="N10" s="49">
        <f t="shared" si="3"/>
        <v>-1</v>
      </c>
      <c r="O10" s="40">
        <f>SUM('Seasonality Template'!AI55)</f>
        <v>256</v>
      </c>
      <c r="P10" s="40">
        <f>SUM('Seasonality Template'!AJ55)</f>
        <v>0</v>
      </c>
      <c r="Q10" s="46">
        <f t="shared" si="4"/>
        <v>-1</v>
      </c>
      <c r="R10" s="74">
        <f t="shared" si="5"/>
        <v>7360.6848837209309</v>
      </c>
      <c r="S10" s="75" t="e">
        <f t="shared" si="5"/>
        <v>#DIV/0!</v>
      </c>
      <c r="T10" s="49" t="e">
        <f t="shared" si="6"/>
        <v>#DIV/0!</v>
      </c>
      <c r="U10" s="76">
        <f t="shared" si="7"/>
        <v>0.16796875</v>
      </c>
      <c r="V10" s="76" t="e">
        <f t="shared" si="7"/>
        <v>#DIV/0!</v>
      </c>
      <c r="W10" s="77" t="e">
        <f t="shared" si="8"/>
        <v>#DIV/0!</v>
      </c>
    </row>
    <row r="11" spans="1:23" s="4" customFormat="1" ht="13.8">
      <c r="A11" s="21"/>
      <c r="B11" s="22"/>
      <c r="C11" s="22"/>
      <c r="D11" s="23" t="e">
        <f t="shared" si="9"/>
        <v>#DIV/0!</v>
      </c>
      <c r="E11" s="24">
        <f>C11/'Seasonality Template'!$G$15</f>
        <v>0</v>
      </c>
      <c r="F11" s="22"/>
      <c r="G11" s="22"/>
      <c r="H11" s="25" t="e">
        <f t="shared" si="0"/>
        <v>#DIV/0!</v>
      </c>
      <c r="I11" s="50">
        <f>B11-F11</f>
        <v>0</v>
      </c>
      <c r="J11" s="51">
        <f>C11-G11</f>
        <v>0</v>
      </c>
      <c r="K11" s="52" t="e">
        <f t="shared" si="2"/>
        <v>#DIV/0!</v>
      </c>
      <c r="L11" s="53"/>
      <c r="M11" s="53"/>
      <c r="N11" s="54" t="e">
        <f t="shared" si="3"/>
        <v>#DIV/0!</v>
      </c>
      <c r="O11" s="53"/>
      <c r="P11" s="53"/>
      <c r="Q11" s="78" t="e">
        <f t="shared" si="4"/>
        <v>#DIV/0!</v>
      </c>
      <c r="R11" s="79" t="e">
        <f>+B11/L11</f>
        <v>#DIV/0!</v>
      </c>
      <c r="S11" s="80" t="e">
        <f>+C11/M11</f>
        <v>#DIV/0!</v>
      </c>
      <c r="T11" s="54" t="e">
        <f t="shared" si="6"/>
        <v>#DIV/0!</v>
      </c>
      <c r="U11" s="81" t="e">
        <f>+L11/O11</f>
        <v>#DIV/0!</v>
      </c>
      <c r="V11" s="81" t="e">
        <f>+M11/P11</f>
        <v>#DIV/0!</v>
      </c>
      <c r="W11" s="82" t="e">
        <f t="shared" si="8"/>
        <v>#DIV/0!</v>
      </c>
    </row>
    <row r="12" spans="1:23">
      <c r="A12" s="26" t="s">
        <v>185</v>
      </c>
      <c r="B12" s="27">
        <f>SUM(B6:B11)</f>
        <v>8046155.0100000007</v>
      </c>
      <c r="C12" s="28">
        <f>SUM(C6:C11)</f>
        <v>2655900.6</v>
      </c>
      <c r="D12" s="29">
        <f t="shared" si="9"/>
        <v>-0.66991679917933866</v>
      </c>
      <c r="E12" s="30">
        <f>C12/'Seasonality Template'!$G$15</f>
        <v>0.30527593103448275</v>
      </c>
      <c r="F12" s="27">
        <f>SUM(F6:F11)</f>
        <v>31644.620000000003</v>
      </c>
      <c r="G12" s="28">
        <f>SUM(G6:G11)</f>
        <v>16469.879999999997</v>
      </c>
      <c r="H12" s="31">
        <f t="shared" si="0"/>
        <v>-0.47953617392150716</v>
      </c>
      <c r="I12" s="55">
        <f>SUM(I6:I11)</f>
        <v>8014510.3900000006</v>
      </c>
      <c r="J12" s="28">
        <f>SUM(J6:J10)</f>
        <v>2639430.7199999997</v>
      </c>
      <c r="K12" s="29">
        <f t="shared" si="2"/>
        <v>-0.67066850106111109</v>
      </c>
      <c r="L12" s="56">
        <f>SUM(L6:L11)</f>
        <v>3435</v>
      </c>
      <c r="M12" s="57">
        <f>SUM(M6:M11)</f>
        <v>1013</v>
      </c>
      <c r="N12" s="58">
        <f t="shared" si="3"/>
        <v>-0.70509461426491993</v>
      </c>
      <c r="O12" s="59">
        <f>SUM(O6:O11)</f>
        <v>17825</v>
      </c>
      <c r="P12" s="60">
        <f>SUM(P6:P11)</f>
        <v>6827</v>
      </c>
      <c r="Q12" s="83">
        <f t="shared" si="4"/>
        <v>-0.61699859747545582</v>
      </c>
      <c r="R12" s="84">
        <f t="shared" si="5"/>
        <v>2342.4032052401749</v>
      </c>
      <c r="S12" s="85">
        <f t="shared" si="5"/>
        <v>2621.8169792694966</v>
      </c>
      <c r="T12" s="86">
        <f t="shared" si="6"/>
        <v>0.11928508866630946</v>
      </c>
      <c r="U12" s="87">
        <f t="shared" si="7"/>
        <v>0.19270687237026649</v>
      </c>
      <c r="V12" s="88">
        <f t="shared" si="7"/>
        <v>0.14838142668814999</v>
      </c>
      <c r="W12" s="89">
        <f t="shared" si="8"/>
        <v>-4.4325445682116493E-2</v>
      </c>
    </row>
    <row r="16" spans="1:23">
      <c r="B16" s="32"/>
    </row>
  </sheetData>
  <mergeCells count="7">
    <mergeCell ref="R4:T4"/>
    <mergeCell ref="U4:W4"/>
    <mergeCell ref="B4:E4"/>
    <mergeCell ref="F4:H4"/>
    <mergeCell ref="I4:K4"/>
    <mergeCell ref="L4:N4"/>
    <mergeCell ref="O4:Q4"/>
  </mergeCells>
  <pageMargins left="0.7" right="0.7" top="0.75" bottom="0.75" header="0.3" footer="0.3"/>
  <pageSetup orientation="portrait" verticalDpi="72"/>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Range1" rangeCreator="" othersAccessPermission="edit"/>
  </rangeList>
  <rangeList sheetStid="4" master=""/>
  <rangeList sheetStid="13" master=""/>
  <rangeList sheetStid="2" master="">
    <arrUserId title="Range2" rangeCreator="" othersAccessPermission="edit"/>
    <arrUserId title="Range1" rangeCreator="" othersAccessPermission="edit"/>
  </rangeList>
  <rangeList sheetStid="11" master="">
    <arrUserId title="Range2" rangeCreator="" othersAccessPermission="edit"/>
    <arrUserId title="Range1" rangeCreator="" othersAccessPermission="edit"/>
  </rangeList>
  <rangeList sheetStid="3" master="">
    <arrUserId title="Range1_1" rangeCreator="" othersAccessPermission="edit"/>
    <arrUserId title="Range1" rangeCreator="" othersAccessPermission="edit"/>
    <arrUserId title="Range3" rangeCreator="" othersAccessPermission="edit"/>
  </rangeList>
  <rangeList sheetStid="5" master=""/>
  <rangeList sheetStid="6" master=""/>
  <rangeList sheetStid="12" master="">
    <arrUserId title="Range1_2_2" rangeCreator="" othersAccessPermission="edit"/>
  </rangeList>
  <rangeList sheetStid="10" master=""/>
  <rangeList sheetStid="9" master=""/>
  <rangeList sheetStid="14" master=""/>
  <rangeList sheetStid="15"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LS_RPRO</vt:lpstr>
      <vt:lpstr>MSI</vt:lpstr>
      <vt:lpstr>MRet</vt:lpstr>
      <vt:lpstr>MANUAL</vt:lpstr>
      <vt:lpstr>OUTSALE</vt:lpstr>
      <vt:lpstr>Seasonality Template</vt:lpstr>
      <vt:lpstr>SAME DAY COMPARISON</vt:lpstr>
      <vt:lpstr>EOD MONITORING</vt:lpstr>
      <vt:lpstr>Seasonality Template WML V</vt:lpstr>
      <vt:lpstr>YTD-SALES</vt:lpstr>
      <vt:lpstr>YTD RETAIL DRIVERS</vt:lpstr>
      <vt:lpstr>DEPOSIT SUMMARY</vt:lpstr>
      <vt:lpstr>#OF SG RECEIPT COPY</vt:lpstr>
      <vt:lpstr>WML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Reizell S. Palomaria</dc:creator>
  <cp:lastModifiedBy>Jericho C. Jereza</cp:lastModifiedBy>
  <cp:lastPrinted>2025-04-06T03:30:53Z</cp:lastPrinted>
  <dcterms:created xsi:type="dcterms:W3CDTF">2012-02-20T11:33:00Z</dcterms:created>
  <dcterms:modified xsi:type="dcterms:W3CDTF">2026-10-13T07:06:02Z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y fmtid="{D5CDD505-2E9C-101B-9397-08002B2CF9AE}" pid="3" name="ICV">
    <vt:lpwstr>3AF3C46FC8B4480B84237656F3DF0063_13</vt:lpwstr>
  </property>
  <property fmtid="{D5CDD505-2E9C-101B-9397-08002B2CF9AE}" pid="4" name="KSOProductBuildVer">
    <vt:lpwstr>1033-12.2.0.13416</vt:lpwstr>
  </property>
</Properties>
</file>